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OAS to Profit" sheetId="2" state="visible" r:id="rId4"/>
    <sheet name="Conversion Lif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<sst xmlns="http://schemas.openxmlformats.org/spreadsheetml/2006/main" count="70" uniqueCount="68">
  <si>
    <t xml:space="preserve">Marginwise Profit Calculator (USD)</t>
  </si>
  <si>
    <t xml:space="preserve">What this does</t>
  </si>
  <si>
    <t xml:space="preserve">Tab 'ROAS to Profit': turns the ROAS your ad platform reports into what you actually keep after over-attribution, returns, product cost, shipping and payment fees.</t>
  </si>
  <si>
    <t xml:space="preserve">Tab 'Conversion Lift': shows what a 10%, 20% or 30% conversion lift is worth in gross margin, with the same traffic and no extra ad spend.</t>
  </si>
  <si>
    <t xml:space="preserve">How to use</t>
  </si>
  <si>
    <t xml:space="preserve">Edit only the cells shaded like this (blue text on yellow). Everything else calculates.</t>
  </si>
  <si>
    <t xml:space="preserve">The figures already filled in are an example store. Replace them with your last full month.</t>
  </si>
  <si>
    <t xml:space="preserve">Black numbers are formulas. Do not type over them.</t>
  </si>
  <si>
    <t xml:space="preserve">Where the defaults come from</t>
  </si>
  <si>
    <t xml:space="preserve">Over-attribution of 25%: vendor estimates put platform over-counting at 20-40% (Luca, citing the Ecom CFO 2026 report). Not independently verified. Replace it with your own incrementality test or post-purchase survey data if you have it.</t>
  </si>
  <si>
    <t xml:space="preserve">Conversion lift example: matches the example store on marginwise.in (40,000 sessions, 2.0% conversion, $75 AOV, 60% gross margin).</t>
  </si>
  <si>
    <t xml:space="preserve">All other defaults are illustrative, not benchmarks.</t>
  </si>
  <si>
    <t xml:space="preserve">Want a second pair of eyes?</t>
  </si>
  <si>
    <t xml:space="preserve">Book a free 30-minute call at marginwise.in. You leave with your top three leaks and a written summary.</t>
  </si>
  <si>
    <t xml:space="preserve">Marginwise | marginwise.in | Built for D2C and Shopify brands in India, the US and the UK. Scenarios to plan with, not a promise of results.</t>
  </si>
  <si>
    <t xml:space="preserve">ROAS to Profit</t>
  </si>
  <si>
    <t xml:space="preserve">Monthly view. Edit the yellow cells only.</t>
  </si>
  <si>
    <t xml:space="preserve">INPUTS</t>
  </si>
  <si>
    <t xml:space="preserve">Monthly ad spend ($)</t>
  </si>
  <si>
    <t xml:space="preserve">ROAS reported by the ad platform</t>
  </si>
  <si>
    <t xml:space="preserve">From Meta or Google Ads Manager.</t>
  </si>
  <si>
    <t xml:space="preserve">Over-attribution (% of platform revenue not truly caused by ads)</t>
  </si>
  <si>
    <t xml:space="preserve">Vendor estimates: 20-40%. Use your own data if you have it.</t>
  </si>
  <si>
    <t xml:space="preserve">Average order value ($, after discounts)</t>
  </si>
  <si>
    <t xml:space="preserve">Return and refund rate (% of revenue)</t>
  </si>
  <si>
    <t xml:space="preserve">Product cost, COGS (% of net revenue)</t>
  </si>
  <si>
    <t xml:space="preserve">Shipping and fulfilment cost per order ($)</t>
  </si>
  <si>
    <t xml:space="preserve">Pick, pack and postage.</t>
  </si>
  <si>
    <t xml:space="preserve">Payment processing (% of revenue)</t>
  </si>
  <si>
    <t xml:space="preserve">Check your Shopify Payments or Stripe rate.</t>
  </si>
  <si>
    <t xml:space="preserve">Payment processing fixed fee per order ($)</t>
  </si>
  <si>
    <t xml:space="preserve">RESULTS (MONTHLY)</t>
  </si>
  <si>
    <t xml:space="preserve">Revenue reported by the ad platform</t>
  </si>
  <si>
    <t xml:space="preserve">Revenue actually driven by ads</t>
  </si>
  <si>
    <t xml:space="preserve">Orders driven by ads</t>
  </si>
  <si>
    <t xml:space="preserve">Less returns and refunds</t>
  </si>
  <si>
    <t xml:space="preserve">Net revenue</t>
  </si>
  <si>
    <t xml:space="preserve">Less product cost (COGS)</t>
  </si>
  <si>
    <t xml:space="preserve">Less shipping and fulfilment</t>
  </si>
  <si>
    <t xml:space="preserve">Less payment processing</t>
  </si>
  <si>
    <t xml:space="preserve">Contribution before ad spend</t>
  </si>
  <si>
    <t xml:space="preserve">Less ad spend</t>
  </si>
  <si>
    <t xml:space="preserve">Contribution after ad spend</t>
  </si>
  <si>
    <t xml:space="preserve">THE NUMBERS THAT MATTER</t>
  </si>
  <si>
    <t xml:space="preserve">True ROAS (net revenue / ad spend)</t>
  </si>
  <si>
    <t xml:space="preserve">Compare this with the platform number in B6.</t>
  </si>
  <si>
    <t xml:space="preserve">Contribution per order after ads ($)</t>
  </si>
  <si>
    <t xml:space="preserve">Contribution after ads (% of net revenue)</t>
  </si>
  <si>
    <t xml:space="preserve">Break-even platform ROAS</t>
  </si>
  <si>
    <t xml:space="preserve">The ROAS your platform must report before ads stop losing money. 'Not reachable' means costs exceed revenue on every order.</t>
  </si>
  <si>
    <t xml:space="preserve">Verdict</t>
  </si>
  <si>
    <t xml:space="preserve">What a conversion lift is worth</t>
  </si>
  <si>
    <t xml:space="preserve">Same traffic, no extra ad spend. Edit the yellow cells only.</t>
  </si>
  <si>
    <t xml:space="preserve">YOUR STORE TODAY</t>
  </si>
  <si>
    <t xml:space="preserve">Sessions per month</t>
  </si>
  <si>
    <t xml:space="preserve">Conversion rate</t>
  </si>
  <si>
    <t xml:space="preserve">Average order value ($)</t>
  </si>
  <si>
    <t xml:space="preserve">Gross margin (%)</t>
  </si>
  <si>
    <t xml:space="preserve">Orders per month</t>
  </si>
  <si>
    <t xml:space="preserve">Revenue per month</t>
  </si>
  <si>
    <t xml:space="preserve">SCENARIOS</t>
  </si>
  <si>
    <t xml:space="preserve">Conversion lift you want to model</t>
  </si>
  <si>
    <t xml:space="preserve">New conversion rate</t>
  </si>
  <si>
    <t xml:space="preserve">Extra orders per month</t>
  </si>
  <si>
    <t xml:space="preserve">Extra revenue per month</t>
  </si>
  <si>
    <t xml:space="preserve">Extra gross margin per month</t>
  </si>
  <si>
    <t xml:space="preserve">Extra gross margin per year</t>
  </si>
  <si>
    <t xml:space="preserve">Lifts are scenarios to plan with, not a promise of results. For context: Baymard Institute puts average cart abandonment at 70.22% across 50 studies, and estimates the average large ecommerce site can gain 35% higher conversion through better checkout design.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</si>
</sst>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\x"/>
    <numFmt numFmtId="167" formatCode="0.0%;\(0.0%\);\-"/>
    <numFmt numFmtId="168" formatCode="\$#,##0.00;&quot;($&quot;#,##0.00\);\-"/>
    <numFmt numFmtId="169" formatCode="#,##0;\(#,##0\);\-"/>
    <numFmt numFmtId="170" formatCode="@"/>
    <numFmt numFmtId="171" formatCode="0.00%"/>
    <numFmt numFmtId="172" formatCode="\+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CC"/>
        <bgColor rgb="FFE6F2EA"/>
      </patternFill>
    </fill>
    <fill>
      <patternFill patternType="solid">
        <fgColor rgb="FFE8ECF4"/>
        <bgColor rgb="FFE6F2EA"/>
      </patternFill>
    </fill>
    <fill>
      <patternFill patternType="solid">
        <fgColor rgb="FFE6F2EA"/>
        <bgColor rgb="FFE8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F2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8ECF4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23.85" hidden="false" customHeight="false" outlineLevel="0" collapsed="false">
      <c r="A5" s="3" t="s">
        <v>2</v>
      </c>
    </row>
    <row r="6" customFormat="false" ht="23.8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4" customFormat="false" ht="23.8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9" customFormat="false" ht="15" hidden="false" customHeight="false" outlineLevel="0" collapsed="false">
      <c r="A19" s="3" t="s">
        <v>13</v>
      </c>
    </row>
    <row r="20" customFormat="false" ht="23.85" hidden="false" customHeight="false" outlineLevel="0" collapsed="false">
      <c r="A20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5" t="s">
        <v>16</v>
      </c>
    </row>
    <row r="4" customFormat="false" ht="15" hidden="false" customHeight="false" outlineLevel="0" collapsed="false">
      <c r="A4" s="6" t="s">
        <v>17</v>
      </c>
      <c r="B4" s="7"/>
      <c r="C4" s="7"/>
    </row>
    <row r="5" customFormat="false" ht="15" hidden="false" customHeight="false" outlineLevel="0" collapsed="false">
      <c r="A5" s="8" t="s">
        <v>18</v>
      </c>
      <c r="B5" s="9" t="n">
        <v>20000</v>
      </c>
      <c r="C5" s="10"/>
    </row>
    <row r="6" customFormat="false" ht="15" hidden="false" customHeight="false" outlineLevel="0" collapsed="false">
      <c r="A6" s="8" t="s">
        <v>19</v>
      </c>
      <c r="B6" s="11" t="n">
        <v>3</v>
      </c>
      <c r="C6" s="10" t="s">
        <v>20</v>
      </c>
    </row>
    <row r="7" customFormat="false" ht="15" hidden="false" customHeight="false" outlineLevel="0" collapsed="false">
      <c r="A7" s="8" t="s">
        <v>21</v>
      </c>
      <c r="B7" s="12" t="n">
        <v>0.25</v>
      </c>
      <c r="C7" s="10" t="s">
        <v>22</v>
      </c>
    </row>
    <row r="8" customFormat="false" ht="15" hidden="false" customHeight="false" outlineLevel="0" collapsed="false">
      <c r="A8" s="8" t="s">
        <v>23</v>
      </c>
      <c r="B8" s="13" t="n">
        <v>60</v>
      </c>
      <c r="C8" s="10"/>
    </row>
    <row r="9" customFormat="false" ht="15" hidden="false" customHeight="false" outlineLevel="0" collapsed="false">
      <c r="A9" s="8" t="s">
        <v>24</v>
      </c>
      <c r="B9" s="12" t="n">
        <v>0.08</v>
      </c>
      <c r="C9" s="10"/>
    </row>
    <row r="10" customFormat="false" ht="15" hidden="false" customHeight="false" outlineLevel="0" collapsed="false">
      <c r="A10" s="8" t="s">
        <v>25</v>
      </c>
      <c r="B10" s="12" t="n">
        <v>0.35</v>
      </c>
      <c r="C10" s="10"/>
    </row>
    <row r="11" customFormat="false" ht="15" hidden="false" customHeight="false" outlineLevel="0" collapsed="false">
      <c r="A11" s="8" t="s">
        <v>26</v>
      </c>
      <c r="B11" s="13" t="n">
        <v>8</v>
      </c>
      <c r="C11" s="10" t="s">
        <v>27</v>
      </c>
    </row>
    <row r="12" customFormat="false" ht="15" hidden="false" customHeight="false" outlineLevel="0" collapsed="false">
      <c r="A12" s="8" t="s">
        <v>28</v>
      </c>
      <c r="B12" s="12" t="n">
        <v>0.029</v>
      </c>
      <c r="C12" s="10" t="s">
        <v>29</v>
      </c>
    </row>
    <row r="13" customFormat="false" ht="15" hidden="false" customHeight="false" outlineLevel="0" collapsed="false">
      <c r="A13" s="8" t="s">
        <v>30</v>
      </c>
      <c r="B13" s="13" t="n">
        <v>0.3</v>
      </c>
      <c r="C13" s="10"/>
    </row>
    <row r="15" customFormat="false" ht="15" hidden="false" customHeight="false" outlineLevel="0" collapsed="false">
      <c r="A15" s="6" t="s">
        <v>31</v>
      </c>
      <c r="B15" s="7"/>
      <c r="C15" s="7"/>
    </row>
    <row r="16" customFormat="false" ht="15" hidden="false" customHeight="false" outlineLevel="0" collapsed="false">
      <c r="A16" s="8" t="s">
        <v>32</v>
      </c>
      <c r="B16" s="14" t="n">
        <f aca="false">B5*B6</f>
        <v>60000</v>
      </c>
    </row>
    <row r="17" customFormat="false" ht="15" hidden="false" customHeight="false" outlineLevel="0" collapsed="false">
      <c r="A17" s="8" t="s">
        <v>33</v>
      </c>
      <c r="B17" s="14" t="n">
        <f aca="false">B16*(1-B7)</f>
        <v>45000</v>
      </c>
    </row>
    <row r="18" customFormat="false" ht="15" hidden="false" customHeight="false" outlineLevel="0" collapsed="false">
      <c r="A18" s="8" t="s">
        <v>34</v>
      </c>
      <c r="B18" s="15" t="n">
        <f aca="false">IFERROR(B17/B8,0)</f>
        <v>750</v>
      </c>
    </row>
    <row r="19" customFormat="false" ht="15" hidden="false" customHeight="false" outlineLevel="0" collapsed="false">
      <c r="A19" s="8" t="s">
        <v>35</v>
      </c>
      <c r="B19" s="14" t="n">
        <f aca="false">-B17*B9</f>
        <v>-3600</v>
      </c>
    </row>
    <row r="20" customFormat="false" ht="15" hidden="false" customHeight="false" outlineLevel="0" collapsed="false">
      <c r="A20" s="16" t="s">
        <v>36</v>
      </c>
      <c r="B20" s="17" t="n">
        <f aca="false">B17+B19</f>
        <v>41400</v>
      </c>
    </row>
    <row r="21" customFormat="false" ht="15" hidden="false" customHeight="false" outlineLevel="0" collapsed="false">
      <c r="A21" s="8" t="s">
        <v>37</v>
      </c>
      <c r="B21" s="14" t="n">
        <f aca="false">-B20*B10</f>
        <v>-14490</v>
      </c>
    </row>
    <row r="22" customFormat="false" ht="15" hidden="false" customHeight="false" outlineLevel="0" collapsed="false">
      <c r="A22" s="8" t="s">
        <v>38</v>
      </c>
      <c r="B22" s="14" t="n">
        <f aca="false">-B18*B11</f>
        <v>-6000</v>
      </c>
    </row>
    <row r="23" customFormat="false" ht="15" hidden="false" customHeight="false" outlineLevel="0" collapsed="false">
      <c r="A23" s="8" t="s">
        <v>39</v>
      </c>
      <c r="B23" s="14" t="n">
        <f aca="false">-(B17*B12+B18*B13)</f>
        <v>-1530</v>
      </c>
    </row>
    <row r="24" customFormat="false" ht="15" hidden="false" customHeight="false" outlineLevel="0" collapsed="false">
      <c r="A24" s="16" t="s">
        <v>40</v>
      </c>
      <c r="B24" s="17" t="n">
        <f aca="false">B20+B21+B22+B23</f>
        <v>19380</v>
      </c>
    </row>
    <row r="25" customFormat="false" ht="15" hidden="false" customHeight="false" outlineLevel="0" collapsed="false">
      <c r="A25" s="8" t="s">
        <v>41</v>
      </c>
      <c r="B25" s="14" t="n">
        <f aca="false">-B5</f>
        <v>-20000</v>
      </c>
    </row>
    <row r="26" customFormat="false" ht="15" hidden="false" customHeight="false" outlineLevel="0" collapsed="false">
      <c r="A26" s="16" t="s">
        <v>42</v>
      </c>
      <c r="B26" s="17" t="n">
        <f aca="false">B24+B25</f>
        <v>-620</v>
      </c>
    </row>
    <row r="28" customFormat="false" ht="15" hidden="false" customHeight="false" outlineLevel="0" collapsed="false">
      <c r="A28" s="6" t="s">
        <v>43</v>
      </c>
      <c r="B28" s="7"/>
      <c r="C28" s="7"/>
    </row>
    <row r="29" customFormat="false" ht="15" hidden="false" customHeight="false" outlineLevel="0" collapsed="false">
      <c r="A29" s="16" t="s">
        <v>44</v>
      </c>
      <c r="B29" s="18" t="n">
        <f aca="false">IFERROR(B20/B5,0)</f>
        <v>2.07</v>
      </c>
      <c r="C29" s="10" t="s">
        <v>45</v>
      </c>
    </row>
    <row r="30" customFormat="false" ht="15" hidden="false" customHeight="false" outlineLevel="0" collapsed="false">
      <c r="A30" s="16" t="s">
        <v>46</v>
      </c>
      <c r="B30" s="19" t="n">
        <f aca="false">IFERROR(B26/B18,0)</f>
        <v>-0.826666666666667</v>
      </c>
    </row>
    <row r="31" customFormat="false" ht="15" hidden="false" customHeight="false" outlineLevel="0" collapsed="false">
      <c r="A31" s="16" t="s">
        <v>47</v>
      </c>
      <c r="B31" s="20" t="n">
        <f aca="false">IFERROR(B26/B20,0)</f>
        <v>-0.014975845410628</v>
      </c>
    </row>
    <row r="32" customFormat="false" ht="22.35" hidden="false" customHeight="false" outlineLevel="0" collapsed="false">
      <c r="A32" s="16" t="s">
        <v>48</v>
      </c>
      <c r="B32" s="18" t="n">
        <f aca="false">IF(((1-B9)*(1-B10)-B11/B8-B12-B13/B8)&lt;=0,"Not reachable",1/(((1-B9)*(1-B10)-B11/B8-B12-B13/B8)*(1-B7)))</f>
        <v>3.09597523219814</v>
      </c>
      <c r="C32" s="10" t="s">
        <v>49</v>
      </c>
    </row>
    <row r="33" customFormat="false" ht="30" hidden="false" customHeight="true" outlineLevel="0" collapsed="false">
      <c r="A33" s="16" t="s">
        <v>50</v>
      </c>
      <c r="B33" s="21" t="str">
        <f aca="false">IF(B26&gt;=0,"Profitable after ads",IF(ISNUMBER(B32),"Losing money: needs "&amp;TEXT(B32,"0.00")&amp;"x","Losing money on every order"))</f>
        <v>Losing money: needs 3.10x</v>
      </c>
    </row>
    <row r="35" customFormat="false" ht="32.8" hidden="false" customHeight="false" outlineLevel="0" collapsed="false">
      <c r="A35" s="1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5" t="s">
        <v>52</v>
      </c>
    </row>
    <row r="4" customFormat="false" ht="15" hidden="false" customHeight="false" outlineLevel="0" collapsed="false">
      <c r="A4" s="6" t="s">
        <v>53</v>
      </c>
      <c r="B4" s="7"/>
      <c r="C4" s="7"/>
      <c r="D4" s="7"/>
      <c r="E4" s="7"/>
    </row>
    <row r="5" customFormat="false" ht="15" hidden="false" customHeight="false" outlineLevel="0" collapsed="false">
      <c r="A5" s="8" t="s">
        <v>54</v>
      </c>
      <c r="B5" s="22" t="n">
        <v>40000</v>
      </c>
    </row>
    <row r="6" customFormat="false" ht="15" hidden="false" customHeight="false" outlineLevel="0" collapsed="false">
      <c r="A6" s="8" t="s">
        <v>55</v>
      </c>
      <c r="B6" s="23" t="n">
        <v>0.02</v>
      </c>
    </row>
    <row r="7" customFormat="false" ht="15" hidden="false" customHeight="false" outlineLevel="0" collapsed="false">
      <c r="A7" s="8" t="s">
        <v>56</v>
      </c>
      <c r="B7" s="13" t="n">
        <v>75</v>
      </c>
    </row>
    <row r="8" customFormat="false" ht="15" hidden="false" customHeight="false" outlineLevel="0" collapsed="false">
      <c r="A8" s="8" t="s">
        <v>57</v>
      </c>
      <c r="B8" s="12" t="n">
        <v>0.6</v>
      </c>
    </row>
    <row r="9" customFormat="false" ht="15" hidden="false" customHeight="false" outlineLevel="0" collapsed="false">
      <c r="A9" s="8" t="s">
        <v>58</v>
      </c>
      <c r="B9" s="15" t="n">
        <f aca="false">B5*B6</f>
        <v>800</v>
      </c>
    </row>
    <row r="10" customFormat="false" ht="15" hidden="false" customHeight="false" outlineLevel="0" collapsed="false">
      <c r="A10" s="16" t="s">
        <v>59</v>
      </c>
      <c r="B10" s="17" t="n">
        <f aca="false">B9*B7</f>
        <v>60000</v>
      </c>
    </row>
    <row r="12" customFormat="false" ht="15" hidden="false" customHeight="false" outlineLevel="0" collapsed="false">
      <c r="A12" s="6" t="s">
        <v>60</v>
      </c>
      <c r="B12" s="7"/>
      <c r="C12" s="7"/>
      <c r="D12" s="7"/>
      <c r="E12" s="7"/>
    </row>
    <row r="13" customFormat="false" ht="15" hidden="false" customHeight="false" outlineLevel="0" collapsed="false">
      <c r="A13" s="16" t="s">
        <v>61</v>
      </c>
      <c r="B13" s="24" t="n">
        <v>0.1</v>
      </c>
      <c r="C13" s="24" t="n">
        <v>0.2</v>
      </c>
      <c r="D13" s="24" t="n">
        <v>0.3</v>
      </c>
    </row>
    <row r="14" customFormat="false" ht="15" hidden="false" customHeight="false" outlineLevel="0" collapsed="false">
      <c r="A14" s="8" t="s">
        <v>62</v>
      </c>
      <c r="B14" s="25" t="n">
        <f aca="false">$B$6*(1+B13)</f>
        <v>0.022</v>
      </c>
      <c r="C14" s="25" t="n">
        <f aca="false">$B$6*(1+C13)</f>
        <v>0.024</v>
      </c>
      <c r="D14" s="25" t="n">
        <f aca="false">$B$6*(1+D13)</f>
        <v>0.026</v>
      </c>
    </row>
    <row r="15" customFormat="false" ht="15" hidden="false" customHeight="false" outlineLevel="0" collapsed="false">
      <c r="A15" s="8" t="s">
        <v>63</v>
      </c>
      <c r="B15" s="15" t="n">
        <f aca="false">$B$5*$B$6*B13</f>
        <v>80</v>
      </c>
      <c r="C15" s="15" t="n">
        <f aca="false">$B$5*$B$6*C13</f>
        <v>160</v>
      </c>
      <c r="D15" s="15" t="n">
        <f aca="false">$B$5*$B$6*D13</f>
        <v>240</v>
      </c>
    </row>
    <row r="16" customFormat="false" ht="15" hidden="false" customHeight="false" outlineLevel="0" collapsed="false">
      <c r="A16" s="16" t="s">
        <v>64</v>
      </c>
      <c r="B16" s="17" t="n">
        <f aca="false">B15*$B$7</f>
        <v>6000</v>
      </c>
      <c r="C16" s="17" t="n">
        <f aca="false">C15*$B$7</f>
        <v>12000</v>
      </c>
      <c r="D16" s="17" t="n">
        <f aca="false">D15*$B$7</f>
        <v>18000</v>
      </c>
    </row>
    <row r="17" customFormat="false" ht="15" hidden="false" customHeight="false" outlineLevel="0" collapsed="false">
      <c r="A17" s="8" t="s">
        <v>65</v>
      </c>
      <c r="B17" s="14" t="n">
        <f aca="false">B16*$B$8</f>
        <v>3600</v>
      </c>
      <c r="C17" s="14" t="n">
        <f aca="false">C16*$B$8</f>
        <v>7200</v>
      </c>
      <c r="D17" s="14" t="n">
        <f aca="false">D16*$B$8</f>
        <v>10800</v>
      </c>
    </row>
    <row r="18" customFormat="false" ht="15" hidden="false" customHeight="false" outlineLevel="0" collapsed="false">
      <c r="A18" s="16" t="s">
        <v>66</v>
      </c>
      <c r="B18" s="26" t="n">
        <f aca="false">B17*12</f>
        <v>43200</v>
      </c>
      <c r="C18" s="26" t="n">
        <f aca="false">C17*12</f>
        <v>86400</v>
      </c>
      <c r="D18" s="26" t="n">
        <f aca="false">D17*12</f>
        <v>129600</v>
      </c>
    </row>
    <row r="20" customFormat="false" ht="42" hidden="false" customHeight="true" outlineLevel="0" collapsed="false">
      <c r="A20" s="27" t="s">
        <v>67</v>
      </c>
      <c r="B20" s="27"/>
      <c r="C20" s="27"/>
      <c r="D20" s="27"/>
      <c r="E20" s="27"/>
    </row>
    <row r="22" customFormat="false" ht="32.8" hidden="false" customHeight="false" outlineLevel="0" collapsed="false">
      <c r="A22" s="10" t="s">
        <v>14</v>
      </c>
    </row>
  </sheetData>
  <mergeCells count="1"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2026-10-11T12:16:47Z</dcterms:created>
  <dc:creator>openpyxl</dc:creator>
  <dc:description/>
  <dc:language>en-US</dc:language>
  <cp:lastModifiedBy/>
  <dcterms:modified xsi:type="dcterms:W3CDTF">2026-10-11T12:16:47Z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