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rgin per Order" sheetId="2" state="visible" r:id="rId4"/>
    <sheet name="GST on Ad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<sst xmlns="http://schemas.openxmlformats.org/spreadsheetml/2006/main" count="82" uniqueCount="78">
  <si>
    <t xml:space="preserve">Marginwise Contribution Margin Calculator (INR)</t>
  </si>
  <si>
    <t xml:space="preserve">What this does</t>
  </si>
  <si>
    <t xml:space="preserve">Tab 'Margin per Order': shows what one order actually earns you once COD, RTO, shipping, ad cost, gateway fees and GST are counted. It compares your current COD mix with a scenario where more buyers pay upfront.</t>
  </si>
  <si>
    <t xml:space="preserve">Tab 'GST on Ads': shows the cash your ad budget really needs once 18% GST is added.</t>
  </si>
  <si>
    <t xml:space="preserve">How to use</t>
  </si>
  <si>
    <t xml:space="preserve">Edit only the cells shaded like this (blue text on yellow). Everything else calculates.</t>
  </si>
  <si>
    <t xml:space="preserve">Column B is your store today. Column C is a what-if: change the COD share and prepaid discount to see whether pushing prepaid is worth it.</t>
  </si>
  <si>
    <t xml:space="preserve">Enter costs excluding GST where you claim input tax credit on them.</t>
  </si>
  <si>
    <t xml:space="preserve">Where the defaults come from</t>
  </si>
  <si>
    <t xml:space="preserve">RTO rates of 26% on COD and 2% on prepaid: Shipway ShipNotes FY25, reported by MediaBrief (26% RTO on COD orders vs under 2% on prepaid).</t>
  </si>
  <si>
    <t xml:space="preserve">Prices, costs and shares are an illustrative example store, not benchmarks. Replace them with your last full month.</t>
  </si>
  <si>
    <t xml:space="preserve">The scenario assumes your conversion rate does not change when you add a prepaid discount. Test it before rolling it out.</t>
  </si>
  <si>
    <t xml:space="preserve">Want a second pair of eyes?</t>
  </si>
  <si>
    <t xml:space="preserve">Book a free 30-minute call at marginwise.in. You leave with your top three leaks and a written summary.</t>
  </si>
  <si>
    <t xml:space="preserve">Marginwise | marginwise.in | Built for D2C and Shopify brands in India, the US and the UK. Scenarios to plan with, not a promise of results.</t>
  </si>
  <si>
    <t xml:space="preserve">Contribution margin per order</t>
  </si>
  <si>
    <t xml:space="preserve">Edit the yellow cells only. Column C is a what-if scenario.</t>
  </si>
  <si>
    <t xml:space="preserve">INPUTS</t>
  </si>
  <si>
    <t xml:space="preserve">Today</t>
  </si>
  <si>
    <t xml:space="preserve">Scenario</t>
  </si>
  <si>
    <t xml:space="preserve">Price paid by customer (₹, incl. GST)</t>
  </si>
  <si>
    <t xml:space="preserve">GST rate on the product</t>
  </si>
  <si>
    <t xml:space="preserve">Use your HSN rate (often 5%, 12% or 18%).</t>
  </si>
  <si>
    <t xml:space="preserve">Product cost per order, COGS (₹)</t>
  </si>
  <si>
    <t xml:space="preserve">Ad cost per order placed (₹)</t>
  </si>
  <si>
    <t xml:space="preserve">Ad spend / orders placed, including orders that later RTO.</t>
  </si>
  <si>
    <t xml:space="preserve">Forward shipping per order (₹)</t>
  </si>
  <si>
    <t xml:space="preserve">Packaging per order (₹)</t>
  </si>
  <si>
    <t xml:space="preserve">Return shipping per RTO (₹)</t>
  </si>
  <si>
    <t xml:space="preserve">COD share of orders</t>
  </si>
  <si>
    <t xml:space="preserve">Scenario: fewer COD orders after a prepaid offer.</t>
  </si>
  <si>
    <t xml:space="preserve">RTO rate on COD orders</t>
  </si>
  <si>
    <t xml:space="preserve">Shipway FY25: 26%.</t>
  </si>
  <si>
    <t xml:space="preserve">RTO rate on prepaid orders</t>
  </si>
  <si>
    <t xml:space="preserve">Shipway FY25: under 2%.</t>
  </si>
  <si>
    <t xml:space="preserve">COD handling fee per delivered COD order (₹)</t>
  </si>
  <si>
    <t xml:space="preserve">From your courier or aggregator rate card.</t>
  </si>
  <si>
    <t xml:space="preserve">Payment gateway fee on prepaid (% of price)</t>
  </si>
  <si>
    <t xml:space="preserve">Prepaid discount offered (% of price)</t>
  </si>
  <si>
    <t xml:space="preserve">Applies to prepaid orders only.</t>
  </si>
  <si>
    <t xml:space="preserve">Stock lost per RTO (% of COGS damaged or unsellable)</t>
  </si>
  <si>
    <t xml:space="preserve">Orders placed per month</t>
  </si>
  <si>
    <t xml:space="preserve">PER ORDER PLACED</t>
  </si>
  <si>
    <t xml:space="preserve">Share of orders delivered</t>
  </si>
  <si>
    <t xml:space="preserve">Share of orders returned (RTO)</t>
  </si>
  <si>
    <t xml:space="preserve">Net revenue, excluding GST</t>
  </si>
  <si>
    <t xml:space="preserve">Less product cost of delivered orders</t>
  </si>
  <si>
    <t xml:space="preserve">Less stock lost on RTO</t>
  </si>
  <si>
    <t xml:space="preserve">Less ad cost</t>
  </si>
  <si>
    <t xml:space="preserve">Less forward shipping and packaging</t>
  </si>
  <si>
    <t xml:space="preserve">Less return shipping on RTO</t>
  </si>
  <si>
    <t xml:space="preserve">Less COD handling fees</t>
  </si>
  <si>
    <t xml:space="preserve">Less payment gateway fees</t>
  </si>
  <si>
    <t xml:space="preserve">Contribution per order placed</t>
  </si>
  <si>
    <t xml:space="preserve">THE NUMBERS THAT MATTER</t>
  </si>
  <si>
    <t xml:space="preserve">Contribution per delivered order</t>
  </si>
  <si>
    <t xml:space="preserve">Contribution margin (% of net revenue)</t>
  </si>
  <si>
    <t xml:space="preserve">Ad and shipping spend lost on RTO, per order placed</t>
  </si>
  <si>
    <t xml:space="preserve">Contribution per month</t>
  </si>
  <si>
    <t xml:space="preserve">Scenario vs today, per month</t>
  </si>
  <si>
    <t xml:space="preserve">Positive means the scenario earns more per month.</t>
  </si>
  <si>
    <t xml:space="preserve">GST on your ad budget</t>
  </si>
  <si>
    <t xml:space="preserve">Not tax advice. Confirm the treatment with your CA.</t>
  </si>
  <si>
    <t xml:space="preserve">Monthly ad budget (₹)</t>
  </si>
  <si>
    <t xml:space="preserve">GST rate on advertising</t>
  </si>
  <si>
    <t xml:space="preserve">Advertising services are taxed at 18% GST.</t>
  </si>
  <si>
    <t xml:space="preserve">Billed by a foreign entity? (Yes or No)</t>
  </si>
  <si>
    <t xml:space="preserve">Yes</t>
  </si>
  <si>
    <t xml:space="preserve">Yes if the invoice is from Meta Platforms Ireland or Google Ireland (no GSTIN on the invoice).</t>
  </si>
  <si>
    <t xml:space="preserve">Are you GST-registered and able to claim input credit? (Yes or No)</t>
  </si>
  <si>
    <t xml:space="preserve">RESULTS</t>
  </si>
  <si>
    <t xml:space="preserve">GST on the budget</t>
  </si>
  <si>
    <t xml:space="preserve">How it is paid</t>
  </si>
  <si>
    <t xml:space="preserve">Cash that leaves your account this month</t>
  </si>
  <si>
    <t xml:space="preserve">Recoverable later as input tax credit</t>
  </si>
  <si>
    <t xml:space="preserve">Final cost after credit</t>
  </si>
  <si>
    <t xml:space="preserve">Cash tied up until the credit is claimed</t>
  </si>
  <si>
    <t xml:space="preserve">Under reverse charge, the IGST is paid in cash first and then claimed as credit, so plan working capital for the full amount. Source: growthlife.in, 'At what monthly ad spend does hiring a marketing agency actually start making sense in India?' (Sep 2026).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</si>
</sst>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₹#,##0;&quot;(₹&quot;#,##0\);\-"/>
    <numFmt numFmtId="166" formatCode="0.0%;\(0.0%\);\-"/>
    <numFmt numFmtId="167" formatCode="#,##0;\(#,##0\);\-"/>
    <numFmt numFmtId="168" formatCode="\₹#,##0.00;&quot;(₹&quot;#,##0.00\);\-"/>
    <numFmt numFmtId="169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6CC"/>
        <bgColor rgb="FFE6F2EA"/>
      </patternFill>
    </fill>
    <fill>
      <patternFill patternType="solid">
        <fgColor rgb="FF1F2A44"/>
        <bgColor rgb="FF003366"/>
      </patternFill>
    </fill>
    <fill>
      <patternFill patternType="solid">
        <fgColor rgb="FFE8ECF4"/>
        <bgColor rgb="FFE6F2EA"/>
      </patternFill>
    </fill>
    <fill>
      <patternFill patternType="solid">
        <fgColor rgb="FFE6F2EA"/>
        <bgColor rgb="FFE8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ED8"/>
      </left>
      <right style="thin">
        <color rgb="FFC9CED8"/>
      </right>
      <top style="thin">
        <color rgb="FFC9CED8"/>
      </top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E6F2EA"/>
      <rgbColor rgb="FF660066"/>
      <rgbColor rgb="FFFF8080"/>
      <rgbColor rgb="FF0066CC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5" customFormat="false" ht="23.8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9" customFormat="false" ht="15" hidden="false" customHeight="false" outlineLevel="0" collapsed="false">
      <c r="A9" s="4" t="s">
        <v>5</v>
      </c>
    </row>
    <row r="10" customFormat="false" ht="23.8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4" customFormat="false" ht="23.85" hidden="false" customHeight="false" outlineLevel="0" collapsed="false">
      <c r="A14" s="3" t="s">
        <v>9</v>
      </c>
    </row>
    <row r="15" customFormat="false" ht="15" hidden="false" customHeight="false" outlineLevel="0" collapsed="false">
      <c r="A15" s="3" t="s">
        <v>10</v>
      </c>
    </row>
    <row r="16" customFormat="false" ht="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 t="s">
        <v>12</v>
      </c>
    </row>
    <row r="19" customFormat="false" ht="15" hidden="false" customHeight="false" outlineLevel="0" collapsed="false">
      <c r="A19" s="3" t="s">
        <v>13</v>
      </c>
    </row>
    <row r="20" customFormat="false" ht="23.85" hidden="false" customHeight="false" outlineLevel="0" collapsed="false">
      <c r="A20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15</v>
      </c>
    </row>
    <row r="2" customFormat="false" ht="15" hidden="false" customHeight="false" outlineLevel="0" collapsed="false">
      <c r="A2" s="5" t="s">
        <v>16</v>
      </c>
    </row>
    <row r="4" customFormat="false" ht="15" hidden="false" customHeight="false" outlineLevel="0" collapsed="false">
      <c r="A4" s="6" t="s">
        <v>17</v>
      </c>
      <c r="B4" s="7" t="s">
        <v>18</v>
      </c>
      <c r="C4" s="7" t="s">
        <v>19</v>
      </c>
      <c r="D4" s="8"/>
    </row>
    <row r="5" customFormat="false" ht="15" hidden="false" customHeight="false" outlineLevel="0" collapsed="false">
      <c r="A5" s="9" t="s">
        <v>20</v>
      </c>
      <c r="B5" s="10" t="n">
        <v>1000</v>
      </c>
      <c r="C5" s="10" t="n">
        <v>1000</v>
      </c>
      <c r="D5" s="11"/>
    </row>
    <row r="6" customFormat="false" ht="15" hidden="false" customHeight="false" outlineLevel="0" collapsed="false">
      <c r="A6" s="9" t="s">
        <v>21</v>
      </c>
      <c r="B6" s="12" t="n">
        <v>0.18</v>
      </c>
      <c r="C6" s="12" t="n">
        <v>0.18</v>
      </c>
      <c r="D6" s="11" t="s">
        <v>22</v>
      </c>
    </row>
    <row r="7" customFormat="false" ht="15" hidden="false" customHeight="false" outlineLevel="0" collapsed="false">
      <c r="A7" s="9" t="s">
        <v>23</v>
      </c>
      <c r="B7" s="10" t="n">
        <v>300</v>
      </c>
      <c r="C7" s="10" t="n">
        <v>300</v>
      </c>
      <c r="D7" s="11"/>
    </row>
    <row r="8" customFormat="false" ht="15" hidden="false" customHeight="false" outlineLevel="0" collapsed="false">
      <c r="A8" s="9" t="s">
        <v>24</v>
      </c>
      <c r="B8" s="10" t="n">
        <v>250</v>
      </c>
      <c r="C8" s="10" t="n">
        <v>250</v>
      </c>
      <c r="D8" s="11" t="s">
        <v>25</v>
      </c>
    </row>
    <row r="9" customFormat="false" ht="15" hidden="false" customHeight="false" outlineLevel="0" collapsed="false">
      <c r="A9" s="9" t="s">
        <v>26</v>
      </c>
      <c r="B9" s="10" t="n">
        <v>70</v>
      </c>
      <c r="C9" s="10" t="n">
        <v>70</v>
      </c>
      <c r="D9" s="11"/>
    </row>
    <row r="10" customFormat="false" ht="15" hidden="false" customHeight="false" outlineLevel="0" collapsed="false">
      <c r="A10" s="9" t="s">
        <v>27</v>
      </c>
      <c r="B10" s="10" t="n">
        <v>20</v>
      </c>
      <c r="C10" s="10" t="n">
        <v>20</v>
      </c>
      <c r="D10" s="11"/>
    </row>
    <row r="11" customFormat="false" ht="15" hidden="false" customHeight="false" outlineLevel="0" collapsed="false">
      <c r="A11" s="9" t="s">
        <v>28</v>
      </c>
      <c r="B11" s="10" t="n">
        <v>70</v>
      </c>
      <c r="C11" s="10" t="n">
        <v>70</v>
      </c>
      <c r="D11" s="11"/>
    </row>
    <row r="12" customFormat="false" ht="15" hidden="false" customHeight="false" outlineLevel="0" collapsed="false">
      <c r="A12" s="9" t="s">
        <v>29</v>
      </c>
      <c r="B12" s="12" t="n">
        <v>0.6</v>
      </c>
      <c r="C12" s="12" t="n">
        <v>0.35</v>
      </c>
      <c r="D12" s="11" t="s">
        <v>30</v>
      </c>
    </row>
    <row r="13" customFormat="false" ht="15" hidden="false" customHeight="false" outlineLevel="0" collapsed="false">
      <c r="A13" s="9" t="s">
        <v>31</v>
      </c>
      <c r="B13" s="12" t="n">
        <v>0.26</v>
      </c>
      <c r="C13" s="12" t="n">
        <v>0.26</v>
      </c>
      <c r="D13" s="11" t="s">
        <v>32</v>
      </c>
    </row>
    <row r="14" customFormat="false" ht="15" hidden="false" customHeight="false" outlineLevel="0" collapsed="false">
      <c r="A14" s="9" t="s">
        <v>33</v>
      </c>
      <c r="B14" s="12" t="n">
        <v>0.02</v>
      </c>
      <c r="C14" s="12" t="n">
        <v>0.02</v>
      </c>
      <c r="D14" s="11" t="s">
        <v>34</v>
      </c>
    </row>
    <row r="15" customFormat="false" ht="15" hidden="false" customHeight="false" outlineLevel="0" collapsed="false">
      <c r="A15" s="9" t="s">
        <v>35</v>
      </c>
      <c r="B15" s="10" t="n">
        <v>35</v>
      </c>
      <c r="C15" s="10" t="n">
        <v>35</v>
      </c>
      <c r="D15" s="11" t="s">
        <v>36</v>
      </c>
    </row>
    <row r="16" customFormat="false" ht="15" hidden="false" customHeight="false" outlineLevel="0" collapsed="false">
      <c r="A16" s="9" t="s">
        <v>37</v>
      </c>
      <c r="B16" s="12" t="n">
        <v>0.02</v>
      </c>
      <c r="C16" s="12" t="n">
        <v>0.02</v>
      </c>
      <c r="D16" s="11"/>
    </row>
    <row r="17" customFormat="false" ht="15" hidden="false" customHeight="false" outlineLevel="0" collapsed="false">
      <c r="A17" s="9" t="s">
        <v>38</v>
      </c>
      <c r="B17" s="12" t="n">
        <v>0</v>
      </c>
      <c r="C17" s="12" t="n">
        <v>0.05</v>
      </c>
      <c r="D17" s="11" t="s">
        <v>39</v>
      </c>
    </row>
    <row r="18" customFormat="false" ht="15" hidden="false" customHeight="false" outlineLevel="0" collapsed="false">
      <c r="A18" s="9" t="s">
        <v>40</v>
      </c>
      <c r="B18" s="12" t="n">
        <v>0.1</v>
      </c>
      <c r="C18" s="12" t="n">
        <v>0.1</v>
      </c>
      <c r="D18" s="11"/>
    </row>
    <row r="19" customFormat="false" ht="15" hidden="false" customHeight="false" outlineLevel="0" collapsed="false">
      <c r="A19" s="9" t="s">
        <v>41</v>
      </c>
      <c r="B19" s="13" t="n">
        <v>3000</v>
      </c>
      <c r="C19" s="13" t="n">
        <v>3000</v>
      </c>
      <c r="D19" s="11"/>
    </row>
    <row r="21" customFormat="false" ht="15" hidden="false" customHeight="false" outlineLevel="0" collapsed="false">
      <c r="A21" s="14" t="s">
        <v>42</v>
      </c>
      <c r="B21" s="15"/>
      <c r="C21" s="15"/>
      <c r="D21" s="15"/>
    </row>
    <row r="22" customFormat="false" ht="15" hidden="false" customHeight="false" outlineLevel="0" collapsed="false">
      <c r="A22" s="9" t="s">
        <v>43</v>
      </c>
      <c r="B22" s="16" t="n">
        <f aca="false">B12*(1-B13)+(1-B12)*(1-B14)</f>
        <v>0.836</v>
      </c>
      <c r="C22" s="16" t="n">
        <f aca="false">C12*(1-C13)+(1-C12)*(1-C14)</f>
        <v>0.896</v>
      </c>
    </row>
    <row r="23" customFormat="false" ht="15" hidden="false" customHeight="false" outlineLevel="0" collapsed="false">
      <c r="A23" s="9" t="s">
        <v>44</v>
      </c>
      <c r="B23" s="16" t="n">
        <f aca="false">1-B22</f>
        <v>0.164</v>
      </c>
      <c r="C23" s="16" t="n">
        <f aca="false">1-C22</f>
        <v>0.104</v>
      </c>
    </row>
    <row r="24" customFormat="false" ht="15" hidden="false" customHeight="false" outlineLevel="0" collapsed="false">
      <c r="A24" s="17" t="s">
        <v>45</v>
      </c>
      <c r="B24" s="18" t="n">
        <f aca="false">(B12*(1-B13)*B5+(1-B12)*(1-B14)*B5*(1-B17))/(1+B6)</f>
        <v>708.474576271187</v>
      </c>
      <c r="C24" s="18" t="n">
        <f aca="false">(C12*(1-C13)*C5+(1-C12)*(1-C14)*C5*(1-C17))/(1+C6)</f>
        <v>732.330508474576</v>
      </c>
    </row>
    <row r="25" customFormat="false" ht="15" hidden="false" customHeight="false" outlineLevel="0" collapsed="false">
      <c r="A25" s="9" t="s">
        <v>46</v>
      </c>
      <c r="B25" s="19" t="n">
        <f aca="false">-B22*B7</f>
        <v>-250.8</v>
      </c>
      <c r="C25" s="19" t="n">
        <f aca="false">-C22*C7</f>
        <v>-268.8</v>
      </c>
    </row>
    <row r="26" customFormat="false" ht="15" hidden="false" customHeight="false" outlineLevel="0" collapsed="false">
      <c r="A26" s="9" t="s">
        <v>47</v>
      </c>
      <c r="B26" s="19" t="n">
        <f aca="false">-B23*B7*B18</f>
        <v>-4.92</v>
      </c>
      <c r="C26" s="19" t="n">
        <f aca="false">-C23*C7*C18</f>
        <v>-3.12</v>
      </c>
    </row>
    <row r="27" customFormat="false" ht="15" hidden="false" customHeight="false" outlineLevel="0" collapsed="false">
      <c r="A27" s="9" t="s">
        <v>48</v>
      </c>
      <c r="B27" s="19" t="n">
        <f aca="false">-B8</f>
        <v>-250</v>
      </c>
      <c r="C27" s="19" t="n">
        <f aca="false">-C8</f>
        <v>-250</v>
      </c>
    </row>
    <row r="28" customFormat="false" ht="15" hidden="false" customHeight="false" outlineLevel="0" collapsed="false">
      <c r="A28" s="9" t="s">
        <v>49</v>
      </c>
      <c r="B28" s="19" t="n">
        <f aca="false">-(B9+B10)</f>
        <v>-90</v>
      </c>
      <c r="C28" s="19" t="n">
        <f aca="false">-(C9+C10)</f>
        <v>-90</v>
      </c>
    </row>
    <row r="29" customFormat="false" ht="15" hidden="false" customHeight="false" outlineLevel="0" collapsed="false">
      <c r="A29" s="9" t="s">
        <v>50</v>
      </c>
      <c r="B29" s="19" t="n">
        <f aca="false">-B23*B11</f>
        <v>-11.48</v>
      </c>
      <c r="C29" s="19" t="n">
        <f aca="false">-C23*C11</f>
        <v>-7.28</v>
      </c>
    </row>
    <row r="30" customFormat="false" ht="15" hidden="false" customHeight="false" outlineLevel="0" collapsed="false">
      <c r="A30" s="9" t="s">
        <v>51</v>
      </c>
      <c r="B30" s="19" t="n">
        <f aca="false">-B12*(1-B13)*B15</f>
        <v>-15.54</v>
      </c>
      <c r="C30" s="19" t="n">
        <f aca="false">-C12*(1-C13)*C15</f>
        <v>-9.065</v>
      </c>
    </row>
    <row r="31" customFormat="false" ht="15" hidden="false" customHeight="false" outlineLevel="0" collapsed="false">
      <c r="A31" s="9" t="s">
        <v>52</v>
      </c>
      <c r="B31" s="19" t="n">
        <f aca="false">-(1-B12)*(1-B14)*B5*(1-B17)*B16</f>
        <v>-7.84</v>
      </c>
      <c r="C31" s="19" t="n">
        <f aca="false">-(1-C12)*(1-C14)*C5*(1-C17)*C16</f>
        <v>-12.103</v>
      </c>
    </row>
    <row r="32" customFormat="false" ht="15" hidden="false" customHeight="false" outlineLevel="0" collapsed="false">
      <c r="A32" s="17" t="s">
        <v>53</v>
      </c>
      <c r="B32" s="18" t="n">
        <f aca="false">SUM(B24:B31)</f>
        <v>77.8945762711865</v>
      </c>
      <c r="C32" s="18" t="n">
        <f aca="false">SUM(C24:C31)</f>
        <v>91.9625084745763</v>
      </c>
    </row>
    <row r="34" customFormat="false" ht="15" hidden="false" customHeight="false" outlineLevel="0" collapsed="false">
      <c r="A34" s="14" t="s">
        <v>54</v>
      </c>
      <c r="B34" s="15"/>
      <c r="C34" s="15"/>
      <c r="D34" s="15"/>
    </row>
    <row r="35" customFormat="false" ht="15" hidden="false" customHeight="false" outlineLevel="0" collapsed="false">
      <c r="A35" s="17" t="s">
        <v>55</v>
      </c>
      <c r="B35" s="20" t="n">
        <f aca="false">IFERROR(B32/B22,0)</f>
        <v>93.1753304679264</v>
      </c>
      <c r="C35" s="20" t="n">
        <f aca="false">IFERROR(C32/C22,0)</f>
        <v>102.636728208232</v>
      </c>
    </row>
    <row r="36" customFormat="false" ht="15" hidden="false" customHeight="false" outlineLevel="0" collapsed="false">
      <c r="A36" s="17" t="s">
        <v>56</v>
      </c>
      <c r="B36" s="21" t="n">
        <f aca="false">IFERROR(B32/B24,0)</f>
        <v>0.109946889952153</v>
      </c>
      <c r="C36" s="21" t="n">
        <f aca="false">IFERROR(C32/C24,0)</f>
        <v>0.125575143204305</v>
      </c>
    </row>
    <row r="37" customFormat="false" ht="15" hidden="false" customHeight="false" outlineLevel="0" collapsed="false">
      <c r="A37" s="17" t="s">
        <v>57</v>
      </c>
      <c r="B37" s="20" t="n">
        <f aca="false">B23*(B8+B9+B10+B11)</f>
        <v>67.24</v>
      </c>
      <c r="C37" s="20" t="n">
        <f aca="false">C23*(C8+C9+C10+C11)</f>
        <v>42.64</v>
      </c>
    </row>
    <row r="38" customFormat="false" ht="15" hidden="false" customHeight="false" outlineLevel="0" collapsed="false">
      <c r="A38" s="17" t="s">
        <v>58</v>
      </c>
      <c r="B38" s="22" t="n">
        <f aca="false">B32*B19</f>
        <v>233683.728813559</v>
      </c>
      <c r="C38" s="22" t="n">
        <f aca="false">C32*C19</f>
        <v>275887.525423729</v>
      </c>
    </row>
    <row r="39" customFormat="false" ht="15" hidden="false" customHeight="false" outlineLevel="0" collapsed="false">
      <c r="A39" s="17" t="s">
        <v>59</v>
      </c>
      <c r="C39" s="22" t="n">
        <f aca="false">C38-B38</f>
        <v>42203.7966101694</v>
      </c>
      <c r="D39" s="11" t="s">
        <v>60</v>
      </c>
    </row>
    <row r="41" customFormat="false" ht="15" hidden="false" customHeight="true" outlineLevel="0" collapsed="false">
      <c r="A41" s="23" t="s">
        <v>14</v>
      </c>
      <c r="B41" s="23"/>
      <c r="C41" s="23"/>
      <c r="D41" s="23"/>
    </row>
  </sheetData>
  <mergeCells count="1">
    <mergeCell ref="A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5" t="s">
        <v>62</v>
      </c>
    </row>
    <row r="4" customFormat="false" ht="15" hidden="false" customHeight="false" outlineLevel="0" collapsed="false">
      <c r="A4" s="14" t="s">
        <v>17</v>
      </c>
      <c r="B4" s="15"/>
      <c r="C4" s="15"/>
    </row>
    <row r="5" customFormat="false" ht="15" hidden="false" customHeight="false" outlineLevel="0" collapsed="false">
      <c r="A5" s="9" t="s">
        <v>63</v>
      </c>
      <c r="B5" s="10" t="n">
        <v>100000</v>
      </c>
    </row>
    <row r="6" customFormat="false" ht="15" hidden="false" customHeight="false" outlineLevel="0" collapsed="false">
      <c r="A6" s="9" t="s">
        <v>64</v>
      </c>
      <c r="B6" s="12" t="n">
        <v>0.18</v>
      </c>
      <c r="C6" s="11" t="s">
        <v>65</v>
      </c>
    </row>
    <row r="7" customFormat="false" ht="15" hidden="false" customHeight="false" outlineLevel="0" collapsed="false">
      <c r="A7" s="9" t="s">
        <v>66</v>
      </c>
      <c r="B7" s="24" t="s">
        <v>67</v>
      </c>
      <c r="C7" s="11" t="s">
        <v>68</v>
      </c>
    </row>
    <row r="8" customFormat="false" ht="23.85" hidden="false" customHeight="false" outlineLevel="0" collapsed="false">
      <c r="A8" s="9" t="s">
        <v>69</v>
      </c>
      <c r="B8" s="24" t="s">
        <v>67</v>
      </c>
    </row>
    <row r="10" customFormat="false" ht="15" hidden="false" customHeight="false" outlineLevel="0" collapsed="false">
      <c r="A10" s="14" t="s">
        <v>70</v>
      </c>
      <c r="B10" s="15"/>
      <c r="C10" s="15"/>
    </row>
    <row r="11" customFormat="false" ht="15" hidden="false" customHeight="false" outlineLevel="0" collapsed="false">
      <c r="A11" s="9" t="s">
        <v>71</v>
      </c>
      <c r="B11" s="25" t="n">
        <f aca="false">B5*B6</f>
        <v>18000</v>
      </c>
    </row>
    <row r="12" customFormat="false" ht="30" hidden="false" customHeight="true" outlineLevel="0" collapsed="false">
      <c r="A12" s="9" t="s">
        <v>72</v>
      </c>
      <c r="B12" s="26" t="str">
        <f aca="false">IF(B7="Yes","Reverse charge: you self-assess and pay it","Charged on the invoice")</f>
        <v>Reverse charge: you self-assess and pay it</v>
      </c>
    </row>
    <row r="13" customFormat="false" ht="15" hidden="false" customHeight="false" outlineLevel="0" collapsed="false">
      <c r="A13" s="17" t="s">
        <v>73</v>
      </c>
      <c r="B13" s="22" t="n">
        <f aca="false">B5+B11</f>
        <v>118000</v>
      </c>
    </row>
    <row r="14" customFormat="false" ht="15" hidden="false" customHeight="false" outlineLevel="0" collapsed="false">
      <c r="A14" s="9" t="s">
        <v>74</v>
      </c>
      <c r="B14" s="25" t="n">
        <f aca="false">IF(B8="Yes",B11,0)</f>
        <v>18000</v>
      </c>
    </row>
    <row r="15" customFormat="false" ht="15" hidden="false" customHeight="false" outlineLevel="0" collapsed="false">
      <c r="A15" s="17" t="s">
        <v>75</v>
      </c>
      <c r="B15" s="22" t="n">
        <f aca="false">B13-B14</f>
        <v>100000</v>
      </c>
    </row>
    <row r="16" customFormat="false" ht="15" hidden="false" customHeight="false" outlineLevel="0" collapsed="false">
      <c r="A16" s="17" t="s">
        <v>76</v>
      </c>
      <c r="B16" s="22" t="n">
        <f aca="false">B14</f>
        <v>18000</v>
      </c>
    </row>
    <row r="18" customFormat="false" ht="42" hidden="false" customHeight="true" outlineLevel="0" collapsed="false">
      <c r="A18" s="23" t="s">
        <v>77</v>
      </c>
      <c r="B18" s="23"/>
      <c r="C18" s="23"/>
    </row>
    <row r="20" customFormat="false" ht="15" hidden="false" customHeight="true" outlineLevel="0" collapsed="false">
      <c r="A20" s="23" t="s">
        <v>14</v>
      </c>
      <c r="B20" s="23"/>
      <c r="C20" s="23"/>
    </row>
  </sheetData>
  <mergeCells count="2">
    <mergeCell ref="A18:C18"/>
    <mergeCell ref="A20:C20"/>
  </mergeCells>
  <dataValidations count="1">
    <dataValidation allowBlank="false" errorStyle="stop" operator="between" showDropDown="false" showErrorMessage="false" showInputMessage="false" sqref="B7:B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2026-10-11T12:16:47Z</dcterms:created>
  <dc:creator>openpyxl</dc:creator>
  <dc:description/>
  <dc:language>en-US</dc:language>
  <cp:lastModifiedBy/>
  <dcterms:modified xsi:type="dcterms:W3CDTF">2026-10-11T12:16:47Z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