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ettings" sheetId="2" state="visible" r:id="rId4"/>
    <sheet name="Orders" sheetId="3" state="visible" r:id="rId5"/>
    <sheet name="By State" sheetId="4" state="visible" r:id="rId6"/>
    <sheet name="By Pin Code" sheetId="5" state="visible" r:id="rId7"/>
  </sheets>
  <definedNames>
    <definedName function="false" hidden="true" localSheetId="4" name="_xlnm._FilterDatabase" vbProcedure="false">'By Pin Code'!$A$4:$J$2004</definedName>
    <definedName function="false" hidden="true" localSheetId="3" name="_xlnm._FilterDatabase" vbProcedure="false">'By State'!$A$4:$J$40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<sst xmlns="http://schemas.openxmlformats.org/spreadsheetml/2006/main" count="103" uniqueCount="91">
  <si>
    <t xml:space="preserve">Marginwise RTO Finder: which states and pin codes are costing you</t>
  </si>
  <si>
    <t xml:space="preserve">What this does</t>
  </si>
  <si>
    <t xml:space="preserve">Ranks states and pin codes by RTO rate and by what RTO costs you, so you can switch off COD only where it loses money instead of everywhere.</t>
  </si>
  <si>
    <t xml:space="preserve">Steps (about 10 minutes)</t>
  </si>
  <si>
    <t xml:space="preserve">1. Export the last 90 days of shipped orders from Shopify, WooCommerce or your shipping aggregator (Shiprocket, Shipway, etc.).</t>
  </si>
  <si>
    <t xml:space="preserve">2. Paste them into the 'Orders' tab from row 2, matching the column order: Order ID, Order date, Pin code, State, Payment method, Final status, Order value.</t>
  </si>
  <si>
    <t xml:space="preserve">3. Payment method must be COD or Prepaid. Final status must be Delivered or RTO. Leave orders still in transit or cancelled before dispatch out of the paste, or mark them anything else and they will be ignored.</t>
  </si>
  <si>
    <t xml:space="preserve">4. State names must match the list on the 'By State' tab (for example 'Tamil Nadu', not 'TN').</t>
  </si>
  <si>
    <t xml:space="preserve">5. For pin codes: copy the Pin code column, remove duplicates (Google Sheets: Data &gt; Data cleanup &gt; Remove duplicates; Excel: Data &gt; Remove Duplicates), and paste the unique list into column A of 'By Pin Code'.</t>
  </si>
  <si>
    <t xml:space="preserve">6. Check the yellow cells on the 'Settings' tab (shipping, ad cost per order, thresholds).</t>
  </si>
  <si>
    <t xml:space="preserve">Example row for the Orders tab</t>
  </si>
  <si>
    <t xml:space="preserve">#10234 | 2026-09-14 | 302001 | Rajasthan | COD | RTO | 1299</t>
  </si>
  <si>
    <t xml:space="preserve">How to read the result</t>
  </si>
  <si>
    <t xml:space="preserve">'Restrict COD or verify' means COD RTO in that area is at or above your threshold and there are enough orders to trust the rate. Options: prepaid-only, a small prepaid discount, or confirming COD orders by WhatsApp or call before dispatch.</t>
  </si>
  <si>
    <t xml:space="preserve">'Too few orders' means the sample is too small to judge. Do not switch COD off on a handful of orders.</t>
  </si>
  <si>
    <t xml:space="preserve">Benchmark: Shipway ShipNotes FY25 reports 26% RTO on COD orders in India versus under 2% on prepaid (via MediaBrief).</t>
  </si>
  <si>
    <t xml:space="preserve">Want a second pair of eyes?</t>
  </si>
  <si>
    <t xml:space="preserve">Book a free 30-minute call at marginwise.in. Bring this sheet and we will go through it.</t>
  </si>
  <si>
    <t xml:space="preserve">Marginwise | marginwise.in | Built for D2C and Shopify brands in India, the US and the UK. Scenarios to plan with, not a promise of results.</t>
  </si>
  <si>
    <t xml:space="preserve">Settings</t>
  </si>
  <si>
    <t xml:space="preserve">Edit the yellow cells only.</t>
  </si>
  <si>
    <t xml:space="preserve">Forward shipping per order (₹)</t>
  </si>
  <si>
    <t xml:space="preserve">Packaging per order (₹)</t>
  </si>
  <si>
    <t xml:space="preserve">Return shipping per RTO (₹)</t>
  </si>
  <si>
    <t xml:space="preserve">Ad cost per order placed (₹)</t>
  </si>
  <si>
    <t xml:space="preserve">Ad spend / orders placed. Wasted on every RTO.</t>
  </si>
  <si>
    <t xml:space="preserve">Minimum COD orders before judging an area</t>
  </si>
  <si>
    <t xml:space="preserve">Below this, the rate is too noisy to act on.</t>
  </si>
  <si>
    <t xml:space="preserve">COD RTO rate that triggers action</t>
  </si>
  <si>
    <t xml:space="preserve">Set this above your store average.</t>
  </si>
  <si>
    <t xml:space="preserve">Cost of one COD RTO (₹)</t>
  </si>
  <si>
    <t xml:space="preserve">Forward + packaging + return + wasted ad cost. Excludes damaged stock.</t>
  </si>
  <si>
    <t xml:space="preserve">Order ID</t>
  </si>
  <si>
    <t xml:space="preserve">Order date</t>
  </si>
  <si>
    <t xml:space="preserve">Pin code</t>
  </si>
  <si>
    <t xml:space="preserve">State</t>
  </si>
  <si>
    <t xml:space="preserve">Payment method</t>
  </si>
  <si>
    <t xml:space="preserve">Final status</t>
  </si>
  <si>
    <t xml:space="preserve">Order value (₹)</t>
  </si>
  <si>
    <t xml:space="preserve">Paste from row 2. Payment method: COD or Prepaid. Final status: Delivered or RTO.</t>
  </si>
  <si>
    <t xml:space="preserve">RTO by state</t>
  </si>
  <si>
    <t xml:space="preserve">Calculated from the Orders tab. Do not edit except column A on By Pin Code.</t>
  </si>
  <si>
    <t xml:space="preserve">COD shipped</t>
  </si>
  <si>
    <t xml:space="preserve">COD RTO</t>
  </si>
  <si>
    <t xml:space="preserve">COD RTO rate</t>
  </si>
  <si>
    <t xml:space="preserve">Prepaid shipped</t>
  </si>
  <si>
    <t xml:space="preserve">Prepaid RTO</t>
  </si>
  <si>
    <t xml:space="preserve">Prepaid RTO rate</t>
  </si>
  <si>
    <t xml:space="preserve">Cost of COD RTO (₹)</t>
  </si>
  <si>
    <t xml:space="preserve">Cost rank</t>
  </si>
  <si>
    <t xml:space="preserve">Action</t>
  </si>
  <si>
    <t xml:space="preserve">Andhra Pradesh</t>
  </si>
  <si>
    <t xml:space="preserve">Arunachal Pradesh</t>
  </si>
  <si>
    <t xml:space="preserve">Assam</t>
  </si>
  <si>
    <t xml:space="preserve">Bihar</t>
  </si>
  <si>
    <t xml:space="preserve">Chhattisgarh</t>
  </si>
  <si>
    <t xml:space="preserve">Goa</t>
  </si>
  <si>
    <t xml:space="preserve">Gujarat</t>
  </si>
  <si>
    <t xml:space="preserve">Haryana</t>
  </si>
  <si>
    <t xml:space="preserve">Himachal Pradesh</t>
  </si>
  <si>
    <t xml:space="preserve">Jharkhand</t>
  </si>
  <si>
    <t xml:space="preserve">Karnataka</t>
  </si>
  <si>
    <t xml:space="preserve">Kerala</t>
  </si>
  <si>
    <t xml:space="preserve">Madhya Pradesh</t>
  </si>
  <si>
    <t xml:space="preserve">Maharashtra</t>
  </si>
  <si>
    <t xml:space="preserve">Manipur</t>
  </si>
  <si>
    <t xml:space="preserve">Meghalaya</t>
  </si>
  <si>
    <t xml:space="preserve">Mizoram</t>
  </si>
  <si>
    <t xml:space="preserve">Nagaland</t>
  </si>
  <si>
    <t xml:space="preserve">Odisha</t>
  </si>
  <si>
    <t xml:space="preserve">Punjab</t>
  </si>
  <si>
    <t xml:space="preserve">Rajasthan</t>
  </si>
  <si>
    <t xml:space="preserve">Sikkim</t>
  </si>
  <si>
    <t xml:space="preserve">Tamil Nadu</t>
  </si>
  <si>
    <t xml:space="preserve">Telangana</t>
  </si>
  <si>
    <t xml:space="preserve">Tripura</t>
  </si>
  <si>
    <t xml:space="preserve">Uttar Pradesh</t>
  </si>
  <si>
    <t xml:space="preserve">Uttarakhand</t>
  </si>
  <si>
    <t xml:space="preserve">West Bengal</t>
  </si>
  <si>
    <t xml:space="preserve">Andaman and Nicobar Islands</t>
  </si>
  <si>
    <t xml:space="preserve">Chandigarh</t>
  </si>
  <si>
    <t xml:space="preserve">Dadra and Nagar Haveli and Daman and Diu</t>
  </si>
  <si>
    <t xml:space="preserve">Delhi</t>
  </si>
  <si>
    <t xml:space="preserve">Jammu and Kashmir</t>
  </si>
  <si>
    <t xml:space="preserve">Ladakh</t>
  </si>
  <si>
    <t xml:space="preserve">Lakshadweep</t>
  </si>
  <si>
    <t xml:space="preserve">Puducherry</t>
  </si>
  <si>
    <t xml:space="preserve">All</t>
  </si>
  <si>
    <t xml:space="preserve">RTO by pin code</t>
  </si>
  <si>
    <t xml:space="preserve">Paste your unique pin codes into the yellow column A from row 5. Use the filter on 'Cost rank' to sort.</t>
  </si>
  <si>
    <t xml:space="preserve">Pin code (paste unique list)</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</si>
</sst>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
    <numFmt numFmtId="169" formatCode="@"/>
  </numFmts>
  <fonts count="12">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b val="true"/>
      <sz val="11"/>
      <color rgb="FF1F2A44"/>
      <name val="Arial"/>
      <family val="0"/>
      <charset val="1"/>
    </font>
    <font>
      <sz val="10"/>
      <color rgb="FF000000"/>
      <name val="Arial"/>
      <family val="0"/>
      <charset val="1"/>
    </font>
    <font>
      <sz val="10"/>
      <color rgb="FF0000FF"/>
      <name val="Arial"/>
      <family val="0"/>
      <charset val="1"/>
    </font>
    <font>
      <i val="true"/>
      <sz val="10"/>
      <color rgb="FF555555"/>
      <name val="Arial"/>
      <family val="0"/>
      <charset val="1"/>
    </font>
    <font>
      <i val="true"/>
      <sz val="9"/>
      <color rgb="FF555555"/>
      <name val="Arial"/>
      <family val="0"/>
      <charset val="1"/>
    </font>
    <font>
      <b val="true"/>
      <sz val="10"/>
      <color rgb="FF000000"/>
      <name val="Arial"/>
      <family val="0"/>
      <charset val="1"/>
    </font>
    <font>
      <b val="true"/>
      <sz val="10"/>
      <color rgb="FFFFFFFF"/>
      <name val="Arial"/>
      <family val="0"/>
      <charset val="1"/>
    </font>
  </fonts>
  <fills count="5">
    <fill>
      <patternFill patternType="none"/>
    </fill>
    <fill>
      <patternFill patternType="gray125"/>
    </fill>
    <fill>
      <patternFill patternType="solid">
        <fgColor rgb="FFFFF6CC"/>
        <bgColor rgb="FFE6F2EA"/>
      </patternFill>
    </fill>
    <fill>
      <patternFill patternType="solid">
        <fgColor rgb="FFE6F2EA"/>
        <bgColor rgb="FFFFF6CC"/>
      </patternFill>
    </fill>
    <fill>
      <patternFill patternType="solid">
        <fgColor rgb="FF1F2A44"/>
        <bgColor rgb="FF003366"/>
      </patternFill>
    </fill>
  </fills>
  <borders count="2">
    <border diagonalUp="false" diagonalDown="false">
      <left/>
      <right/>
      <top/>
      <bottom/>
      <diagonal/>
    </border>
    <border diagonalUp="false" diagonalDown="false">
      <left style="thin">
        <color rgb="FFC9CED8"/>
      </left>
      <right style="thin">
        <color rgb="FFC9CED8"/>
      </right>
      <top style="thin">
        <color rgb="FFC9CED8"/>
      </top>
      <bottom style="thin">
        <color rgb="FFC9CE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5" fontId="7" fillId="2"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7" fillId="2" borderId="1" xfId="0" applyFont="true" applyBorder="true" applyAlignment="true" applyProtection="false">
      <alignment horizontal="right" vertical="bottom" textRotation="0" wrapText="false" indent="0" shrinkToFit="false"/>
      <protection locked="true" hidden="false"/>
    </xf>
    <xf numFmtId="167" fontId="7" fillId="2"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5" fontId="10" fillId="3" borderId="1" xfId="0" applyFont="true" applyBorder="true" applyAlignment="true" applyProtection="false">
      <alignment horizontal="right"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8" fontId="6" fillId="0" borderId="0" xfId="0" applyFont="true" applyBorder="false" applyAlignment="true" applyProtection="false">
      <alignment horizontal="right" vertical="bottom" textRotation="0" wrapText="false" indent="0" shrinkToFit="false"/>
      <protection locked="true" hidden="false"/>
    </xf>
    <xf numFmtId="169" fontId="6" fillId="0" borderId="0" xfId="0" applyFont="true" applyBorder="false" applyAlignment="true" applyProtection="false">
      <alignment horizontal="left"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false">
      <alignment horizontal="general" vertical="bottom" textRotation="0" wrapText="false" indent="0" shrinkToFit="false"/>
      <protection locked="true" hidden="false"/>
    </xf>
    <xf numFmtId="167" fontId="10" fillId="3" borderId="0" xfId="0" applyFont="true" applyBorder="false" applyAlignment="false" applyProtection="false">
      <alignment horizontal="general" vertical="bottom"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2A4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E6F2EA"/>
      <rgbColor rgb="FF660066"/>
      <rgbColor rgb="FFFF8080"/>
      <rgbColor rgb="FF0066CC"/>
      <rgbColor rgb="FFC9CE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0</v>
      </c>
    </row>
    <row r="3" customFormat="false" ht="15" hidden="false" customHeight="false" outlineLevel="0" collapsed="false">
      <c r="A3" s="2" t="s">
        <v>1</v>
      </c>
    </row>
    <row r="5" customFormat="false" ht="23.85" hidden="false" customHeight="false" outlineLevel="0" collapsed="false">
      <c r="A5" s="3" t="s">
        <v>2</v>
      </c>
    </row>
    <row r="6" customFormat="false" ht="15" hidden="false" customHeight="false" outlineLevel="0" collapsed="false">
      <c r="A6" s="2" t="s">
        <v>3</v>
      </c>
    </row>
    <row r="8" customFormat="false" ht="15" hidden="false" customHeight="false" outlineLevel="0" collapsed="false">
      <c r="A8" s="3" t="s">
        <v>4</v>
      </c>
    </row>
    <row r="9" customFormat="false" ht="23.85" hidden="false" customHeight="false" outlineLevel="0" collapsed="false">
      <c r="A9" s="3" t="s">
        <v>5</v>
      </c>
    </row>
    <row r="10" customFormat="false" ht="23.85" hidden="false" customHeight="false" outlineLevel="0" collapsed="false">
      <c r="A10" s="3" t="s">
        <v>6</v>
      </c>
    </row>
    <row r="11" customFormat="false" ht="15" hidden="false" customHeight="false" outlineLevel="0" collapsed="false">
      <c r="A11" s="3" t="s">
        <v>7</v>
      </c>
    </row>
    <row r="12" customFormat="false" ht="23.85" hidden="false" customHeight="false" outlineLevel="0" collapsed="false">
      <c r="A12" s="3" t="s">
        <v>8</v>
      </c>
    </row>
    <row r="13" customFormat="false" ht="15" hidden="false" customHeight="false" outlineLevel="0" collapsed="false">
      <c r="A13" s="4" t="s">
        <v>9</v>
      </c>
    </row>
    <row r="14" customFormat="false" ht="15" hidden="false" customHeight="false" outlineLevel="0" collapsed="false">
      <c r="A14" s="2" t="s">
        <v>10</v>
      </c>
    </row>
    <row r="16" customFormat="false" ht="15" hidden="false" customHeight="false" outlineLevel="0" collapsed="false">
      <c r="A16" s="3" t="s">
        <v>11</v>
      </c>
    </row>
    <row r="17" customFormat="false" ht="15" hidden="false" customHeight="false" outlineLevel="0" collapsed="false">
      <c r="A17" s="2" t="s">
        <v>12</v>
      </c>
    </row>
    <row r="19" customFormat="false" ht="23.85" hidden="false" customHeight="false" outlineLevel="0" collapsed="false">
      <c r="A19" s="3" t="s">
        <v>13</v>
      </c>
    </row>
    <row r="20" customFormat="false" ht="15" hidden="false" customHeight="false" outlineLevel="0" collapsed="false">
      <c r="A20" s="3" t="s">
        <v>14</v>
      </c>
    </row>
    <row r="21" customFormat="false" ht="15" hidden="false" customHeight="false" outlineLevel="0" collapsed="false">
      <c r="A21" s="3" t="s">
        <v>15</v>
      </c>
    </row>
    <row r="22" customFormat="false" ht="15" hidden="false" customHeight="false" outlineLevel="0" collapsed="false">
      <c r="A22" s="2" t="s">
        <v>16</v>
      </c>
    </row>
    <row r="24" customFormat="false" ht="15" hidden="false" customHeight="false" outlineLevel="0" collapsed="false">
      <c r="A24" s="3" t="s">
        <v>17</v>
      </c>
    </row>
    <row r="25" customFormat="false" ht="23.85" hidden="false" customHeight="false" outlineLevel="0" collapsed="false">
      <c r="A25"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6"/>
    <col collapsed="false" customWidth="true" hidden="false" outlineLevel="0" max="3" min="3" style="0" width="60"/>
  </cols>
  <sheetData>
    <row r="1" customFormat="false" ht="19.7" hidden="false" customHeight="false" outlineLevel="0" collapsed="false">
      <c r="A1" s="1" t="s">
        <v>19</v>
      </c>
    </row>
    <row r="2" customFormat="false" ht="15" hidden="false" customHeight="false" outlineLevel="0" collapsed="false">
      <c r="A2" s="5" t="s">
        <v>20</v>
      </c>
    </row>
    <row r="4" customFormat="false" ht="15" hidden="false" customHeight="false" outlineLevel="0" collapsed="false">
      <c r="A4" s="6" t="s">
        <v>21</v>
      </c>
      <c r="B4" s="7" t="n">
        <v>70</v>
      </c>
      <c r="C4" s="8"/>
    </row>
    <row r="5" customFormat="false" ht="15" hidden="false" customHeight="false" outlineLevel="0" collapsed="false">
      <c r="A5" s="6" t="s">
        <v>22</v>
      </c>
      <c r="B5" s="7" t="n">
        <v>20</v>
      </c>
      <c r="C5" s="8"/>
    </row>
    <row r="6" customFormat="false" ht="15" hidden="false" customHeight="false" outlineLevel="0" collapsed="false">
      <c r="A6" s="6" t="s">
        <v>23</v>
      </c>
      <c r="B6" s="7" t="n">
        <v>70</v>
      </c>
      <c r="C6" s="8"/>
    </row>
    <row r="7" customFormat="false" ht="15" hidden="false" customHeight="false" outlineLevel="0" collapsed="false">
      <c r="A7" s="6" t="s">
        <v>24</v>
      </c>
      <c r="B7" s="7" t="n">
        <v>250</v>
      </c>
      <c r="C7" s="8" t="s">
        <v>25</v>
      </c>
    </row>
    <row r="8" customFormat="false" ht="15" hidden="false" customHeight="false" outlineLevel="0" collapsed="false">
      <c r="A8" s="6" t="s">
        <v>26</v>
      </c>
      <c r="B8" s="9" t="n">
        <v>20</v>
      </c>
      <c r="C8" s="8" t="s">
        <v>27</v>
      </c>
    </row>
    <row r="9" customFormat="false" ht="15" hidden="false" customHeight="false" outlineLevel="0" collapsed="false">
      <c r="A9" s="6" t="s">
        <v>28</v>
      </c>
      <c r="B9" s="10" t="n">
        <v>0.3</v>
      </c>
      <c r="C9" s="8" t="s">
        <v>29</v>
      </c>
    </row>
    <row r="11" customFormat="false" ht="15" hidden="false" customHeight="false" outlineLevel="0" collapsed="false">
      <c r="A11" s="11" t="s">
        <v>30</v>
      </c>
      <c r="B11" s="12" t="n">
        <f aca="false">B4+B5+B6+B7</f>
        <v>410</v>
      </c>
      <c r="C11" s="8"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
    <col collapsed="false" customWidth="true" hidden="false" outlineLevel="0" max="4" min="4" style="0" width="30"/>
    <col collapsed="false" customWidth="true" hidden="false" outlineLevel="0" max="5" min="5" style="0" width="18"/>
    <col collapsed="false" customWidth="true" hidden="false" outlineLevel="0" max="7" min="6" style="0" width="16"/>
  </cols>
  <sheetData>
    <row r="1" customFormat="false" ht="15" hidden="false" customHeight="false" outlineLevel="0" collapsed="false">
      <c r="A1" s="13" t="s">
        <v>32</v>
      </c>
      <c r="B1" s="13" t="s">
        <v>33</v>
      </c>
      <c r="C1" s="13" t="s">
        <v>34</v>
      </c>
      <c r="D1" s="13" t="s">
        <v>35</v>
      </c>
      <c r="E1" s="13" t="s">
        <v>36</v>
      </c>
      <c r="F1" s="13" t="s">
        <v>37</v>
      </c>
      <c r="G1" s="13" t="s">
        <v>38</v>
      </c>
      <c r="I1" s="14" t="s">
        <v>39</v>
      </c>
    </row>
  </sheetData>
  <dataValidations count="2">
    <dataValidation allowBlank="true" errorStyle="stop" operator="between" showDropDown="false" showErrorMessage="false" showInputMessage="false" sqref="E2:E1001" type="list">
      <formula1>"COD,Prepaid"</formula1>
      <formula2>0</formula2>
    </dataValidation>
    <dataValidation allowBlank="true" errorStyle="stop" operator="between" showDropDown="false" showErrorMessage="false" showInputMessage="false" sqref="F2:F1001" type="list">
      <formula1>"Delivered,RTO"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 collapsed="false" customWidth="true" hidden="false" outlineLevel="0" max="8" min="8" style="0" width="18"/>
    <col collapsed="false" customWidth="true" hidden="false" outlineLevel="0" max="9" min="9" style="0" width="10"/>
    <col collapsed="false" customWidth="true" hidden="false" outlineLevel="0" max="10" min="10" style="0" width="26"/>
  </cols>
  <sheetData>
    <row r="1" customFormat="false" ht="19.7" hidden="false" customHeight="false" outlineLevel="0" collapsed="false">
      <c r="A1" s="1" t="s">
        <v>40</v>
      </c>
    </row>
    <row r="2" customFormat="false" ht="15" hidden="false" customHeight="false" outlineLevel="0" collapsed="false">
      <c r="A2" s="5" t="s">
        <v>41</v>
      </c>
    </row>
    <row r="4" customFormat="false" ht="30" hidden="false" customHeight="true" outlineLevel="0" collapsed="false">
      <c r="A4" s="15" t="s">
        <v>35</v>
      </c>
      <c r="B4" s="15" t="s">
        <v>42</v>
      </c>
      <c r="C4" s="15" t="s">
        <v>43</v>
      </c>
      <c r="D4" s="15" t="s">
        <v>44</v>
      </c>
      <c r="E4" s="15" t="s">
        <v>45</v>
      </c>
      <c r="F4" s="15" t="s">
        <v>46</v>
      </c>
      <c r="G4" s="15" t="s">
        <v>47</v>
      </c>
      <c r="H4" s="15" t="s">
        <v>48</v>
      </c>
      <c r="I4" s="15" t="s">
        <v>49</v>
      </c>
      <c r="J4" s="15" t="s">
        <v>50</v>
      </c>
    </row>
    <row r="5" customFormat="false" ht="15" hidden="false" customHeight="false" outlineLevel="0" collapsed="false">
      <c r="A5" s="16" t="s">
        <v>51</v>
      </c>
      <c r="B5" s="17" t="n">
        <f aca="false">COUNTIFS(Orders!$D$2:$D$20001,$A5,Orders!$E$2:$E$20001,"COD",Orders!$F$2:$F$20001,"Delivered")+COUNTIFS(Orders!$D$2:$D$20001,$A5,Orders!$E$2:$E$20001,"COD",Orders!$F$2:$F$20001,"RTO")</f>
        <v>0</v>
      </c>
      <c r="C5" s="17" t="n">
        <f aca="false">COUNTIFS(Orders!$D$2:$D$20001,$A5,Orders!$E$2:$E$20001,"COD",Orders!$F$2:$F$20001,"RTO")</f>
        <v>0</v>
      </c>
      <c r="D5" s="18" t="n">
        <f aca="false">IFERROR(C5/B5,0)</f>
        <v>0</v>
      </c>
      <c r="E5" s="17" t="n">
        <f aca="false">COUNTIFS(Orders!$D$2:$D$20001,$A5,Orders!$E$2:$E$20001,"Prepaid",Orders!$F$2:$F$20001,"Delivered")+COUNTIFS(Orders!$D$2:$D$20001,$A5,Orders!$E$2:$E$20001,"Prepaid",Orders!$F$2:$F$20001,"RTO")</f>
        <v>0</v>
      </c>
      <c r="F5" s="17" t="n">
        <f aca="false">COUNTIFS(Orders!$D$2:$D$20001,$A5,Orders!$E$2:$E$20001,"Prepaid",Orders!$F$2:$F$20001,"RTO")</f>
        <v>0</v>
      </c>
      <c r="G5" s="18" t="n">
        <f aca="false">IFERROR(F5/E5,0)</f>
        <v>0</v>
      </c>
      <c r="H5" s="19" t="n">
        <f aca="false">C5*Settings!$B$11</f>
        <v>0</v>
      </c>
      <c r="I5" s="20" t="str">
        <f aca="false">IF(N(H5)=0,"",RANK(H5,$H$5:$H$40))</f>
        <v/>
      </c>
      <c r="J5" s="21" t="str">
        <f aca="false">IF(B5=0,"No COD orders",IF(B5&lt;Settings!$B$8,"Too few orders",IF(D5&gt;=Settings!$B$9,"Restrict COD or verify","Keep COD")))</f>
        <v>No COD orders</v>
      </c>
    </row>
    <row r="6" customFormat="false" ht="15" hidden="false" customHeight="false" outlineLevel="0" collapsed="false">
      <c r="A6" s="16" t="s">
        <v>52</v>
      </c>
      <c r="B6" s="17" t="n">
        <f aca="false">COUNTIFS(Orders!$D$2:$D$20001,$A6,Orders!$E$2:$E$20001,"COD",Orders!$F$2:$F$20001,"Delivered")+COUNTIFS(Orders!$D$2:$D$20001,$A6,Orders!$E$2:$E$20001,"COD",Orders!$F$2:$F$20001,"RTO")</f>
        <v>0</v>
      </c>
      <c r="C6" s="17" t="n">
        <f aca="false">COUNTIFS(Orders!$D$2:$D$20001,$A6,Orders!$E$2:$E$20001,"COD",Orders!$F$2:$F$20001,"RTO")</f>
        <v>0</v>
      </c>
      <c r="D6" s="18" t="n">
        <f aca="false">IFERROR(C6/B6,0)</f>
        <v>0</v>
      </c>
      <c r="E6" s="17" t="n">
        <f aca="false">COUNTIFS(Orders!$D$2:$D$20001,$A6,Orders!$E$2:$E$20001,"Prepaid",Orders!$F$2:$F$20001,"Delivered")+COUNTIFS(Orders!$D$2:$D$20001,$A6,Orders!$E$2:$E$20001,"Prepaid",Orders!$F$2:$F$20001,"RTO")</f>
        <v>0</v>
      </c>
      <c r="F6" s="17" t="n">
        <f aca="false">COUNTIFS(Orders!$D$2:$D$20001,$A6,Orders!$E$2:$E$20001,"Prepaid",Orders!$F$2:$F$20001,"RTO")</f>
        <v>0</v>
      </c>
      <c r="G6" s="18" t="n">
        <f aca="false">IFERROR(F6/E6,0)</f>
        <v>0</v>
      </c>
      <c r="H6" s="19" t="n">
        <f aca="false">C6*Settings!$B$11</f>
        <v>0</v>
      </c>
      <c r="I6" s="20" t="str">
        <f aca="false">IF(N(H6)=0,"",RANK(H6,$H$5:$H$40))</f>
        <v/>
      </c>
      <c r="J6" s="21" t="str">
        <f aca="false">IF(B6=0,"No COD orders",IF(B6&lt;Settings!$B$8,"Too few orders",IF(D6&gt;=Settings!$B$9,"Restrict COD or verify","Keep COD")))</f>
        <v>No COD orders</v>
      </c>
    </row>
    <row r="7" customFormat="false" ht="15" hidden="false" customHeight="false" outlineLevel="0" collapsed="false">
      <c r="A7" s="16" t="s">
        <v>53</v>
      </c>
      <c r="B7" s="17" t="n">
        <f aca="false">COUNTIFS(Orders!$D$2:$D$20001,$A7,Orders!$E$2:$E$20001,"COD",Orders!$F$2:$F$20001,"Delivered")+COUNTIFS(Orders!$D$2:$D$20001,$A7,Orders!$E$2:$E$20001,"COD",Orders!$F$2:$F$20001,"RTO")</f>
        <v>0</v>
      </c>
      <c r="C7" s="17" t="n">
        <f aca="false">COUNTIFS(Orders!$D$2:$D$20001,$A7,Orders!$E$2:$E$20001,"COD",Orders!$F$2:$F$20001,"RTO")</f>
        <v>0</v>
      </c>
      <c r="D7" s="18" t="n">
        <f aca="false">IFERROR(C7/B7,0)</f>
        <v>0</v>
      </c>
      <c r="E7" s="17" t="n">
        <f aca="false">COUNTIFS(Orders!$D$2:$D$20001,$A7,Orders!$E$2:$E$20001,"Prepaid",Orders!$F$2:$F$20001,"Delivered")+COUNTIFS(Orders!$D$2:$D$20001,$A7,Orders!$E$2:$E$20001,"Prepaid",Orders!$F$2:$F$20001,"RTO")</f>
        <v>0</v>
      </c>
      <c r="F7" s="17" t="n">
        <f aca="false">COUNTIFS(Orders!$D$2:$D$20001,$A7,Orders!$E$2:$E$20001,"Prepaid",Orders!$F$2:$F$20001,"RTO")</f>
        <v>0</v>
      </c>
      <c r="G7" s="18" t="n">
        <f aca="false">IFERROR(F7/E7,0)</f>
        <v>0</v>
      </c>
      <c r="H7" s="19" t="n">
        <f aca="false">C7*Settings!$B$11</f>
        <v>0</v>
      </c>
      <c r="I7" s="20" t="str">
        <f aca="false">IF(N(H7)=0,"",RANK(H7,$H$5:$H$40))</f>
        <v/>
      </c>
      <c r="J7" s="21" t="str">
        <f aca="false">IF(B7=0,"No COD orders",IF(B7&lt;Settings!$B$8,"Too few orders",IF(D7&gt;=Settings!$B$9,"Restrict COD or verify","Keep COD")))</f>
        <v>No COD orders</v>
      </c>
    </row>
    <row r="8" customFormat="false" ht="15" hidden="false" customHeight="false" outlineLevel="0" collapsed="false">
      <c r="A8" s="16" t="s">
        <v>54</v>
      </c>
      <c r="B8" s="17" t="n">
        <f aca="false">COUNTIFS(Orders!$D$2:$D$20001,$A8,Orders!$E$2:$E$20001,"COD",Orders!$F$2:$F$20001,"Delivered")+COUNTIFS(Orders!$D$2:$D$20001,$A8,Orders!$E$2:$E$20001,"COD",Orders!$F$2:$F$20001,"RTO")</f>
        <v>0</v>
      </c>
      <c r="C8" s="17" t="n">
        <f aca="false">COUNTIFS(Orders!$D$2:$D$20001,$A8,Orders!$E$2:$E$20001,"COD",Orders!$F$2:$F$20001,"RTO")</f>
        <v>0</v>
      </c>
      <c r="D8" s="18" t="n">
        <f aca="false">IFERROR(C8/B8,0)</f>
        <v>0</v>
      </c>
      <c r="E8" s="17" t="n">
        <f aca="false">COUNTIFS(Orders!$D$2:$D$20001,$A8,Orders!$E$2:$E$20001,"Prepaid",Orders!$F$2:$F$20001,"Delivered")+COUNTIFS(Orders!$D$2:$D$20001,$A8,Orders!$E$2:$E$20001,"Prepaid",Orders!$F$2:$F$20001,"RTO")</f>
        <v>0</v>
      </c>
      <c r="F8" s="17" t="n">
        <f aca="false">COUNTIFS(Orders!$D$2:$D$20001,$A8,Orders!$E$2:$E$20001,"Prepaid",Orders!$F$2:$F$20001,"RTO")</f>
        <v>0</v>
      </c>
      <c r="G8" s="18" t="n">
        <f aca="false">IFERROR(F8/E8,0)</f>
        <v>0</v>
      </c>
      <c r="H8" s="19" t="n">
        <f aca="false">C8*Settings!$B$11</f>
        <v>0</v>
      </c>
      <c r="I8" s="20" t="str">
        <f aca="false">IF(N(H8)=0,"",RANK(H8,$H$5:$H$40))</f>
        <v/>
      </c>
      <c r="J8" s="21" t="str">
        <f aca="false">IF(B8=0,"No COD orders",IF(B8&lt;Settings!$B$8,"Too few orders",IF(D8&gt;=Settings!$B$9,"Restrict COD or verify","Keep COD")))</f>
        <v>No COD orders</v>
      </c>
    </row>
    <row r="9" customFormat="false" ht="15" hidden="false" customHeight="false" outlineLevel="0" collapsed="false">
      <c r="A9" s="16" t="s">
        <v>55</v>
      </c>
      <c r="B9" s="17" t="n">
        <f aca="false">COUNTIFS(Orders!$D$2:$D$20001,$A9,Orders!$E$2:$E$20001,"COD",Orders!$F$2:$F$20001,"Delivered")+COUNTIFS(Orders!$D$2:$D$20001,$A9,Orders!$E$2:$E$20001,"COD",Orders!$F$2:$F$20001,"RTO")</f>
        <v>0</v>
      </c>
      <c r="C9" s="17" t="n">
        <f aca="false">COUNTIFS(Orders!$D$2:$D$20001,$A9,Orders!$E$2:$E$20001,"COD",Orders!$F$2:$F$20001,"RTO")</f>
        <v>0</v>
      </c>
      <c r="D9" s="18" t="n">
        <f aca="false">IFERROR(C9/B9,0)</f>
        <v>0</v>
      </c>
      <c r="E9" s="17" t="n">
        <f aca="false">COUNTIFS(Orders!$D$2:$D$20001,$A9,Orders!$E$2:$E$20001,"Prepaid",Orders!$F$2:$F$20001,"Delivered")+COUNTIFS(Orders!$D$2:$D$20001,$A9,Orders!$E$2:$E$20001,"Prepaid",Orders!$F$2:$F$20001,"RTO")</f>
        <v>0</v>
      </c>
      <c r="F9" s="17" t="n">
        <f aca="false">COUNTIFS(Orders!$D$2:$D$20001,$A9,Orders!$E$2:$E$20001,"Prepaid",Orders!$F$2:$F$20001,"RTO")</f>
        <v>0</v>
      </c>
      <c r="G9" s="18" t="n">
        <f aca="false">IFERROR(F9/E9,0)</f>
        <v>0</v>
      </c>
      <c r="H9" s="19" t="n">
        <f aca="false">C9*Settings!$B$11</f>
        <v>0</v>
      </c>
      <c r="I9" s="20" t="str">
        <f aca="false">IF(N(H9)=0,"",RANK(H9,$H$5:$H$40))</f>
        <v/>
      </c>
      <c r="J9" s="21" t="str">
        <f aca="false">IF(B9=0,"No COD orders",IF(B9&lt;Settings!$B$8,"Too few orders",IF(D9&gt;=Settings!$B$9,"Restrict COD or verify","Keep COD")))</f>
        <v>No COD orders</v>
      </c>
    </row>
    <row r="10" customFormat="false" ht="15" hidden="false" customHeight="false" outlineLevel="0" collapsed="false">
      <c r="A10" s="16" t="s">
        <v>56</v>
      </c>
      <c r="B10" s="17" t="n">
        <f aca="false">COUNTIFS(Orders!$D$2:$D$20001,$A10,Orders!$E$2:$E$20001,"COD",Orders!$F$2:$F$20001,"Delivered")+COUNTIFS(Orders!$D$2:$D$20001,$A10,Orders!$E$2:$E$20001,"COD",Orders!$F$2:$F$20001,"RTO")</f>
        <v>0</v>
      </c>
      <c r="C10" s="17" t="n">
        <f aca="false">COUNTIFS(Orders!$D$2:$D$20001,$A10,Orders!$E$2:$E$20001,"COD",Orders!$F$2:$F$20001,"RTO")</f>
        <v>0</v>
      </c>
      <c r="D10" s="18" t="n">
        <f aca="false">IFERROR(C10/B10,0)</f>
        <v>0</v>
      </c>
      <c r="E10" s="17" t="n">
        <f aca="false">COUNTIFS(Orders!$D$2:$D$20001,$A10,Orders!$E$2:$E$20001,"Prepaid",Orders!$F$2:$F$20001,"Delivered")+COUNTIFS(Orders!$D$2:$D$20001,$A10,Orders!$E$2:$E$20001,"Prepaid",Orders!$F$2:$F$20001,"RTO")</f>
        <v>0</v>
      </c>
      <c r="F10" s="17" t="n">
        <f aca="false">COUNTIFS(Orders!$D$2:$D$20001,$A10,Orders!$E$2:$E$20001,"Prepaid",Orders!$F$2:$F$20001,"RTO")</f>
        <v>0</v>
      </c>
      <c r="G10" s="18" t="n">
        <f aca="false">IFERROR(F10/E10,0)</f>
        <v>0</v>
      </c>
      <c r="H10" s="19" t="n">
        <f aca="false">C10*Settings!$B$11</f>
        <v>0</v>
      </c>
      <c r="I10" s="20" t="str">
        <f aca="false">IF(N(H10)=0,"",RANK(H10,$H$5:$H$40))</f>
        <v/>
      </c>
      <c r="J10" s="21" t="str">
        <f aca="false">IF(B10=0,"No COD orders",IF(B10&lt;Settings!$B$8,"Too few orders",IF(D10&gt;=Settings!$B$9,"Restrict COD or verify","Keep COD")))</f>
        <v>No COD orders</v>
      </c>
    </row>
    <row r="11" customFormat="false" ht="15" hidden="false" customHeight="false" outlineLevel="0" collapsed="false">
      <c r="A11" s="16" t="s">
        <v>57</v>
      </c>
      <c r="B11" s="17" t="n">
        <f aca="false">COUNTIFS(Orders!$D$2:$D$20001,$A11,Orders!$E$2:$E$20001,"COD",Orders!$F$2:$F$20001,"Delivered")+COUNTIFS(Orders!$D$2:$D$20001,$A11,Orders!$E$2:$E$20001,"COD",Orders!$F$2:$F$20001,"RTO")</f>
        <v>0</v>
      </c>
      <c r="C11" s="17" t="n">
        <f aca="false">COUNTIFS(Orders!$D$2:$D$20001,$A11,Orders!$E$2:$E$20001,"COD",Orders!$F$2:$F$20001,"RTO")</f>
        <v>0</v>
      </c>
      <c r="D11" s="18" t="n">
        <f aca="false">IFERROR(C11/B11,0)</f>
        <v>0</v>
      </c>
      <c r="E11" s="17" t="n">
        <f aca="false">COUNTIFS(Orders!$D$2:$D$20001,$A11,Orders!$E$2:$E$20001,"Prepaid",Orders!$F$2:$F$20001,"Delivered")+COUNTIFS(Orders!$D$2:$D$20001,$A11,Orders!$E$2:$E$20001,"Prepaid",Orders!$F$2:$F$20001,"RTO")</f>
        <v>0</v>
      </c>
      <c r="F11" s="17" t="n">
        <f aca="false">COUNTIFS(Orders!$D$2:$D$20001,$A11,Orders!$E$2:$E$20001,"Prepaid",Orders!$F$2:$F$20001,"RTO")</f>
        <v>0</v>
      </c>
      <c r="G11" s="18" t="n">
        <f aca="false">IFERROR(F11/E11,0)</f>
        <v>0</v>
      </c>
      <c r="H11" s="19" t="n">
        <f aca="false">C11*Settings!$B$11</f>
        <v>0</v>
      </c>
      <c r="I11" s="20" t="str">
        <f aca="false">IF(N(H11)=0,"",RANK(H11,$H$5:$H$40))</f>
        <v/>
      </c>
      <c r="J11" s="21" t="str">
        <f aca="false">IF(B11=0,"No COD orders",IF(B11&lt;Settings!$B$8,"Too few orders",IF(D11&gt;=Settings!$B$9,"Restrict COD or verify","Keep COD")))</f>
        <v>No COD orders</v>
      </c>
    </row>
    <row r="12" customFormat="false" ht="15" hidden="false" customHeight="false" outlineLevel="0" collapsed="false">
      <c r="A12" s="16" t="s">
        <v>58</v>
      </c>
      <c r="B12" s="17" t="n">
        <f aca="false">COUNTIFS(Orders!$D$2:$D$20001,$A12,Orders!$E$2:$E$20001,"COD",Orders!$F$2:$F$20001,"Delivered")+COUNTIFS(Orders!$D$2:$D$20001,$A12,Orders!$E$2:$E$20001,"COD",Orders!$F$2:$F$20001,"RTO")</f>
        <v>0</v>
      </c>
      <c r="C12" s="17" t="n">
        <f aca="false">COUNTIFS(Orders!$D$2:$D$20001,$A12,Orders!$E$2:$E$20001,"COD",Orders!$F$2:$F$20001,"RTO")</f>
        <v>0</v>
      </c>
      <c r="D12" s="18" t="n">
        <f aca="false">IFERROR(C12/B12,0)</f>
        <v>0</v>
      </c>
      <c r="E12" s="17" t="n">
        <f aca="false">COUNTIFS(Orders!$D$2:$D$20001,$A12,Orders!$E$2:$E$20001,"Prepaid",Orders!$F$2:$F$20001,"Delivered")+COUNTIFS(Orders!$D$2:$D$20001,$A12,Orders!$E$2:$E$20001,"Prepaid",Orders!$F$2:$F$20001,"RTO")</f>
        <v>0</v>
      </c>
      <c r="F12" s="17" t="n">
        <f aca="false">COUNTIFS(Orders!$D$2:$D$20001,$A12,Orders!$E$2:$E$20001,"Prepaid",Orders!$F$2:$F$20001,"RTO")</f>
        <v>0</v>
      </c>
      <c r="G12" s="18" t="n">
        <f aca="false">IFERROR(F12/E12,0)</f>
        <v>0</v>
      </c>
      <c r="H12" s="19" t="n">
        <f aca="false">C12*Settings!$B$11</f>
        <v>0</v>
      </c>
      <c r="I12" s="20" t="str">
        <f aca="false">IF(N(H12)=0,"",RANK(H12,$H$5:$H$40))</f>
        <v/>
      </c>
      <c r="J12" s="21" t="str">
        <f aca="false">IF(B12=0,"No COD orders",IF(B12&lt;Settings!$B$8,"Too few orders",IF(D12&gt;=Settings!$B$9,"Restrict COD or verify","Keep COD")))</f>
        <v>No COD orders</v>
      </c>
    </row>
    <row r="13" customFormat="false" ht="15" hidden="false" customHeight="false" outlineLevel="0" collapsed="false">
      <c r="A13" s="16" t="s">
        <v>59</v>
      </c>
      <c r="B13" s="17" t="n">
        <f aca="false">COUNTIFS(Orders!$D$2:$D$20001,$A13,Orders!$E$2:$E$20001,"COD",Orders!$F$2:$F$20001,"Delivered")+COUNTIFS(Orders!$D$2:$D$20001,$A13,Orders!$E$2:$E$20001,"COD",Orders!$F$2:$F$20001,"RTO")</f>
        <v>0</v>
      </c>
      <c r="C13" s="17" t="n">
        <f aca="false">COUNTIFS(Orders!$D$2:$D$20001,$A13,Orders!$E$2:$E$20001,"COD",Orders!$F$2:$F$20001,"RTO")</f>
        <v>0</v>
      </c>
      <c r="D13" s="18" t="n">
        <f aca="false">IFERROR(C13/B13,0)</f>
        <v>0</v>
      </c>
      <c r="E13" s="17" t="n">
        <f aca="false">COUNTIFS(Orders!$D$2:$D$20001,$A13,Orders!$E$2:$E$20001,"Prepaid",Orders!$F$2:$F$20001,"Delivered")+COUNTIFS(Orders!$D$2:$D$20001,$A13,Orders!$E$2:$E$20001,"Prepaid",Orders!$F$2:$F$20001,"RTO")</f>
        <v>0</v>
      </c>
      <c r="F13" s="17" t="n">
        <f aca="false">COUNTIFS(Orders!$D$2:$D$20001,$A13,Orders!$E$2:$E$20001,"Prepaid",Orders!$F$2:$F$20001,"RTO")</f>
        <v>0</v>
      </c>
      <c r="G13" s="18" t="n">
        <f aca="false">IFERROR(F13/E13,0)</f>
        <v>0</v>
      </c>
      <c r="H13" s="19" t="n">
        <f aca="false">C13*Settings!$B$11</f>
        <v>0</v>
      </c>
      <c r="I13" s="20" t="str">
        <f aca="false">IF(N(H13)=0,"",RANK(H13,$H$5:$H$40))</f>
        <v/>
      </c>
      <c r="J13" s="21" t="str">
        <f aca="false">IF(B13=0,"No COD orders",IF(B13&lt;Settings!$B$8,"Too few orders",IF(D13&gt;=Settings!$B$9,"Restrict COD or verify","Keep COD")))</f>
        <v>No COD orders</v>
      </c>
    </row>
    <row r="14" customFormat="false" ht="15" hidden="false" customHeight="false" outlineLevel="0" collapsed="false">
      <c r="A14" s="16" t="s">
        <v>60</v>
      </c>
      <c r="B14" s="17" t="n">
        <f aca="false">COUNTIFS(Orders!$D$2:$D$20001,$A14,Orders!$E$2:$E$20001,"COD",Orders!$F$2:$F$20001,"Delivered")+COUNTIFS(Orders!$D$2:$D$20001,$A14,Orders!$E$2:$E$20001,"COD",Orders!$F$2:$F$20001,"RTO")</f>
        <v>0</v>
      </c>
      <c r="C14" s="17" t="n">
        <f aca="false">COUNTIFS(Orders!$D$2:$D$20001,$A14,Orders!$E$2:$E$20001,"COD",Orders!$F$2:$F$20001,"RTO")</f>
        <v>0</v>
      </c>
      <c r="D14" s="18" t="n">
        <f aca="false">IFERROR(C14/B14,0)</f>
        <v>0</v>
      </c>
      <c r="E14" s="17" t="n">
        <f aca="false">COUNTIFS(Orders!$D$2:$D$20001,$A14,Orders!$E$2:$E$20001,"Prepaid",Orders!$F$2:$F$20001,"Delivered")+COUNTIFS(Orders!$D$2:$D$20001,$A14,Orders!$E$2:$E$20001,"Prepaid",Orders!$F$2:$F$20001,"RTO")</f>
        <v>0</v>
      </c>
      <c r="F14" s="17" t="n">
        <f aca="false">COUNTIFS(Orders!$D$2:$D$20001,$A14,Orders!$E$2:$E$20001,"Prepaid",Orders!$F$2:$F$20001,"RTO")</f>
        <v>0</v>
      </c>
      <c r="G14" s="18" t="n">
        <f aca="false">IFERROR(F14/E14,0)</f>
        <v>0</v>
      </c>
      <c r="H14" s="19" t="n">
        <f aca="false">C14*Settings!$B$11</f>
        <v>0</v>
      </c>
      <c r="I14" s="20" t="str">
        <f aca="false">IF(N(H14)=0,"",RANK(H14,$H$5:$H$40))</f>
        <v/>
      </c>
      <c r="J14" s="21" t="str">
        <f aca="false">IF(B14=0,"No COD orders",IF(B14&lt;Settings!$B$8,"Too few orders",IF(D14&gt;=Settings!$B$9,"Restrict COD or verify","Keep COD")))</f>
        <v>No COD orders</v>
      </c>
    </row>
    <row r="15" customFormat="false" ht="15" hidden="false" customHeight="false" outlineLevel="0" collapsed="false">
      <c r="A15" s="16" t="s">
        <v>61</v>
      </c>
      <c r="B15" s="17" t="n">
        <f aca="false">COUNTIFS(Orders!$D$2:$D$20001,$A15,Orders!$E$2:$E$20001,"COD",Orders!$F$2:$F$20001,"Delivered")+COUNTIFS(Orders!$D$2:$D$20001,$A15,Orders!$E$2:$E$20001,"COD",Orders!$F$2:$F$20001,"RTO")</f>
        <v>0</v>
      </c>
      <c r="C15" s="17" t="n">
        <f aca="false">COUNTIFS(Orders!$D$2:$D$20001,$A15,Orders!$E$2:$E$20001,"COD",Orders!$F$2:$F$20001,"RTO")</f>
        <v>0</v>
      </c>
      <c r="D15" s="18" t="n">
        <f aca="false">IFERROR(C15/B15,0)</f>
        <v>0</v>
      </c>
      <c r="E15" s="17" t="n">
        <f aca="false">COUNTIFS(Orders!$D$2:$D$20001,$A15,Orders!$E$2:$E$20001,"Prepaid",Orders!$F$2:$F$20001,"Delivered")+COUNTIFS(Orders!$D$2:$D$20001,$A15,Orders!$E$2:$E$20001,"Prepaid",Orders!$F$2:$F$20001,"RTO")</f>
        <v>0</v>
      </c>
      <c r="F15" s="17" t="n">
        <f aca="false">COUNTIFS(Orders!$D$2:$D$20001,$A15,Orders!$E$2:$E$20001,"Prepaid",Orders!$F$2:$F$20001,"RTO")</f>
        <v>0</v>
      </c>
      <c r="G15" s="18" t="n">
        <f aca="false">IFERROR(F15/E15,0)</f>
        <v>0</v>
      </c>
      <c r="H15" s="19" t="n">
        <f aca="false">C15*Settings!$B$11</f>
        <v>0</v>
      </c>
      <c r="I15" s="20" t="str">
        <f aca="false">IF(N(H15)=0,"",RANK(H15,$H$5:$H$40))</f>
        <v/>
      </c>
      <c r="J15" s="21" t="str">
        <f aca="false">IF(B15=0,"No COD orders",IF(B15&lt;Settings!$B$8,"Too few orders",IF(D15&gt;=Settings!$B$9,"Restrict COD or verify","Keep COD")))</f>
        <v>No COD orders</v>
      </c>
    </row>
    <row r="16" customFormat="false" ht="15" hidden="false" customHeight="false" outlineLevel="0" collapsed="false">
      <c r="A16" s="16" t="s">
        <v>62</v>
      </c>
      <c r="B16" s="17" t="n">
        <f aca="false">COUNTIFS(Orders!$D$2:$D$20001,$A16,Orders!$E$2:$E$20001,"COD",Orders!$F$2:$F$20001,"Delivered")+COUNTIFS(Orders!$D$2:$D$20001,$A16,Orders!$E$2:$E$20001,"COD",Orders!$F$2:$F$20001,"RTO")</f>
        <v>0</v>
      </c>
      <c r="C16" s="17" t="n">
        <f aca="false">COUNTIFS(Orders!$D$2:$D$20001,$A16,Orders!$E$2:$E$20001,"COD",Orders!$F$2:$F$20001,"RTO")</f>
        <v>0</v>
      </c>
      <c r="D16" s="18" t="n">
        <f aca="false">IFERROR(C16/B16,0)</f>
        <v>0</v>
      </c>
      <c r="E16" s="17" t="n">
        <f aca="false">COUNTIFS(Orders!$D$2:$D$20001,$A16,Orders!$E$2:$E$20001,"Prepaid",Orders!$F$2:$F$20001,"Delivered")+COUNTIFS(Orders!$D$2:$D$20001,$A16,Orders!$E$2:$E$20001,"Prepaid",Orders!$F$2:$F$20001,"RTO")</f>
        <v>0</v>
      </c>
      <c r="F16" s="17" t="n">
        <f aca="false">COUNTIFS(Orders!$D$2:$D$20001,$A16,Orders!$E$2:$E$20001,"Prepaid",Orders!$F$2:$F$20001,"RTO")</f>
        <v>0</v>
      </c>
      <c r="G16" s="18" t="n">
        <f aca="false">IFERROR(F16/E16,0)</f>
        <v>0</v>
      </c>
      <c r="H16" s="19" t="n">
        <f aca="false">C16*Settings!$B$11</f>
        <v>0</v>
      </c>
      <c r="I16" s="20" t="str">
        <f aca="false">IF(N(H16)=0,"",RANK(H16,$H$5:$H$40))</f>
        <v/>
      </c>
      <c r="J16" s="21" t="str">
        <f aca="false">IF(B16=0,"No COD orders",IF(B16&lt;Settings!$B$8,"Too few orders",IF(D16&gt;=Settings!$B$9,"Restrict COD or verify","Keep COD")))</f>
        <v>No COD orders</v>
      </c>
    </row>
    <row r="17" customFormat="false" ht="15" hidden="false" customHeight="false" outlineLevel="0" collapsed="false">
      <c r="A17" s="16" t="s">
        <v>63</v>
      </c>
      <c r="B17" s="17" t="n">
        <f aca="false">COUNTIFS(Orders!$D$2:$D$20001,$A17,Orders!$E$2:$E$20001,"COD",Orders!$F$2:$F$20001,"Delivered")+COUNTIFS(Orders!$D$2:$D$20001,$A17,Orders!$E$2:$E$20001,"COD",Orders!$F$2:$F$20001,"RTO")</f>
        <v>0</v>
      </c>
      <c r="C17" s="17" t="n">
        <f aca="false">COUNTIFS(Orders!$D$2:$D$20001,$A17,Orders!$E$2:$E$20001,"COD",Orders!$F$2:$F$20001,"RTO")</f>
        <v>0</v>
      </c>
      <c r="D17" s="18" t="n">
        <f aca="false">IFERROR(C17/B17,0)</f>
        <v>0</v>
      </c>
      <c r="E17" s="17" t="n">
        <f aca="false">COUNTIFS(Orders!$D$2:$D$20001,$A17,Orders!$E$2:$E$20001,"Prepaid",Orders!$F$2:$F$20001,"Delivered")+COUNTIFS(Orders!$D$2:$D$20001,$A17,Orders!$E$2:$E$20001,"Prepaid",Orders!$F$2:$F$20001,"RTO")</f>
        <v>0</v>
      </c>
      <c r="F17" s="17" t="n">
        <f aca="false">COUNTIFS(Orders!$D$2:$D$20001,$A17,Orders!$E$2:$E$20001,"Prepaid",Orders!$F$2:$F$20001,"RTO")</f>
        <v>0</v>
      </c>
      <c r="G17" s="18" t="n">
        <f aca="false">IFERROR(F17/E17,0)</f>
        <v>0</v>
      </c>
      <c r="H17" s="19" t="n">
        <f aca="false">C17*Settings!$B$11</f>
        <v>0</v>
      </c>
      <c r="I17" s="20" t="str">
        <f aca="false">IF(N(H17)=0,"",RANK(H17,$H$5:$H$40))</f>
        <v/>
      </c>
      <c r="J17" s="21" t="str">
        <f aca="false">IF(B17=0,"No COD orders",IF(B17&lt;Settings!$B$8,"Too few orders",IF(D17&gt;=Settings!$B$9,"Restrict COD or verify","Keep COD")))</f>
        <v>No COD orders</v>
      </c>
    </row>
    <row r="18" customFormat="false" ht="15" hidden="false" customHeight="false" outlineLevel="0" collapsed="false">
      <c r="A18" s="16" t="s">
        <v>64</v>
      </c>
      <c r="B18" s="17" t="n">
        <f aca="false">COUNTIFS(Orders!$D$2:$D$20001,$A18,Orders!$E$2:$E$20001,"COD",Orders!$F$2:$F$20001,"Delivered")+COUNTIFS(Orders!$D$2:$D$20001,$A18,Orders!$E$2:$E$20001,"COD",Orders!$F$2:$F$20001,"RTO")</f>
        <v>0</v>
      </c>
      <c r="C18" s="17" t="n">
        <f aca="false">COUNTIFS(Orders!$D$2:$D$20001,$A18,Orders!$E$2:$E$20001,"COD",Orders!$F$2:$F$20001,"RTO")</f>
        <v>0</v>
      </c>
      <c r="D18" s="18" t="n">
        <f aca="false">IFERROR(C18/B18,0)</f>
        <v>0</v>
      </c>
      <c r="E18" s="17" t="n">
        <f aca="false">COUNTIFS(Orders!$D$2:$D$20001,$A18,Orders!$E$2:$E$20001,"Prepaid",Orders!$F$2:$F$20001,"Delivered")+COUNTIFS(Orders!$D$2:$D$20001,$A18,Orders!$E$2:$E$20001,"Prepaid",Orders!$F$2:$F$20001,"RTO")</f>
        <v>0</v>
      </c>
      <c r="F18" s="17" t="n">
        <f aca="false">COUNTIFS(Orders!$D$2:$D$20001,$A18,Orders!$E$2:$E$20001,"Prepaid",Orders!$F$2:$F$20001,"RTO")</f>
        <v>0</v>
      </c>
      <c r="G18" s="18" t="n">
        <f aca="false">IFERROR(F18/E18,0)</f>
        <v>0</v>
      </c>
      <c r="H18" s="19" t="n">
        <f aca="false">C18*Settings!$B$11</f>
        <v>0</v>
      </c>
      <c r="I18" s="20" t="str">
        <f aca="false">IF(N(H18)=0,"",RANK(H18,$H$5:$H$40))</f>
        <v/>
      </c>
      <c r="J18" s="21" t="str">
        <f aca="false">IF(B18=0,"No COD orders",IF(B18&lt;Settings!$B$8,"Too few orders",IF(D18&gt;=Settings!$B$9,"Restrict COD or verify","Keep COD")))</f>
        <v>No COD orders</v>
      </c>
    </row>
    <row r="19" customFormat="false" ht="15" hidden="false" customHeight="false" outlineLevel="0" collapsed="false">
      <c r="A19" s="16" t="s">
        <v>65</v>
      </c>
      <c r="B19" s="17" t="n">
        <f aca="false">COUNTIFS(Orders!$D$2:$D$20001,$A19,Orders!$E$2:$E$20001,"COD",Orders!$F$2:$F$20001,"Delivered")+COUNTIFS(Orders!$D$2:$D$20001,$A19,Orders!$E$2:$E$20001,"COD",Orders!$F$2:$F$20001,"RTO")</f>
        <v>0</v>
      </c>
      <c r="C19" s="17" t="n">
        <f aca="false">COUNTIFS(Orders!$D$2:$D$20001,$A19,Orders!$E$2:$E$20001,"COD",Orders!$F$2:$F$20001,"RTO")</f>
        <v>0</v>
      </c>
      <c r="D19" s="18" t="n">
        <f aca="false">IFERROR(C19/B19,0)</f>
        <v>0</v>
      </c>
      <c r="E19" s="17" t="n">
        <f aca="false">COUNTIFS(Orders!$D$2:$D$20001,$A19,Orders!$E$2:$E$20001,"Prepaid",Orders!$F$2:$F$20001,"Delivered")+COUNTIFS(Orders!$D$2:$D$20001,$A19,Orders!$E$2:$E$20001,"Prepaid",Orders!$F$2:$F$20001,"RTO")</f>
        <v>0</v>
      </c>
      <c r="F19" s="17" t="n">
        <f aca="false">COUNTIFS(Orders!$D$2:$D$20001,$A19,Orders!$E$2:$E$20001,"Prepaid",Orders!$F$2:$F$20001,"RTO")</f>
        <v>0</v>
      </c>
      <c r="G19" s="18" t="n">
        <f aca="false">IFERROR(F19/E19,0)</f>
        <v>0</v>
      </c>
      <c r="H19" s="19" t="n">
        <f aca="false">C19*Settings!$B$11</f>
        <v>0</v>
      </c>
      <c r="I19" s="20" t="str">
        <f aca="false">IF(N(H19)=0,"",RANK(H19,$H$5:$H$40))</f>
        <v/>
      </c>
      <c r="J19" s="21" t="str">
        <f aca="false">IF(B19=0,"No COD orders",IF(B19&lt;Settings!$B$8,"Too few orders",IF(D19&gt;=Settings!$B$9,"Restrict COD or verify","Keep COD")))</f>
        <v>No COD orders</v>
      </c>
    </row>
    <row r="20" customFormat="false" ht="15" hidden="false" customHeight="false" outlineLevel="0" collapsed="false">
      <c r="A20" s="16" t="s">
        <v>66</v>
      </c>
      <c r="B20" s="17" t="n">
        <f aca="false">COUNTIFS(Orders!$D$2:$D$20001,$A20,Orders!$E$2:$E$20001,"COD",Orders!$F$2:$F$20001,"Delivered")+COUNTIFS(Orders!$D$2:$D$20001,$A20,Orders!$E$2:$E$20001,"COD",Orders!$F$2:$F$20001,"RTO")</f>
        <v>0</v>
      </c>
      <c r="C20" s="17" t="n">
        <f aca="false">COUNTIFS(Orders!$D$2:$D$20001,$A20,Orders!$E$2:$E$20001,"COD",Orders!$F$2:$F$20001,"RTO")</f>
        <v>0</v>
      </c>
      <c r="D20" s="18" t="n">
        <f aca="false">IFERROR(C20/B20,0)</f>
        <v>0</v>
      </c>
      <c r="E20" s="17" t="n">
        <f aca="false">COUNTIFS(Orders!$D$2:$D$20001,$A20,Orders!$E$2:$E$20001,"Prepaid",Orders!$F$2:$F$20001,"Delivered")+COUNTIFS(Orders!$D$2:$D$20001,$A20,Orders!$E$2:$E$20001,"Prepaid",Orders!$F$2:$F$20001,"RTO")</f>
        <v>0</v>
      </c>
      <c r="F20" s="17" t="n">
        <f aca="false">COUNTIFS(Orders!$D$2:$D$20001,$A20,Orders!$E$2:$E$20001,"Prepaid",Orders!$F$2:$F$20001,"RTO")</f>
        <v>0</v>
      </c>
      <c r="G20" s="18" t="n">
        <f aca="false">IFERROR(F20/E20,0)</f>
        <v>0</v>
      </c>
      <c r="H20" s="19" t="n">
        <f aca="false">C20*Settings!$B$11</f>
        <v>0</v>
      </c>
      <c r="I20" s="20" t="str">
        <f aca="false">IF(N(H20)=0,"",RANK(H20,$H$5:$H$40))</f>
        <v/>
      </c>
      <c r="J20" s="21" t="str">
        <f aca="false">IF(B20=0,"No COD orders",IF(B20&lt;Settings!$B$8,"Too few orders",IF(D20&gt;=Settings!$B$9,"Restrict COD or verify","Keep COD")))</f>
        <v>No COD orders</v>
      </c>
    </row>
    <row r="21" customFormat="false" ht="15" hidden="false" customHeight="false" outlineLevel="0" collapsed="false">
      <c r="A21" s="16" t="s">
        <v>67</v>
      </c>
      <c r="B21" s="17" t="n">
        <f aca="false">COUNTIFS(Orders!$D$2:$D$20001,$A21,Orders!$E$2:$E$20001,"COD",Orders!$F$2:$F$20001,"Delivered")+COUNTIFS(Orders!$D$2:$D$20001,$A21,Orders!$E$2:$E$20001,"COD",Orders!$F$2:$F$20001,"RTO")</f>
        <v>0</v>
      </c>
      <c r="C21" s="17" t="n">
        <f aca="false">COUNTIFS(Orders!$D$2:$D$20001,$A21,Orders!$E$2:$E$20001,"COD",Orders!$F$2:$F$20001,"RTO")</f>
        <v>0</v>
      </c>
      <c r="D21" s="18" t="n">
        <f aca="false">IFERROR(C21/B21,0)</f>
        <v>0</v>
      </c>
      <c r="E21" s="17" t="n">
        <f aca="false">COUNTIFS(Orders!$D$2:$D$20001,$A21,Orders!$E$2:$E$20001,"Prepaid",Orders!$F$2:$F$20001,"Delivered")+COUNTIFS(Orders!$D$2:$D$20001,$A21,Orders!$E$2:$E$20001,"Prepaid",Orders!$F$2:$F$20001,"RTO")</f>
        <v>0</v>
      </c>
      <c r="F21" s="17" t="n">
        <f aca="false">COUNTIFS(Orders!$D$2:$D$20001,$A21,Orders!$E$2:$E$20001,"Prepaid",Orders!$F$2:$F$20001,"RTO")</f>
        <v>0</v>
      </c>
      <c r="G21" s="18" t="n">
        <f aca="false">IFERROR(F21/E21,0)</f>
        <v>0</v>
      </c>
      <c r="H21" s="19" t="n">
        <f aca="false">C21*Settings!$B$11</f>
        <v>0</v>
      </c>
      <c r="I21" s="20" t="str">
        <f aca="false">IF(N(H21)=0,"",RANK(H21,$H$5:$H$40))</f>
        <v/>
      </c>
      <c r="J21" s="21" t="str">
        <f aca="false">IF(B21=0,"No COD orders",IF(B21&lt;Settings!$B$8,"Too few orders",IF(D21&gt;=Settings!$B$9,"Restrict COD or verify","Keep COD")))</f>
        <v>No COD orders</v>
      </c>
    </row>
    <row r="22" customFormat="false" ht="15" hidden="false" customHeight="false" outlineLevel="0" collapsed="false">
      <c r="A22" s="16" t="s">
        <v>68</v>
      </c>
      <c r="B22" s="17" t="n">
        <f aca="false">COUNTIFS(Orders!$D$2:$D$20001,$A22,Orders!$E$2:$E$20001,"COD",Orders!$F$2:$F$20001,"Delivered")+COUNTIFS(Orders!$D$2:$D$20001,$A22,Orders!$E$2:$E$20001,"COD",Orders!$F$2:$F$20001,"RTO")</f>
        <v>0</v>
      </c>
      <c r="C22" s="17" t="n">
        <f aca="false">COUNTIFS(Orders!$D$2:$D$20001,$A22,Orders!$E$2:$E$20001,"COD",Orders!$F$2:$F$20001,"RTO")</f>
        <v>0</v>
      </c>
      <c r="D22" s="18" t="n">
        <f aca="false">IFERROR(C22/B22,0)</f>
        <v>0</v>
      </c>
      <c r="E22" s="17" t="n">
        <f aca="false">COUNTIFS(Orders!$D$2:$D$20001,$A22,Orders!$E$2:$E$20001,"Prepaid",Orders!$F$2:$F$20001,"Delivered")+COUNTIFS(Orders!$D$2:$D$20001,$A22,Orders!$E$2:$E$20001,"Prepaid",Orders!$F$2:$F$20001,"RTO")</f>
        <v>0</v>
      </c>
      <c r="F22" s="17" t="n">
        <f aca="false">COUNTIFS(Orders!$D$2:$D$20001,$A22,Orders!$E$2:$E$20001,"Prepaid",Orders!$F$2:$F$20001,"RTO")</f>
        <v>0</v>
      </c>
      <c r="G22" s="18" t="n">
        <f aca="false">IFERROR(F22/E22,0)</f>
        <v>0</v>
      </c>
      <c r="H22" s="19" t="n">
        <f aca="false">C22*Settings!$B$11</f>
        <v>0</v>
      </c>
      <c r="I22" s="20" t="str">
        <f aca="false">IF(N(H22)=0,"",RANK(H22,$H$5:$H$40))</f>
        <v/>
      </c>
      <c r="J22" s="21" t="str">
        <f aca="false">IF(B22=0,"No COD orders",IF(B22&lt;Settings!$B$8,"Too few orders",IF(D22&gt;=Settings!$B$9,"Restrict COD or verify","Keep COD")))</f>
        <v>No COD orders</v>
      </c>
    </row>
    <row r="23" customFormat="false" ht="15" hidden="false" customHeight="false" outlineLevel="0" collapsed="false">
      <c r="A23" s="16" t="s">
        <v>69</v>
      </c>
      <c r="B23" s="17" t="n">
        <f aca="false">COUNTIFS(Orders!$D$2:$D$20001,$A23,Orders!$E$2:$E$20001,"COD",Orders!$F$2:$F$20001,"Delivered")+COUNTIFS(Orders!$D$2:$D$20001,$A23,Orders!$E$2:$E$20001,"COD",Orders!$F$2:$F$20001,"RTO")</f>
        <v>0</v>
      </c>
      <c r="C23" s="17" t="n">
        <f aca="false">COUNTIFS(Orders!$D$2:$D$20001,$A23,Orders!$E$2:$E$20001,"COD",Orders!$F$2:$F$20001,"RTO")</f>
        <v>0</v>
      </c>
      <c r="D23" s="18" t="n">
        <f aca="false">IFERROR(C23/B23,0)</f>
        <v>0</v>
      </c>
      <c r="E23" s="17" t="n">
        <f aca="false">COUNTIFS(Orders!$D$2:$D$20001,$A23,Orders!$E$2:$E$20001,"Prepaid",Orders!$F$2:$F$20001,"Delivered")+COUNTIFS(Orders!$D$2:$D$20001,$A23,Orders!$E$2:$E$20001,"Prepaid",Orders!$F$2:$F$20001,"RTO")</f>
        <v>0</v>
      </c>
      <c r="F23" s="17" t="n">
        <f aca="false">COUNTIFS(Orders!$D$2:$D$20001,$A23,Orders!$E$2:$E$20001,"Prepaid",Orders!$F$2:$F$20001,"RTO")</f>
        <v>0</v>
      </c>
      <c r="G23" s="18" t="n">
        <f aca="false">IFERROR(F23/E23,0)</f>
        <v>0</v>
      </c>
      <c r="H23" s="19" t="n">
        <f aca="false">C23*Settings!$B$11</f>
        <v>0</v>
      </c>
      <c r="I23" s="20" t="str">
        <f aca="false">IF(N(H23)=0,"",RANK(H23,$H$5:$H$40))</f>
        <v/>
      </c>
      <c r="J23" s="21" t="str">
        <f aca="false">IF(B23=0,"No COD orders",IF(B23&lt;Settings!$B$8,"Too few orders",IF(D23&gt;=Settings!$B$9,"Restrict COD or verify","Keep COD")))</f>
        <v>No COD orders</v>
      </c>
    </row>
    <row r="24" customFormat="false" ht="15" hidden="false" customHeight="false" outlineLevel="0" collapsed="false">
      <c r="A24" s="16" t="s">
        <v>70</v>
      </c>
      <c r="B24" s="17" t="n">
        <f aca="false">COUNTIFS(Orders!$D$2:$D$20001,$A24,Orders!$E$2:$E$20001,"COD",Orders!$F$2:$F$20001,"Delivered")+COUNTIFS(Orders!$D$2:$D$20001,$A24,Orders!$E$2:$E$20001,"COD",Orders!$F$2:$F$20001,"RTO")</f>
        <v>0</v>
      </c>
      <c r="C24" s="17" t="n">
        <f aca="false">COUNTIFS(Orders!$D$2:$D$20001,$A24,Orders!$E$2:$E$20001,"COD",Orders!$F$2:$F$20001,"RTO")</f>
        <v>0</v>
      </c>
      <c r="D24" s="18" t="n">
        <f aca="false">IFERROR(C24/B24,0)</f>
        <v>0</v>
      </c>
      <c r="E24" s="17" t="n">
        <f aca="false">COUNTIFS(Orders!$D$2:$D$20001,$A24,Orders!$E$2:$E$20001,"Prepaid",Orders!$F$2:$F$20001,"Delivered")+COUNTIFS(Orders!$D$2:$D$20001,$A24,Orders!$E$2:$E$20001,"Prepaid",Orders!$F$2:$F$20001,"RTO")</f>
        <v>0</v>
      </c>
      <c r="F24" s="17" t="n">
        <f aca="false">COUNTIFS(Orders!$D$2:$D$20001,$A24,Orders!$E$2:$E$20001,"Prepaid",Orders!$F$2:$F$20001,"RTO")</f>
        <v>0</v>
      </c>
      <c r="G24" s="18" t="n">
        <f aca="false">IFERROR(F24/E24,0)</f>
        <v>0</v>
      </c>
      <c r="H24" s="19" t="n">
        <f aca="false">C24*Settings!$B$11</f>
        <v>0</v>
      </c>
      <c r="I24" s="20" t="str">
        <f aca="false">IF(N(H24)=0,"",RANK(H24,$H$5:$H$40))</f>
        <v/>
      </c>
      <c r="J24" s="21" t="str">
        <f aca="false">IF(B24=0,"No COD orders",IF(B24&lt;Settings!$B$8,"Too few orders",IF(D24&gt;=Settings!$B$9,"Restrict COD or verify","Keep COD")))</f>
        <v>No COD orders</v>
      </c>
    </row>
    <row r="25" customFormat="false" ht="15" hidden="false" customHeight="false" outlineLevel="0" collapsed="false">
      <c r="A25" s="16" t="s">
        <v>71</v>
      </c>
      <c r="B25" s="17" t="n">
        <f aca="false">COUNTIFS(Orders!$D$2:$D$20001,$A25,Orders!$E$2:$E$20001,"COD",Orders!$F$2:$F$20001,"Delivered")+COUNTIFS(Orders!$D$2:$D$20001,$A25,Orders!$E$2:$E$20001,"COD",Orders!$F$2:$F$20001,"RTO")</f>
        <v>0</v>
      </c>
      <c r="C25" s="17" t="n">
        <f aca="false">COUNTIFS(Orders!$D$2:$D$20001,$A25,Orders!$E$2:$E$20001,"COD",Orders!$F$2:$F$20001,"RTO")</f>
        <v>0</v>
      </c>
      <c r="D25" s="18" t="n">
        <f aca="false">IFERROR(C25/B25,0)</f>
        <v>0</v>
      </c>
      <c r="E25" s="17" t="n">
        <f aca="false">COUNTIFS(Orders!$D$2:$D$20001,$A25,Orders!$E$2:$E$20001,"Prepaid",Orders!$F$2:$F$20001,"Delivered")+COUNTIFS(Orders!$D$2:$D$20001,$A25,Orders!$E$2:$E$20001,"Prepaid",Orders!$F$2:$F$20001,"RTO")</f>
        <v>0</v>
      </c>
      <c r="F25" s="17" t="n">
        <f aca="false">COUNTIFS(Orders!$D$2:$D$20001,$A25,Orders!$E$2:$E$20001,"Prepaid",Orders!$F$2:$F$20001,"RTO")</f>
        <v>0</v>
      </c>
      <c r="G25" s="18" t="n">
        <f aca="false">IFERROR(F25/E25,0)</f>
        <v>0</v>
      </c>
      <c r="H25" s="19" t="n">
        <f aca="false">C25*Settings!$B$11</f>
        <v>0</v>
      </c>
      <c r="I25" s="20" t="str">
        <f aca="false">IF(N(H25)=0,"",RANK(H25,$H$5:$H$40))</f>
        <v/>
      </c>
      <c r="J25" s="21" t="str">
        <f aca="false">IF(B25=0,"No COD orders",IF(B25&lt;Settings!$B$8,"Too few orders",IF(D25&gt;=Settings!$B$9,"Restrict COD or verify","Keep COD")))</f>
        <v>No COD orders</v>
      </c>
    </row>
    <row r="26" customFormat="false" ht="15" hidden="false" customHeight="false" outlineLevel="0" collapsed="false">
      <c r="A26" s="16" t="s">
        <v>72</v>
      </c>
      <c r="B26" s="17" t="n">
        <f aca="false">COUNTIFS(Orders!$D$2:$D$20001,$A26,Orders!$E$2:$E$20001,"COD",Orders!$F$2:$F$20001,"Delivered")+COUNTIFS(Orders!$D$2:$D$20001,$A26,Orders!$E$2:$E$20001,"COD",Orders!$F$2:$F$20001,"RTO")</f>
        <v>0</v>
      </c>
      <c r="C26" s="17" t="n">
        <f aca="false">COUNTIFS(Orders!$D$2:$D$20001,$A26,Orders!$E$2:$E$20001,"COD",Orders!$F$2:$F$20001,"RTO")</f>
        <v>0</v>
      </c>
      <c r="D26" s="18" t="n">
        <f aca="false">IFERROR(C26/B26,0)</f>
        <v>0</v>
      </c>
      <c r="E26" s="17" t="n">
        <f aca="false">COUNTIFS(Orders!$D$2:$D$20001,$A26,Orders!$E$2:$E$20001,"Prepaid",Orders!$F$2:$F$20001,"Delivered")+COUNTIFS(Orders!$D$2:$D$20001,$A26,Orders!$E$2:$E$20001,"Prepaid",Orders!$F$2:$F$20001,"RTO")</f>
        <v>0</v>
      </c>
      <c r="F26" s="17" t="n">
        <f aca="false">COUNTIFS(Orders!$D$2:$D$20001,$A26,Orders!$E$2:$E$20001,"Prepaid",Orders!$F$2:$F$20001,"RTO")</f>
        <v>0</v>
      </c>
      <c r="G26" s="18" t="n">
        <f aca="false">IFERROR(F26/E26,0)</f>
        <v>0</v>
      </c>
      <c r="H26" s="19" t="n">
        <f aca="false">C26*Settings!$B$11</f>
        <v>0</v>
      </c>
      <c r="I26" s="20" t="str">
        <f aca="false">IF(N(H26)=0,"",RANK(H26,$H$5:$H$40))</f>
        <v/>
      </c>
      <c r="J26" s="21" t="str">
        <f aca="false">IF(B26=0,"No COD orders",IF(B26&lt;Settings!$B$8,"Too few orders",IF(D26&gt;=Settings!$B$9,"Restrict COD or verify","Keep COD")))</f>
        <v>No COD orders</v>
      </c>
    </row>
    <row r="27" customFormat="false" ht="15" hidden="false" customHeight="false" outlineLevel="0" collapsed="false">
      <c r="A27" s="16" t="s">
        <v>73</v>
      </c>
      <c r="B27" s="17" t="n">
        <f aca="false">COUNTIFS(Orders!$D$2:$D$20001,$A27,Orders!$E$2:$E$20001,"COD",Orders!$F$2:$F$20001,"Delivered")+COUNTIFS(Orders!$D$2:$D$20001,$A27,Orders!$E$2:$E$20001,"COD",Orders!$F$2:$F$20001,"RTO")</f>
        <v>0</v>
      </c>
      <c r="C27" s="17" t="n">
        <f aca="false">COUNTIFS(Orders!$D$2:$D$20001,$A27,Orders!$E$2:$E$20001,"COD",Orders!$F$2:$F$20001,"RTO")</f>
        <v>0</v>
      </c>
      <c r="D27" s="18" t="n">
        <f aca="false">IFERROR(C27/B27,0)</f>
        <v>0</v>
      </c>
      <c r="E27" s="17" t="n">
        <f aca="false">COUNTIFS(Orders!$D$2:$D$20001,$A27,Orders!$E$2:$E$20001,"Prepaid",Orders!$F$2:$F$20001,"Delivered")+COUNTIFS(Orders!$D$2:$D$20001,$A27,Orders!$E$2:$E$20001,"Prepaid",Orders!$F$2:$F$20001,"RTO")</f>
        <v>0</v>
      </c>
      <c r="F27" s="17" t="n">
        <f aca="false">COUNTIFS(Orders!$D$2:$D$20001,$A27,Orders!$E$2:$E$20001,"Prepaid",Orders!$F$2:$F$20001,"RTO")</f>
        <v>0</v>
      </c>
      <c r="G27" s="18" t="n">
        <f aca="false">IFERROR(F27/E27,0)</f>
        <v>0</v>
      </c>
      <c r="H27" s="19" t="n">
        <f aca="false">C27*Settings!$B$11</f>
        <v>0</v>
      </c>
      <c r="I27" s="20" t="str">
        <f aca="false">IF(N(H27)=0,"",RANK(H27,$H$5:$H$40))</f>
        <v/>
      </c>
      <c r="J27" s="21" t="str">
        <f aca="false">IF(B27=0,"No COD orders",IF(B27&lt;Settings!$B$8,"Too few orders",IF(D27&gt;=Settings!$B$9,"Restrict COD or verify","Keep COD")))</f>
        <v>No COD orders</v>
      </c>
    </row>
    <row r="28" customFormat="false" ht="15" hidden="false" customHeight="false" outlineLevel="0" collapsed="false">
      <c r="A28" s="16" t="s">
        <v>74</v>
      </c>
      <c r="B28" s="17" t="n">
        <f aca="false">COUNTIFS(Orders!$D$2:$D$20001,$A28,Orders!$E$2:$E$20001,"COD",Orders!$F$2:$F$20001,"Delivered")+COUNTIFS(Orders!$D$2:$D$20001,$A28,Orders!$E$2:$E$20001,"COD",Orders!$F$2:$F$20001,"RTO")</f>
        <v>0</v>
      </c>
      <c r="C28" s="17" t="n">
        <f aca="false">COUNTIFS(Orders!$D$2:$D$20001,$A28,Orders!$E$2:$E$20001,"COD",Orders!$F$2:$F$20001,"RTO")</f>
        <v>0</v>
      </c>
      <c r="D28" s="18" t="n">
        <f aca="false">IFERROR(C28/B28,0)</f>
        <v>0</v>
      </c>
      <c r="E28" s="17" t="n">
        <f aca="false">COUNTIFS(Orders!$D$2:$D$20001,$A28,Orders!$E$2:$E$20001,"Prepaid",Orders!$F$2:$F$20001,"Delivered")+COUNTIFS(Orders!$D$2:$D$20001,$A28,Orders!$E$2:$E$20001,"Prepaid",Orders!$F$2:$F$20001,"RTO")</f>
        <v>0</v>
      </c>
      <c r="F28" s="17" t="n">
        <f aca="false">COUNTIFS(Orders!$D$2:$D$20001,$A28,Orders!$E$2:$E$20001,"Prepaid",Orders!$F$2:$F$20001,"RTO")</f>
        <v>0</v>
      </c>
      <c r="G28" s="18" t="n">
        <f aca="false">IFERROR(F28/E28,0)</f>
        <v>0</v>
      </c>
      <c r="H28" s="19" t="n">
        <f aca="false">C28*Settings!$B$11</f>
        <v>0</v>
      </c>
      <c r="I28" s="20" t="str">
        <f aca="false">IF(N(H28)=0,"",RANK(H28,$H$5:$H$40))</f>
        <v/>
      </c>
      <c r="J28" s="21" t="str">
        <f aca="false">IF(B28=0,"No COD orders",IF(B28&lt;Settings!$B$8,"Too few orders",IF(D28&gt;=Settings!$B$9,"Restrict COD or verify","Keep COD")))</f>
        <v>No COD orders</v>
      </c>
    </row>
    <row r="29" customFormat="false" ht="15" hidden="false" customHeight="false" outlineLevel="0" collapsed="false">
      <c r="A29" s="16" t="s">
        <v>75</v>
      </c>
      <c r="B29" s="17" t="n">
        <f aca="false">COUNTIFS(Orders!$D$2:$D$20001,$A29,Orders!$E$2:$E$20001,"COD",Orders!$F$2:$F$20001,"Delivered")+COUNTIFS(Orders!$D$2:$D$20001,$A29,Orders!$E$2:$E$20001,"COD",Orders!$F$2:$F$20001,"RTO")</f>
        <v>0</v>
      </c>
      <c r="C29" s="17" t="n">
        <f aca="false">COUNTIFS(Orders!$D$2:$D$20001,$A29,Orders!$E$2:$E$20001,"COD",Orders!$F$2:$F$20001,"RTO")</f>
        <v>0</v>
      </c>
      <c r="D29" s="18" t="n">
        <f aca="false">IFERROR(C29/B29,0)</f>
        <v>0</v>
      </c>
      <c r="E29" s="17" t="n">
        <f aca="false">COUNTIFS(Orders!$D$2:$D$20001,$A29,Orders!$E$2:$E$20001,"Prepaid",Orders!$F$2:$F$20001,"Delivered")+COUNTIFS(Orders!$D$2:$D$20001,$A29,Orders!$E$2:$E$20001,"Prepaid",Orders!$F$2:$F$20001,"RTO")</f>
        <v>0</v>
      </c>
      <c r="F29" s="17" t="n">
        <f aca="false">COUNTIFS(Orders!$D$2:$D$20001,$A29,Orders!$E$2:$E$20001,"Prepaid",Orders!$F$2:$F$20001,"RTO")</f>
        <v>0</v>
      </c>
      <c r="G29" s="18" t="n">
        <f aca="false">IFERROR(F29/E29,0)</f>
        <v>0</v>
      </c>
      <c r="H29" s="19" t="n">
        <f aca="false">C29*Settings!$B$11</f>
        <v>0</v>
      </c>
      <c r="I29" s="20" t="str">
        <f aca="false">IF(N(H29)=0,"",RANK(H29,$H$5:$H$40))</f>
        <v/>
      </c>
      <c r="J29" s="21" t="str">
        <f aca="false">IF(B29=0,"No COD orders",IF(B29&lt;Settings!$B$8,"Too few orders",IF(D29&gt;=Settings!$B$9,"Restrict COD or verify","Keep COD")))</f>
        <v>No COD orders</v>
      </c>
    </row>
    <row r="30" customFormat="false" ht="15" hidden="false" customHeight="false" outlineLevel="0" collapsed="false">
      <c r="A30" s="16" t="s">
        <v>76</v>
      </c>
      <c r="B30" s="17" t="n">
        <f aca="false">COUNTIFS(Orders!$D$2:$D$20001,$A30,Orders!$E$2:$E$20001,"COD",Orders!$F$2:$F$20001,"Delivered")+COUNTIFS(Orders!$D$2:$D$20001,$A30,Orders!$E$2:$E$20001,"COD",Orders!$F$2:$F$20001,"RTO")</f>
        <v>0</v>
      </c>
      <c r="C30" s="17" t="n">
        <f aca="false">COUNTIFS(Orders!$D$2:$D$20001,$A30,Orders!$E$2:$E$20001,"COD",Orders!$F$2:$F$20001,"RTO")</f>
        <v>0</v>
      </c>
      <c r="D30" s="18" t="n">
        <f aca="false">IFERROR(C30/B30,0)</f>
        <v>0</v>
      </c>
      <c r="E30" s="17" t="n">
        <f aca="false">COUNTIFS(Orders!$D$2:$D$20001,$A30,Orders!$E$2:$E$20001,"Prepaid",Orders!$F$2:$F$20001,"Delivered")+COUNTIFS(Orders!$D$2:$D$20001,$A30,Orders!$E$2:$E$20001,"Prepaid",Orders!$F$2:$F$20001,"RTO")</f>
        <v>0</v>
      </c>
      <c r="F30" s="17" t="n">
        <f aca="false">COUNTIFS(Orders!$D$2:$D$20001,$A30,Orders!$E$2:$E$20001,"Prepaid",Orders!$F$2:$F$20001,"RTO")</f>
        <v>0</v>
      </c>
      <c r="G30" s="18" t="n">
        <f aca="false">IFERROR(F30/E30,0)</f>
        <v>0</v>
      </c>
      <c r="H30" s="19" t="n">
        <f aca="false">C30*Settings!$B$11</f>
        <v>0</v>
      </c>
      <c r="I30" s="20" t="str">
        <f aca="false">IF(N(H30)=0,"",RANK(H30,$H$5:$H$40))</f>
        <v/>
      </c>
      <c r="J30" s="21" t="str">
        <f aca="false">IF(B30=0,"No COD orders",IF(B30&lt;Settings!$B$8,"Too few orders",IF(D30&gt;=Settings!$B$9,"Restrict COD or verify","Keep COD")))</f>
        <v>No COD orders</v>
      </c>
    </row>
    <row r="31" customFormat="false" ht="15" hidden="false" customHeight="false" outlineLevel="0" collapsed="false">
      <c r="A31" s="16" t="s">
        <v>77</v>
      </c>
      <c r="B31" s="17" t="n">
        <f aca="false">COUNTIFS(Orders!$D$2:$D$20001,$A31,Orders!$E$2:$E$20001,"COD",Orders!$F$2:$F$20001,"Delivered")+COUNTIFS(Orders!$D$2:$D$20001,$A31,Orders!$E$2:$E$20001,"COD",Orders!$F$2:$F$20001,"RTO")</f>
        <v>0</v>
      </c>
      <c r="C31" s="17" t="n">
        <f aca="false">COUNTIFS(Orders!$D$2:$D$20001,$A31,Orders!$E$2:$E$20001,"COD",Orders!$F$2:$F$20001,"RTO")</f>
        <v>0</v>
      </c>
      <c r="D31" s="18" t="n">
        <f aca="false">IFERROR(C31/B31,0)</f>
        <v>0</v>
      </c>
      <c r="E31" s="17" t="n">
        <f aca="false">COUNTIFS(Orders!$D$2:$D$20001,$A31,Orders!$E$2:$E$20001,"Prepaid",Orders!$F$2:$F$20001,"Delivered")+COUNTIFS(Orders!$D$2:$D$20001,$A31,Orders!$E$2:$E$20001,"Prepaid",Orders!$F$2:$F$20001,"RTO")</f>
        <v>0</v>
      </c>
      <c r="F31" s="17" t="n">
        <f aca="false">COUNTIFS(Orders!$D$2:$D$20001,$A31,Orders!$E$2:$E$20001,"Prepaid",Orders!$F$2:$F$20001,"RTO")</f>
        <v>0</v>
      </c>
      <c r="G31" s="18" t="n">
        <f aca="false">IFERROR(F31/E31,0)</f>
        <v>0</v>
      </c>
      <c r="H31" s="19" t="n">
        <f aca="false">C31*Settings!$B$11</f>
        <v>0</v>
      </c>
      <c r="I31" s="20" t="str">
        <f aca="false">IF(N(H31)=0,"",RANK(H31,$H$5:$H$40))</f>
        <v/>
      </c>
      <c r="J31" s="21" t="str">
        <f aca="false">IF(B31=0,"No COD orders",IF(B31&lt;Settings!$B$8,"Too few orders",IF(D31&gt;=Settings!$B$9,"Restrict COD or verify","Keep COD")))</f>
        <v>No COD orders</v>
      </c>
    </row>
    <row r="32" customFormat="false" ht="15" hidden="false" customHeight="false" outlineLevel="0" collapsed="false">
      <c r="A32" s="16" t="s">
        <v>78</v>
      </c>
      <c r="B32" s="17" t="n">
        <f aca="false">COUNTIFS(Orders!$D$2:$D$20001,$A32,Orders!$E$2:$E$20001,"COD",Orders!$F$2:$F$20001,"Delivered")+COUNTIFS(Orders!$D$2:$D$20001,$A32,Orders!$E$2:$E$20001,"COD",Orders!$F$2:$F$20001,"RTO")</f>
        <v>0</v>
      </c>
      <c r="C32" s="17" t="n">
        <f aca="false">COUNTIFS(Orders!$D$2:$D$20001,$A32,Orders!$E$2:$E$20001,"COD",Orders!$F$2:$F$20001,"RTO")</f>
        <v>0</v>
      </c>
      <c r="D32" s="18" t="n">
        <f aca="false">IFERROR(C32/B32,0)</f>
        <v>0</v>
      </c>
      <c r="E32" s="17" t="n">
        <f aca="false">COUNTIFS(Orders!$D$2:$D$20001,$A32,Orders!$E$2:$E$20001,"Prepaid",Orders!$F$2:$F$20001,"Delivered")+COUNTIFS(Orders!$D$2:$D$20001,$A32,Orders!$E$2:$E$20001,"Prepaid",Orders!$F$2:$F$20001,"RTO")</f>
        <v>0</v>
      </c>
      <c r="F32" s="17" t="n">
        <f aca="false">COUNTIFS(Orders!$D$2:$D$20001,$A32,Orders!$E$2:$E$20001,"Prepaid",Orders!$F$2:$F$20001,"RTO")</f>
        <v>0</v>
      </c>
      <c r="G32" s="18" t="n">
        <f aca="false">IFERROR(F32/E32,0)</f>
        <v>0</v>
      </c>
      <c r="H32" s="19" t="n">
        <f aca="false">C32*Settings!$B$11</f>
        <v>0</v>
      </c>
      <c r="I32" s="20" t="str">
        <f aca="false">IF(N(H32)=0,"",RANK(H32,$H$5:$H$40))</f>
        <v/>
      </c>
      <c r="J32" s="21" t="str">
        <f aca="false">IF(B32=0,"No COD orders",IF(B32&lt;Settings!$B$8,"Too few orders",IF(D32&gt;=Settings!$B$9,"Restrict COD or verify","Keep COD")))</f>
        <v>No COD orders</v>
      </c>
    </row>
    <row r="33" customFormat="false" ht="15" hidden="false" customHeight="false" outlineLevel="0" collapsed="false">
      <c r="A33" s="16" t="s">
        <v>79</v>
      </c>
      <c r="B33" s="17" t="n">
        <f aca="false">COUNTIFS(Orders!$D$2:$D$20001,$A33,Orders!$E$2:$E$20001,"COD",Orders!$F$2:$F$20001,"Delivered")+COUNTIFS(Orders!$D$2:$D$20001,$A33,Orders!$E$2:$E$20001,"COD",Orders!$F$2:$F$20001,"RTO")</f>
        <v>0</v>
      </c>
      <c r="C33" s="17" t="n">
        <f aca="false">COUNTIFS(Orders!$D$2:$D$20001,$A33,Orders!$E$2:$E$20001,"COD",Orders!$F$2:$F$20001,"RTO")</f>
        <v>0</v>
      </c>
      <c r="D33" s="18" t="n">
        <f aca="false">IFERROR(C33/B33,0)</f>
        <v>0</v>
      </c>
      <c r="E33" s="17" t="n">
        <f aca="false">COUNTIFS(Orders!$D$2:$D$20001,$A33,Orders!$E$2:$E$20001,"Prepaid",Orders!$F$2:$F$20001,"Delivered")+COUNTIFS(Orders!$D$2:$D$20001,$A33,Orders!$E$2:$E$20001,"Prepaid",Orders!$F$2:$F$20001,"RTO")</f>
        <v>0</v>
      </c>
      <c r="F33" s="17" t="n">
        <f aca="false">COUNTIFS(Orders!$D$2:$D$20001,$A33,Orders!$E$2:$E$20001,"Prepaid",Orders!$F$2:$F$20001,"RTO")</f>
        <v>0</v>
      </c>
      <c r="G33" s="18" t="n">
        <f aca="false">IFERROR(F33/E33,0)</f>
        <v>0</v>
      </c>
      <c r="H33" s="19" t="n">
        <f aca="false">C33*Settings!$B$11</f>
        <v>0</v>
      </c>
      <c r="I33" s="20" t="str">
        <f aca="false">IF(N(H33)=0,"",RANK(H33,$H$5:$H$40))</f>
        <v/>
      </c>
      <c r="J33" s="21" t="str">
        <f aca="false">IF(B33=0,"No COD orders",IF(B33&lt;Settings!$B$8,"Too few orders",IF(D33&gt;=Settings!$B$9,"Restrict COD or verify","Keep COD")))</f>
        <v>No COD orders</v>
      </c>
    </row>
    <row r="34" customFormat="false" ht="15" hidden="false" customHeight="false" outlineLevel="0" collapsed="false">
      <c r="A34" s="16" t="s">
        <v>80</v>
      </c>
      <c r="B34" s="17" t="n">
        <f aca="false">COUNTIFS(Orders!$D$2:$D$20001,$A34,Orders!$E$2:$E$20001,"COD",Orders!$F$2:$F$20001,"Delivered")+COUNTIFS(Orders!$D$2:$D$20001,$A34,Orders!$E$2:$E$20001,"COD",Orders!$F$2:$F$20001,"RTO")</f>
        <v>0</v>
      </c>
      <c r="C34" s="17" t="n">
        <f aca="false">COUNTIFS(Orders!$D$2:$D$20001,$A34,Orders!$E$2:$E$20001,"COD",Orders!$F$2:$F$20001,"RTO")</f>
        <v>0</v>
      </c>
      <c r="D34" s="18" t="n">
        <f aca="false">IFERROR(C34/B34,0)</f>
        <v>0</v>
      </c>
      <c r="E34" s="17" t="n">
        <f aca="false">COUNTIFS(Orders!$D$2:$D$20001,$A34,Orders!$E$2:$E$20001,"Prepaid",Orders!$F$2:$F$20001,"Delivered")+COUNTIFS(Orders!$D$2:$D$20001,$A34,Orders!$E$2:$E$20001,"Prepaid",Orders!$F$2:$F$20001,"RTO")</f>
        <v>0</v>
      </c>
      <c r="F34" s="17" t="n">
        <f aca="false">COUNTIFS(Orders!$D$2:$D$20001,$A34,Orders!$E$2:$E$20001,"Prepaid",Orders!$F$2:$F$20001,"RTO")</f>
        <v>0</v>
      </c>
      <c r="G34" s="18" t="n">
        <f aca="false">IFERROR(F34/E34,0)</f>
        <v>0</v>
      </c>
      <c r="H34" s="19" t="n">
        <f aca="false">C34*Settings!$B$11</f>
        <v>0</v>
      </c>
      <c r="I34" s="20" t="str">
        <f aca="false">IF(N(H34)=0,"",RANK(H34,$H$5:$H$40))</f>
        <v/>
      </c>
      <c r="J34" s="21" t="str">
        <f aca="false">IF(B34=0,"No COD orders",IF(B34&lt;Settings!$B$8,"Too few orders",IF(D34&gt;=Settings!$B$9,"Restrict COD or verify","Keep COD")))</f>
        <v>No COD orders</v>
      </c>
    </row>
    <row r="35" customFormat="false" ht="15" hidden="false" customHeight="false" outlineLevel="0" collapsed="false">
      <c r="A35" s="16" t="s">
        <v>81</v>
      </c>
      <c r="B35" s="17" t="n">
        <f aca="false">COUNTIFS(Orders!$D$2:$D$20001,$A35,Orders!$E$2:$E$20001,"COD",Orders!$F$2:$F$20001,"Delivered")+COUNTIFS(Orders!$D$2:$D$20001,$A35,Orders!$E$2:$E$20001,"COD",Orders!$F$2:$F$20001,"RTO")</f>
        <v>0</v>
      </c>
      <c r="C35" s="17" t="n">
        <f aca="false">COUNTIFS(Orders!$D$2:$D$20001,$A35,Orders!$E$2:$E$20001,"COD",Orders!$F$2:$F$20001,"RTO")</f>
        <v>0</v>
      </c>
      <c r="D35" s="18" t="n">
        <f aca="false">IFERROR(C35/B35,0)</f>
        <v>0</v>
      </c>
      <c r="E35" s="17" t="n">
        <f aca="false">COUNTIFS(Orders!$D$2:$D$20001,$A35,Orders!$E$2:$E$20001,"Prepaid",Orders!$F$2:$F$20001,"Delivered")+COUNTIFS(Orders!$D$2:$D$20001,$A35,Orders!$E$2:$E$20001,"Prepaid",Orders!$F$2:$F$20001,"RTO")</f>
        <v>0</v>
      </c>
      <c r="F35" s="17" t="n">
        <f aca="false">COUNTIFS(Orders!$D$2:$D$20001,$A35,Orders!$E$2:$E$20001,"Prepaid",Orders!$F$2:$F$20001,"RTO")</f>
        <v>0</v>
      </c>
      <c r="G35" s="18" t="n">
        <f aca="false">IFERROR(F35/E35,0)</f>
        <v>0</v>
      </c>
      <c r="H35" s="19" t="n">
        <f aca="false">C35*Settings!$B$11</f>
        <v>0</v>
      </c>
      <c r="I35" s="20" t="str">
        <f aca="false">IF(N(H35)=0,"",RANK(H35,$H$5:$H$40))</f>
        <v/>
      </c>
      <c r="J35" s="21" t="str">
        <f aca="false">IF(B35=0,"No COD orders",IF(B35&lt;Settings!$B$8,"Too few orders",IF(D35&gt;=Settings!$B$9,"Restrict COD or verify","Keep COD")))</f>
        <v>No COD orders</v>
      </c>
    </row>
    <row r="36" customFormat="false" ht="15" hidden="false" customHeight="false" outlineLevel="0" collapsed="false">
      <c r="A36" s="16" t="s">
        <v>82</v>
      </c>
      <c r="B36" s="17" t="n">
        <f aca="false">COUNTIFS(Orders!$D$2:$D$20001,$A36,Orders!$E$2:$E$20001,"COD",Orders!$F$2:$F$20001,"Delivered")+COUNTIFS(Orders!$D$2:$D$20001,$A36,Orders!$E$2:$E$20001,"COD",Orders!$F$2:$F$20001,"RTO")</f>
        <v>0</v>
      </c>
      <c r="C36" s="17" t="n">
        <f aca="false">COUNTIFS(Orders!$D$2:$D$20001,$A36,Orders!$E$2:$E$20001,"COD",Orders!$F$2:$F$20001,"RTO")</f>
        <v>0</v>
      </c>
      <c r="D36" s="18" t="n">
        <f aca="false">IFERROR(C36/B36,0)</f>
        <v>0</v>
      </c>
      <c r="E36" s="17" t="n">
        <f aca="false">COUNTIFS(Orders!$D$2:$D$20001,$A36,Orders!$E$2:$E$20001,"Prepaid",Orders!$F$2:$F$20001,"Delivered")+COUNTIFS(Orders!$D$2:$D$20001,$A36,Orders!$E$2:$E$20001,"Prepaid",Orders!$F$2:$F$20001,"RTO")</f>
        <v>0</v>
      </c>
      <c r="F36" s="17" t="n">
        <f aca="false">COUNTIFS(Orders!$D$2:$D$20001,$A36,Orders!$E$2:$E$20001,"Prepaid",Orders!$F$2:$F$20001,"RTO")</f>
        <v>0</v>
      </c>
      <c r="G36" s="18" t="n">
        <f aca="false">IFERROR(F36/E36,0)</f>
        <v>0</v>
      </c>
      <c r="H36" s="19" t="n">
        <f aca="false">C36*Settings!$B$11</f>
        <v>0</v>
      </c>
      <c r="I36" s="20" t="str">
        <f aca="false">IF(N(H36)=0,"",RANK(H36,$H$5:$H$40))</f>
        <v/>
      </c>
      <c r="J36" s="21" t="str">
        <f aca="false">IF(B36=0,"No COD orders",IF(B36&lt;Settings!$B$8,"Too few orders",IF(D36&gt;=Settings!$B$9,"Restrict COD or verify","Keep COD")))</f>
        <v>No COD orders</v>
      </c>
    </row>
    <row r="37" customFormat="false" ht="15" hidden="false" customHeight="false" outlineLevel="0" collapsed="false">
      <c r="A37" s="16" t="s">
        <v>83</v>
      </c>
      <c r="B37" s="17" t="n">
        <f aca="false">COUNTIFS(Orders!$D$2:$D$20001,$A37,Orders!$E$2:$E$20001,"COD",Orders!$F$2:$F$20001,"Delivered")+COUNTIFS(Orders!$D$2:$D$20001,$A37,Orders!$E$2:$E$20001,"COD",Orders!$F$2:$F$20001,"RTO")</f>
        <v>0</v>
      </c>
      <c r="C37" s="17" t="n">
        <f aca="false">COUNTIFS(Orders!$D$2:$D$20001,$A37,Orders!$E$2:$E$20001,"COD",Orders!$F$2:$F$20001,"RTO")</f>
        <v>0</v>
      </c>
      <c r="D37" s="18" t="n">
        <f aca="false">IFERROR(C37/B37,0)</f>
        <v>0</v>
      </c>
      <c r="E37" s="17" t="n">
        <f aca="false">COUNTIFS(Orders!$D$2:$D$20001,$A37,Orders!$E$2:$E$20001,"Prepaid",Orders!$F$2:$F$20001,"Delivered")+COUNTIFS(Orders!$D$2:$D$20001,$A37,Orders!$E$2:$E$20001,"Prepaid",Orders!$F$2:$F$20001,"RTO")</f>
        <v>0</v>
      </c>
      <c r="F37" s="17" t="n">
        <f aca="false">COUNTIFS(Orders!$D$2:$D$20001,$A37,Orders!$E$2:$E$20001,"Prepaid",Orders!$F$2:$F$20001,"RTO")</f>
        <v>0</v>
      </c>
      <c r="G37" s="18" t="n">
        <f aca="false">IFERROR(F37/E37,0)</f>
        <v>0</v>
      </c>
      <c r="H37" s="19" t="n">
        <f aca="false">C37*Settings!$B$11</f>
        <v>0</v>
      </c>
      <c r="I37" s="20" t="str">
        <f aca="false">IF(N(H37)=0,"",RANK(H37,$H$5:$H$40))</f>
        <v/>
      </c>
      <c r="J37" s="21" t="str">
        <f aca="false">IF(B37=0,"No COD orders",IF(B37&lt;Settings!$B$8,"Too few orders",IF(D37&gt;=Settings!$B$9,"Restrict COD or verify","Keep COD")))</f>
        <v>No COD orders</v>
      </c>
    </row>
    <row r="38" customFormat="false" ht="15" hidden="false" customHeight="false" outlineLevel="0" collapsed="false">
      <c r="A38" s="16" t="s">
        <v>84</v>
      </c>
      <c r="B38" s="17" t="n">
        <f aca="false">COUNTIFS(Orders!$D$2:$D$20001,$A38,Orders!$E$2:$E$20001,"COD",Orders!$F$2:$F$20001,"Delivered")+COUNTIFS(Orders!$D$2:$D$20001,$A38,Orders!$E$2:$E$20001,"COD",Orders!$F$2:$F$20001,"RTO")</f>
        <v>0</v>
      </c>
      <c r="C38" s="17" t="n">
        <f aca="false">COUNTIFS(Orders!$D$2:$D$20001,$A38,Orders!$E$2:$E$20001,"COD",Orders!$F$2:$F$20001,"RTO")</f>
        <v>0</v>
      </c>
      <c r="D38" s="18" t="n">
        <f aca="false">IFERROR(C38/B38,0)</f>
        <v>0</v>
      </c>
      <c r="E38" s="17" t="n">
        <f aca="false">COUNTIFS(Orders!$D$2:$D$20001,$A38,Orders!$E$2:$E$20001,"Prepaid",Orders!$F$2:$F$20001,"Delivered")+COUNTIFS(Orders!$D$2:$D$20001,$A38,Orders!$E$2:$E$20001,"Prepaid",Orders!$F$2:$F$20001,"RTO")</f>
        <v>0</v>
      </c>
      <c r="F38" s="17" t="n">
        <f aca="false">COUNTIFS(Orders!$D$2:$D$20001,$A38,Orders!$E$2:$E$20001,"Prepaid",Orders!$F$2:$F$20001,"RTO")</f>
        <v>0</v>
      </c>
      <c r="G38" s="18" t="n">
        <f aca="false">IFERROR(F38/E38,0)</f>
        <v>0</v>
      </c>
      <c r="H38" s="19" t="n">
        <f aca="false">C38*Settings!$B$11</f>
        <v>0</v>
      </c>
      <c r="I38" s="20" t="str">
        <f aca="false">IF(N(H38)=0,"",RANK(H38,$H$5:$H$40))</f>
        <v/>
      </c>
      <c r="J38" s="21" t="str">
        <f aca="false">IF(B38=0,"No COD orders",IF(B38&lt;Settings!$B$8,"Too few orders",IF(D38&gt;=Settings!$B$9,"Restrict COD or verify","Keep COD")))</f>
        <v>No COD orders</v>
      </c>
    </row>
    <row r="39" customFormat="false" ht="15" hidden="false" customHeight="false" outlineLevel="0" collapsed="false">
      <c r="A39" s="16" t="s">
        <v>85</v>
      </c>
      <c r="B39" s="17" t="n">
        <f aca="false">COUNTIFS(Orders!$D$2:$D$20001,$A39,Orders!$E$2:$E$20001,"COD",Orders!$F$2:$F$20001,"Delivered")+COUNTIFS(Orders!$D$2:$D$20001,$A39,Orders!$E$2:$E$20001,"COD",Orders!$F$2:$F$20001,"RTO")</f>
        <v>0</v>
      </c>
      <c r="C39" s="17" t="n">
        <f aca="false">COUNTIFS(Orders!$D$2:$D$20001,$A39,Orders!$E$2:$E$20001,"COD",Orders!$F$2:$F$20001,"RTO")</f>
        <v>0</v>
      </c>
      <c r="D39" s="18" t="n">
        <f aca="false">IFERROR(C39/B39,0)</f>
        <v>0</v>
      </c>
      <c r="E39" s="17" t="n">
        <f aca="false">COUNTIFS(Orders!$D$2:$D$20001,$A39,Orders!$E$2:$E$20001,"Prepaid",Orders!$F$2:$F$20001,"Delivered")+COUNTIFS(Orders!$D$2:$D$20001,$A39,Orders!$E$2:$E$20001,"Prepaid",Orders!$F$2:$F$20001,"RTO")</f>
        <v>0</v>
      </c>
      <c r="F39" s="17" t="n">
        <f aca="false">COUNTIFS(Orders!$D$2:$D$20001,$A39,Orders!$E$2:$E$20001,"Prepaid",Orders!$F$2:$F$20001,"RTO")</f>
        <v>0</v>
      </c>
      <c r="G39" s="18" t="n">
        <f aca="false">IFERROR(F39/E39,0)</f>
        <v>0</v>
      </c>
      <c r="H39" s="19" t="n">
        <f aca="false">C39*Settings!$B$11</f>
        <v>0</v>
      </c>
      <c r="I39" s="20" t="str">
        <f aca="false">IF(N(H39)=0,"",RANK(H39,$H$5:$H$40))</f>
        <v/>
      </c>
      <c r="J39" s="21" t="str">
        <f aca="false">IF(B39=0,"No COD orders",IF(B39&lt;Settings!$B$8,"Too few orders",IF(D39&gt;=Settings!$B$9,"Restrict COD or verify","Keep COD")))</f>
        <v>No COD orders</v>
      </c>
    </row>
    <row r="40" customFormat="false" ht="15" hidden="false" customHeight="false" outlineLevel="0" collapsed="false">
      <c r="A40" s="16" t="s">
        <v>86</v>
      </c>
      <c r="B40" s="17" t="n">
        <f aca="false">COUNTIFS(Orders!$D$2:$D$20001,$A40,Orders!$E$2:$E$20001,"COD",Orders!$F$2:$F$20001,"Delivered")+COUNTIFS(Orders!$D$2:$D$20001,$A40,Orders!$E$2:$E$20001,"COD",Orders!$F$2:$F$20001,"RTO")</f>
        <v>0</v>
      </c>
      <c r="C40" s="17" t="n">
        <f aca="false">COUNTIFS(Orders!$D$2:$D$20001,$A40,Orders!$E$2:$E$20001,"COD",Orders!$F$2:$F$20001,"RTO")</f>
        <v>0</v>
      </c>
      <c r="D40" s="18" t="n">
        <f aca="false">IFERROR(C40/B40,0)</f>
        <v>0</v>
      </c>
      <c r="E40" s="17" t="n">
        <f aca="false">COUNTIFS(Orders!$D$2:$D$20001,$A40,Orders!$E$2:$E$20001,"Prepaid",Orders!$F$2:$F$20001,"Delivered")+COUNTIFS(Orders!$D$2:$D$20001,$A40,Orders!$E$2:$E$20001,"Prepaid",Orders!$F$2:$F$20001,"RTO")</f>
        <v>0</v>
      </c>
      <c r="F40" s="17" t="n">
        <f aca="false">COUNTIFS(Orders!$D$2:$D$20001,$A40,Orders!$E$2:$E$20001,"Prepaid",Orders!$F$2:$F$20001,"RTO")</f>
        <v>0</v>
      </c>
      <c r="G40" s="18" t="n">
        <f aca="false">IFERROR(F40/E40,0)</f>
        <v>0</v>
      </c>
      <c r="H40" s="19" t="n">
        <f aca="false">C40*Settings!$B$11</f>
        <v>0</v>
      </c>
      <c r="I40" s="20" t="str">
        <f aca="false">IF(N(H40)=0,"",RANK(H40,$H$5:$H$40))</f>
        <v/>
      </c>
      <c r="J40" s="21" t="str">
        <f aca="false">IF(B40=0,"No COD orders",IF(B40&lt;Settings!$B$8,"Too few orders",IF(D40&gt;=Settings!$B$9,"Restrict COD or verify","Keep COD")))</f>
        <v>No COD orders</v>
      </c>
    </row>
    <row r="41" customFormat="false" ht="15" hidden="false" customHeight="false" outlineLevel="0" collapsed="false">
      <c r="A41" s="22" t="s">
        <v>87</v>
      </c>
      <c r="B41" s="23" t="n">
        <f aca="false">SUM(B5:B40)</f>
        <v>0</v>
      </c>
      <c r="C41" s="23" t="n">
        <f aca="false">SUM(C5:C40)</f>
        <v>0</v>
      </c>
      <c r="D41" s="24" t="n">
        <f aca="false">IFERROR(C41/B41,0)</f>
        <v>0</v>
      </c>
      <c r="E41" s="23" t="n">
        <f aca="false">SUM(E5:E40)</f>
        <v>0</v>
      </c>
      <c r="F41" s="23" t="n">
        <f aca="false">SUM(F5:F40)</f>
        <v>0</v>
      </c>
      <c r="G41" s="24" t="n">
        <f aca="false">IFERROR(F41/E41,0)</f>
        <v>0</v>
      </c>
      <c r="H41" s="25" t="n">
        <f aca="false">SUM(H5:H40)</f>
        <v>0</v>
      </c>
      <c r="I41" s="26"/>
      <c r="J41" s="26"/>
    </row>
  </sheetData>
  <autoFilter ref="A4:J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2"/>
    <col collapsed="false" customWidth="true" hidden="false" outlineLevel="0" max="8" min="8" style="0" width="18"/>
    <col collapsed="false" customWidth="true" hidden="false" outlineLevel="0" max="9" min="9" style="0" width="10"/>
    <col collapsed="false" customWidth="true" hidden="false" outlineLevel="0" max="10" min="10" style="0" width="26"/>
  </cols>
  <sheetData>
    <row r="1" customFormat="false" ht="19.7" hidden="false" customHeight="false" outlineLevel="0" collapsed="false">
      <c r="A1" s="1" t="s">
        <v>88</v>
      </c>
    </row>
    <row r="2" customFormat="false" ht="15" hidden="false" customHeight="false" outlineLevel="0" collapsed="false">
      <c r="A2" s="5" t="s">
        <v>41</v>
      </c>
    </row>
    <row r="3" customFormat="false" ht="15" hidden="false" customHeight="false" outlineLevel="0" collapsed="false">
      <c r="A3" s="14" t="s">
        <v>89</v>
      </c>
    </row>
    <row r="4" customFormat="false" ht="30" hidden="false" customHeight="true" outlineLevel="0" collapsed="false">
      <c r="A4" s="15" t="s">
        <v>90</v>
      </c>
      <c r="B4" s="15" t="s">
        <v>42</v>
      </c>
      <c r="C4" s="15" t="s">
        <v>43</v>
      </c>
      <c r="D4" s="15" t="s">
        <v>44</v>
      </c>
      <c r="E4" s="15" t="s">
        <v>45</v>
      </c>
      <c r="F4" s="15" t="s">
        <v>46</v>
      </c>
      <c r="G4" s="15" t="s">
        <v>47</v>
      </c>
      <c r="H4" s="15" t="s">
        <v>48</v>
      </c>
      <c r="I4" s="15" t="s">
        <v>49</v>
      </c>
      <c r="J4" s="15" t="s">
        <v>50</v>
      </c>
    </row>
    <row r="5" customFormat="false" ht="15" hidden="false" customHeight="false" outlineLevel="0" collapsed="false">
      <c r="A5" s="27"/>
      <c r="B5" s="17" t="str">
        <f aca="false">IF($A5="","",COUNTIFS(Orders!$C$2:$C$20001,$A5,Orders!$E$2:$E$20001,"COD",Orders!$F$2:$F$20001,"Delivered")+COUNTIFS(Orders!$C$2:$C$20001,$A5,Orders!$E$2:$E$20001,"COD",Orders!$F$2:$F$20001,"RTO"))</f>
        <v/>
      </c>
      <c r="C5" s="17" t="str">
        <f aca="false">IF($A5="","",COUNTIFS(Orders!$C$2:$C$20001,$A5,Orders!$E$2:$E$20001,"COD",Orders!$F$2:$F$20001,"RTO"))</f>
        <v/>
      </c>
      <c r="D5" s="18" t="str">
        <f aca="false">IF($A5="","",IFERROR(C5/B5,0))</f>
        <v/>
      </c>
      <c r="E5" s="17" t="str">
        <f aca="false">IF($A5="","",COUNTIFS(Orders!$C$2:$C$20001,$A5,Orders!$E$2:$E$20001,"Prepaid",Orders!$F$2:$F$20001,"Delivered")+COUNTIFS(Orders!$C$2:$C$20001,$A5,Orders!$E$2:$E$20001,"Prepaid",Orders!$F$2:$F$20001,"RTO"))</f>
        <v/>
      </c>
      <c r="F5" s="17" t="str">
        <f aca="false">IF($A5="","",COUNTIFS(Orders!$C$2:$C$20001,$A5,Orders!$E$2:$E$20001,"Prepaid",Orders!$F$2:$F$20001,"RTO"))</f>
        <v/>
      </c>
      <c r="G5" s="18" t="str">
        <f aca="false">IF($A5="","",IFERROR(F5/E5,0))</f>
        <v/>
      </c>
      <c r="H5" s="19" t="str">
        <f aca="false">IF($A5="","",C5*Settings!$B$11)</f>
        <v/>
      </c>
      <c r="I5" s="20" t="str">
        <f aca="false">IF($A5="","",IF(N(H5)=0,"",RANK(H5,$H$5:$H$2004)))</f>
        <v/>
      </c>
      <c r="J5" s="21" t="str">
        <f aca="false">IF($A5="","",IF(B5=0,"No COD orders",IF(B5&lt;Settings!$B$8,"Too few orders",IF(D5&gt;=Settings!$B$9,"Restrict COD or verify","Keep COD"))))</f>
        <v/>
      </c>
    </row>
    <row r="6" customFormat="false" ht="15" hidden="false" customHeight="false" outlineLevel="0" collapsed="false">
      <c r="A6" s="27"/>
      <c r="B6" s="17" t="str">
        <f aca="false">IF($A6="","",COUNTIFS(Orders!$C$2:$C$20001,$A6,Orders!$E$2:$E$20001,"COD",Orders!$F$2:$F$20001,"Delivered")+COUNTIFS(Orders!$C$2:$C$20001,$A6,Orders!$E$2:$E$20001,"COD",Orders!$F$2:$F$20001,"RTO"))</f>
        <v/>
      </c>
      <c r="C6" s="17" t="str">
        <f aca="false">IF($A6="","",COUNTIFS(Orders!$C$2:$C$20001,$A6,Orders!$E$2:$E$20001,"COD",Orders!$F$2:$F$20001,"RTO"))</f>
        <v/>
      </c>
      <c r="D6" s="18" t="str">
        <f aca="false">IF($A6="","",IFERROR(C6/B6,0))</f>
        <v/>
      </c>
      <c r="E6" s="17" t="str">
        <f aca="false">IF($A6="","",COUNTIFS(Orders!$C$2:$C$20001,$A6,Orders!$E$2:$E$20001,"Prepaid",Orders!$F$2:$F$20001,"Delivered")+COUNTIFS(Orders!$C$2:$C$20001,$A6,Orders!$E$2:$E$20001,"Prepaid",Orders!$F$2:$F$20001,"RTO"))</f>
        <v/>
      </c>
      <c r="F6" s="17" t="str">
        <f aca="false">IF($A6="","",COUNTIFS(Orders!$C$2:$C$20001,$A6,Orders!$E$2:$E$20001,"Prepaid",Orders!$F$2:$F$20001,"RTO"))</f>
        <v/>
      </c>
      <c r="G6" s="18" t="str">
        <f aca="false">IF($A6="","",IFERROR(F6/E6,0))</f>
        <v/>
      </c>
      <c r="H6" s="19" t="str">
        <f aca="false">IF($A6="","",C6*Settings!$B$11)</f>
        <v/>
      </c>
      <c r="I6" s="20" t="str">
        <f aca="false">IF($A6="","",IF(N(H6)=0,"",RANK(H6,$H$5:$H$2004)))</f>
        <v/>
      </c>
      <c r="J6" s="21" t="str">
        <f aca="false">IF($A6="","",IF(B6=0,"No COD orders",IF(B6&lt;Settings!$B$8,"Too few orders",IF(D6&gt;=Settings!$B$9,"Restrict COD or verify","Keep COD"))))</f>
        <v/>
      </c>
    </row>
    <row r="7" customFormat="false" ht="15" hidden="false" customHeight="false" outlineLevel="0" collapsed="false">
      <c r="A7" s="27"/>
      <c r="B7" s="17" t="str">
        <f aca="false">IF($A7="","",COUNTIFS(Orders!$C$2:$C$20001,$A7,Orders!$E$2:$E$20001,"COD",Orders!$F$2:$F$20001,"Delivered")+COUNTIFS(Orders!$C$2:$C$20001,$A7,Orders!$E$2:$E$20001,"COD",Orders!$F$2:$F$20001,"RTO"))</f>
        <v/>
      </c>
      <c r="C7" s="17" t="str">
        <f aca="false">IF($A7="","",COUNTIFS(Orders!$C$2:$C$20001,$A7,Orders!$E$2:$E$20001,"COD",Orders!$F$2:$F$20001,"RTO"))</f>
        <v/>
      </c>
      <c r="D7" s="18" t="str">
        <f aca="false">IF($A7="","",IFERROR(C7/B7,0))</f>
        <v/>
      </c>
      <c r="E7" s="17" t="str">
        <f aca="false">IF($A7="","",COUNTIFS(Orders!$C$2:$C$20001,$A7,Orders!$E$2:$E$20001,"Prepaid",Orders!$F$2:$F$20001,"Delivered")+COUNTIFS(Orders!$C$2:$C$20001,$A7,Orders!$E$2:$E$20001,"Prepaid",Orders!$F$2:$F$20001,"RTO"))</f>
        <v/>
      </c>
      <c r="F7" s="17" t="str">
        <f aca="false">IF($A7="","",COUNTIFS(Orders!$C$2:$C$20001,$A7,Orders!$E$2:$E$20001,"Prepaid",Orders!$F$2:$F$20001,"RTO"))</f>
        <v/>
      </c>
      <c r="G7" s="18" t="str">
        <f aca="false">IF($A7="","",IFERROR(F7/E7,0))</f>
        <v/>
      </c>
      <c r="H7" s="19" t="str">
        <f aca="false">IF($A7="","",C7*Settings!$B$11)</f>
        <v/>
      </c>
      <c r="I7" s="20" t="str">
        <f aca="false">IF($A7="","",IF(N(H7)=0,"",RANK(H7,$H$5:$H$2004)))</f>
        <v/>
      </c>
      <c r="J7" s="21" t="str">
        <f aca="false">IF($A7="","",IF(B7=0,"No COD orders",IF(B7&lt;Settings!$B$8,"Too few orders",IF(D7&gt;=Settings!$B$9,"Restrict COD or verify","Keep COD"))))</f>
        <v/>
      </c>
    </row>
    <row r="8" customFormat="false" ht="15" hidden="false" customHeight="false" outlineLevel="0" collapsed="false">
      <c r="A8" s="27"/>
      <c r="B8" s="17" t="str">
        <f aca="false">IF($A8="","",COUNTIFS(Orders!$C$2:$C$20001,$A8,Orders!$E$2:$E$20001,"COD",Orders!$F$2:$F$20001,"Delivered")+COUNTIFS(Orders!$C$2:$C$20001,$A8,Orders!$E$2:$E$20001,"COD",Orders!$F$2:$F$20001,"RTO"))</f>
        <v/>
      </c>
      <c r="C8" s="17" t="str">
        <f aca="false">IF($A8="","",COUNTIFS(Orders!$C$2:$C$20001,$A8,Orders!$E$2:$E$20001,"COD",Orders!$F$2:$F$20001,"RTO"))</f>
        <v/>
      </c>
      <c r="D8" s="18" t="str">
        <f aca="false">IF($A8="","",IFERROR(C8/B8,0))</f>
        <v/>
      </c>
      <c r="E8" s="17" t="str">
        <f aca="false">IF($A8="","",COUNTIFS(Orders!$C$2:$C$20001,$A8,Orders!$E$2:$E$20001,"Prepaid",Orders!$F$2:$F$20001,"Delivered")+COUNTIFS(Orders!$C$2:$C$20001,$A8,Orders!$E$2:$E$20001,"Prepaid",Orders!$F$2:$F$20001,"RTO"))</f>
        <v/>
      </c>
      <c r="F8" s="17" t="str">
        <f aca="false">IF($A8="","",COUNTIFS(Orders!$C$2:$C$20001,$A8,Orders!$E$2:$E$20001,"Prepaid",Orders!$F$2:$F$20001,"RTO"))</f>
        <v/>
      </c>
      <c r="G8" s="18" t="str">
        <f aca="false">IF($A8="","",IFERROR(F8/E8,0))</f>
        <v/>
      </c>
      <c r="H8" s="19" t="str">
        <f aca="false">IF($A8="","",C8*Settings!$B$11)</f>
        <v/>
      </c>
      <c r="I8" s="20" t="str">
        <f aca="false">IF($A8="","",IF(N(H8)=0,"",RANK(H8,$H$5:$H$2004)))</f>
        <v/>
      </c>
      <c r="J8" s="21" t="str">
        <f aca="false">IF($A8="","",IF(B8=0,"No COD orders",IF(B8&lt;Settings!$B$8,"Too few orders",IF(D8&gt;=Settings!$B$9,"Restrict COD or verify","Keep COD"))))</f>
        <v/>
      </c>
    </row>
    <row r="9" customFormat="false" ht="15" hidden="false" customHeight="false" outlineLevel="0" collapsed="false">
      <c r="A9" s="27"/>
      <c r="B9" s="17" t="str">
        <f aca="false">IF($A9="","",COUNTIFS(Orders!$C$2:$C$20001,$A9,Orders!$E$2:$E$20001,"COD",Orders!$F$2:$F$20001,"Delivered")+COUNTIFS(Orders!$C$2:$C$20001,$A9,Orders!$E$2:$E$20001,"COD",Orders!$F$2:$F$20001,"RTO"))</f>
        <v/>
      </c>
      <c r="C9" s="17" t="str">
        <f aca="false">IF($A9="","",COUNTIFS(Orders!$C$2:$C$20001,$A9,Orders!$E$2:$E$20001,"COD",Orders!$F$2:$F$20001,"RTO"))</f>
        <v/>
      </c>
      <c r="D9" s="18" t="str">
        <f aca="false">IF($A9="","",IFERROR(C9/B9,0))</f>
        <v/>
      </c>
      <c r="E9" s="17" t="str">
        <f aca="false">IF($A9="","",COUNTIFS(Orders!$C$2:$C$20001,$A9,Orders!$E$2:$E$20001,"Prepaid",Orders!$F$2:$F$20001,"Delivered")+COUNTIFS(Orders!$C$2:$C$20001,$A9,Orders!$E$2:$E$20001,"Prepaid",Orders!$F$2:$F$20001,"RTO"))</f>
        <v/>
      </c>
      <c r="F9" s="17" t="str">
        <f aca="false">IF($A9="","",COUNTIFS(Orders!$C$2:$C$20001,$A9,Orders!$E$2:$E$20001,"Prepaid",Orders!$F$2:$F$20001,"RTO"))</f>
        <v/>
      </c>
      <c r="G9" s="18" t="str">
        <f aca="false">IF($A9="","",IFERROR(F9/E9,0))</f>
        <v/>
      </c>
      <c r="H9" s="19" t="str">
        <f aca="false">IF($A9="","",C9*Settings!$B$11)</f>
        <v/>
      </c>
      <c r="I9" s="20" t="str">
        <f aca="false">IF($A9="","",IF(N(H9)=0,"",RANK(H9,$H$5:$H$2004)))</f>
        <v/>
      </c>
      <c r="J9" s="21" t="str">
        <f aca="false">IF($A9="","",IF(B9=0,"No COD orders",IF(B9&lt;Settings!$B$8,"Too few orders",IF(D9&gt;=Settings!$B$9,"Restrict COD or verify","Keep COD"))))</f>
        <v/>
      </c>
    </row>
    <row r="10" customFormat="false" ht="15" hidden="false" customHeight="false" outlineLevel="0" collapsed="false">
      <c r="A10" s="27"/>
      <c r="B10" s="17" t="str">
        <f aca="false">IF($A10="","",COUNTIFS(Orders!$C$2:$C$20001,$A10,Orders!$E$2:$E$20001,"COD",Orders!$F$2:$F$20001,"Delivered")+COUNTIFS(Orders!$C$2:$C$20001,$A10,Orders!$E$2:$E$20001,"COD",Orders!$F$2:$F$20001,"RTO"))</f>
        <v/>
      </c>
      <c r="C10" s="17" t="str">
        <f aca="false">IF($A10="","",COUNTIFS(Orders!$C$2:$C$20001,$A10,Orders!$E$2:$E$20001,"COD",Orders!$F$2:$F$20001,"RTO"))</f>
        <v/>
      </c>
      <c r="D10" s="18" t="str">
        <f aca="false">IF($A10="","",IFERROR(C10/B10,0))</f>
        <v/>
      </c>
      <c r="E10" s="17" t="str">
        <f aca="false">IF($A10="","",COUNTIFS(Orders!$C$2:$C$20001,$A10,Orders!$E$2:$E$20001,"Prepaid",Orders!$F$2:$F$20001,"Delivered")+COUNTIFS(Orders!$C$2:$C$20001,$A10,Orders!$E$2:$E$20001,"Prepaid",Orders!$F$2:$F$20001,"RTO"))</f>
        <v/>
      </c>
      <c r="F10" s="17" t="str">
        <f aca="false">IF($A10="","",COUNTIFS(Orders!$C$2:$C$20001,$A10,Orders!$E$2:$E$20001,"Prepaid",Orders!$F$2:$F$20001,"RTO"))</f>
        <v/>
      </c>
      <c r="G10" s="18" t="str">
        <f aca="false">IF($A10="","",IFERROR(F10/E10,0))</f>
        <v/>
      </c>
      <c r="H10" s="19" t="str">
        <f aca="false">IF($A10="","",C10*Settings!$B$11)</f>
        <v/>
      </c>
      <c r="I10" s="20" t="str">
        <f aca="false">IF($A10="","",IF(N(H10)=0,"",RANK(H10,$H$5:$H$2004)))</f>
        <v/>
      </c>
      <c r="J10" s="21" t="str">
        <f aca="false">IF($A10="","",IF(B10=0,"No COD orders",IF(B10&lt;Settings!$B$8,"Too few orders",IF(D10&gt;=Settings!$B$9,"Restrict COD or verify","Keep COD"))))</f>
        <v/>
      </c>
    </row>
    <row r="11" customFormat="false" ht="15" hidden="false" customHeight="false" outlineLevel="0" collapsed="false">
      <c r="A11" s="27"/>
      <c r="B11" s="17" t="str">
        <f aca="false">IF($A11="","",COUNTIFS(Orders!$C$2:$C$20001,$A11,Orders!$E$2:$E$20001,"COD",Orders!$F$2:$F$20001,"Delivered")+COUNTIFS(Orders!$C$2:$C$20001,$A11,Orders!$E$2:$E$20001,"COD",Orders!$F$2:$F$20001,"RTO"))</f>
        <v/>
      </c>
      <c r="C11" s="17" t="str">
        <f aca="false">IF($A11="","",COUNTIFS(Orders!$C$2:$C$20001,$A11,Orders!$E$2:$E$20001,"COD",Orders!$F$2:$F$20001,"RTO"))</f>
        <v/>
      </c>
      <c r="D11" s="18" t="str">
        <f aca="false">IF($A11="","",IFERROR(C11/B11,0))</f>
        <v/>
      </c>
      <c r="E11" s="17" t="str">
        <f aca="false">IF($A11="","",COUNTIFS(Orders!$C$2:$C$20001,$A11,Orders!$E$2:$E$20001,"Prepaid",Orders!$F$2:$F$20001,"Delivered")+COUNTIFS(Orders!$C$2:$C$20001,$A11,Orders!$E$2:$E$20001,"Prepaid",Orders!$F$2:$F$20001,"RTO"))</f>
        <v/>
      </c>
      <c r="F11" s="17" t="str">
        <f aca="false">IF($A11="","",COUNTIFS(Orders!$C$2:$C$20001,$A11,Orders!$E$2:$E$20001,"Prepaid",Orders!$F$2:$F$20001,"RTO"))</f>
        <v/>
      </c>
      <c r="G11" s="18" t="str">
        <f aca="false">IF($A11="","",IFERROR(F11/E11,0))</f>
        <v/>
      </c>
      <c r="H11" s="19" t="str">
        <f aca="false">IF($A11="","",C11*Settings!$B$11)</f>
        <v/>
      </c>
      <c r="I11" s="20" t="str">
        <f aca="false">IF($A11="","",IF(N(H11)=0,"",RANK(H11,$H$5:$H$2004)))</f>
        <v/>
      </c>
      <c r="J11" s="21" t="str">
        <f aca="false">IF($A11="","",IF(B11=0,"No COD orders",IF(B11&lt;Settings!$B$8,"Too few orders",IF(D11&gt;=Settings!$B$9,"Restrict COD or verify","Keep COD"))))</f>
        <v/>
      </c>
    </row>
    <row r="12" customFormat="false" ht="15" hidden="false" customHeight="false" outlineLevel="0" collapsed="false">
      <c r="A12" s="27"/>
      <c r="B12" s="17" t="str">
        <f aca="false">IF($A12="","",COUNTIFS(Orders!$C$2:$C$20001,$A12,Orders!$E$2:$E$20001,"COD",Orders!$F$2:$F$20001,"Delivered")+COUNTIFS(Orders!$C$2:$C$20001,$A12,Orders!$E$2:$E$20001,"COD",Orders!$F$2:$F$20001,"RTO"))</f>
        <v/>
      </c>
      <c r="C12" s="17" t="str">
        <f aca="false">IF($A12="","",COUNTIFS(Orders!$C$2:$C$20001,$A12,Orders!$E$2:$E$20001,"COD",Orders!$F$2:$F$20001,"RTO"))</f>
        <v/>
      </c>
      <c r="D12" s="18" t="str">
        <f aca="false">IF($A12="","",IFERROR(C12/B12,0))</f>
        <v/>
      </c>
      <c r="E12" s="17" t="str">
        <f aca="false">IF($A12="","",COUNTIFS(Orders!$C$2:$C$20001,$A12,Orders!$E$2:$E$20001,"Prepaid",Orders!$F$2:$F$20001,"Delivered")+COUNTIFS(Orders!$C$2:$C$20001,$A12,Orders!$E$2:$E$20001,"Prepaid",Orders!$F$2:$F$20001,"RTO"))</f>
        <v/>
      </c>
      <c r="F12" s="17" t="str">
        <f aca="false">IF($A12="","",COUNTIFS(Orders!$C$2:$C$20001,$A12,Orders!$E$2:$E$20001,"Prepaid",Orders!$F$2:$F$20001,"RTO"))</f>
        <v/>
      </c>
      <c r="G12" s="18" t="str">
        <f aca="false">IF($A12="","",IFERROR(F12/E12,0))</f>
        <v/>
      </c>
      <c r="H12" s="19" t="str">
        <f aca="false">IF($A12="","",C12*Settings!$B$11)</f>
        <v/>
      </c>
      <c r="I12" s="20" t="str">
        <f aca="false">IF($A12="","",IF(N(H12)=0,"",RANK(H12,$H$5:$H$2004)))</f>
        <v/>
      </c>
      <c r="J12" s="21" t="str">
        <f aca="false">IF($A12="","",IF(B12=0,"No COD orders",IF(B12&lt;Settings!$B$8,"Too few orders",IF(D12&gt;=Settings!$B$9,"Restrict COD or verify","Keep COD"))))</f>
        <v/>
      </c>
    </row>
    <row r="13" customFormat="false" ht="15" hidden="false" customHeight="false" outlineLevel="0" collapsed="false">
      <c r="A13" s="27"/>
      <c r="B13" s="17" t="str">
        <f aca="false">IF($A13="","",COUNTIFS(Orders!$C$2:$C$20001,$A13,Orders!$E$2:$E$20001,"COD",Orders!$F$2:$F$20001,"Delivered")+COUNTIFS(Orders!$C$2:$C$20001,$A13,Orders!$E$2:$E$20001,"COD",Orders!$F$2:$F$20001,"RTO"))</f>
        <v/>
      </c>
      <c r="C13" s="17" t="str">
        <f aca="false">IF($A13="","",COUNTIFS(Orders!$C$2:$C$20001,$A13,Orders!$E$2:$E$20001,"COD",Orders!$F$2:$F$20001,"RTO"))</f>
        <v/>
      </c>
      <c r="D13" s="18" t="str">
        <f aca="false">IF($A13="","",IFERROR(C13/B13,0))</f>
        <v/>
      </c>
      <c r="E13" s="17" t="str">
        <f aca="false">IF($A13="","",COUNTIFS(Orders!$C$2:$C$20001,$A13,Orders!$E$2:$E$20001,"Prepaid",Orders!$F$2:$F$20001,"Delivered")+COUNTIFS(Orders!$C$2:$C$20001,$A13,Orders!$E$2:$E$20001,"Prepaid",Orders!$F$2:$F$20001,"RTO"))</f>
        <v/>
      </c>
      <c r="F13" s="17" t="str">
        <f aca="false">IF($A13="","",COUNTIFS(Orders!$C$2:$C$20001,$A13,Orders!$E$2:$E$20001,"Prepaid",Orders!$F$2:$F$20001,"RTO"))</f>
        <v/>
      </c>
      <c r="G13" s="18" t="str">
        <f aca="false">IF($A13="","",IFERROR(F13/E13,0))</f>
        <v/>
      </c>
      <c r="H13" s="19" t="str">
        <f aca="false">IF($A13="","",C13*Settings!$B$11)</f>
        <v/>
      </c>
      <c r="I13" s="20" t="str">
        <f aca="false">IF($A13="","",IF(N(H13)=0,"",RANK(H13,$H$5:$H$2004)))</f>
        <v/>
      </c>
      <c r="J13" s="21" t="str">
        <f aca="false">IF($A13="","",IF(B13=0,"No COD orders",IF(B13&lt;Settings!$B$8,"Too few orders",IF(D13&gt;=Settings!$B$9,"Restrict COD or verify","Keep COD"))))</f>
        <v/>
      </c>
    </row>
    <row r="14" customFormat="false" ht="15" hidden="false" customHeight="false" outlineLevel="0" collapsed="false">
      <c r="A14" s="27"/>
      <c r="B14" s="17" t="str">
        <f aca="false">IF($A14="","",COUNTIFS(Orders!$C$2:$C$20001,$A14,Orders!$E$2:$E$20001,"COD",Orders!$F$2:$F$20001,"Delivered")+COUNTIFS(Orders!$C$2:$C$20001,$A14,Orders!$E$2:$E$20001,"COD",Orders!$F$2:$F$20001,"RTO"))</f>
        <v/>
      </c>
      <c r="C14" s="17" t="str">
        <f aca="false">IF($A14="","",COUNTIFS(Orders!$C$2:$C$20001,$A14,Orders!$E$2:$E$20001,"COD",Orders!$F$2:$F$20001,"RTO"))</f>
        <v/>
      </c>
      <c r="D14" s="18" t="str">
        <f aca="false">IF($A14="","",IFERROR(C14/B14,0))</f>
        <v/>
      </c>
      <c r="E14" s="17" t="str">
        <f aca="false">IF($A14="","",COUNTIFS(Orders!$C$2:$C$20001,$A14,Orders!$E$2:$E$20001,"Prepaid",Orders!$F$2:$F$20001,"Delivered")+COUNTIFS(Orders!$C$2:$C$20001,$A14,Orders!$E$2:$E$20001,"Prepaid",Orders!$F$2:$F$20001,"RTO"))</f>
        <v/>
      </c>
      <c r="F14" s="17" t="str">
        <f aca="false">IF($A14="","",COUNTIFS(Orders!$C$2:$C$20001,$A14,Orders!$E$2:$E$20001,"Prepaid",Orders!$F$2:$F$20001,"RTO"))</f>
        <v/>
      </c>
      <c r="G14" s="18" t="str">
        <f aca="false">IF($A14="","",IFERROR(F14/E14,0))</f>
        <v/>
      </c>
      <c r="H14" s="19" t="str">
        <f aca="false">IF($A14="","",C14*Settings!$B$11)</f>
        <v/>
      </c>
      <c r="I14" s="20" t="str">
        <f aca="false">IF($A14="","",IF(N(H14)=0,"",RANK(H14,$H$5:$H$2004)))</f>
        <v/>
      </c>
      <c r="J14" s="21" t="str">
        <f aca="false">IF($A14="","",IF(B14=0,"No COD orders",IF(B14&lt;Settings!$B$8,"Too few orders",IF(D14&gt;=Settings!$B$9,"Restrict COD or verify","Keep COD"))))</f>
        <v/>
      </c>
    </row>
    <row r="15" customFormat="false" ht="15" hidden="false" customHeight="false" outlineLevel="0" collapsed="false">
      <c r="A15" s="27"/>
      <c r="B15" s="17" t="str">
        <f aca="false">IF($A15="","",COUNTIFS(Orders!$C$2:$C$20001,$A15,Orders!$E$2:$E$20001,"COD",Orders!$F$2:$F$20001,"Delivered")+COUNTIFS(Orders!$C$2:$C$20001,$A15,Orders!$E$2:$E$20001,"COD",Orders!$F$2:$F$20001,"RTO"))</f>
        <v/>
      </c>
      <c r="C15" s="17" t="str">
        <f aca="false">IF($A15="","",COUNTIFS(Orders!$C$2:$C$20001,$A15,Orders!$E$2:$E$20001,"COD",Orders!$F$2:$F$20001,"RTO"))</f>
        <v/>
      </c>
      <c r="D15" s="18" t="str">
        <f aca="false">IF($A15="","",IFERROR(C15/B15,0))</f>
        <v/>
      </c>
      <c r="E15" s="17" t="str">
        <f aca="false">IF($A15="","",COUNTIFS(Orders!$C$2:$C$20001,$A15,Orders!$E$2:$E$20001,"Prepaid",Orders!$F$2:$F$20001,"Delivered")+COUNTIFS(Orders!$C$2:$C$20001,$A15,Orders!$E$2:$E$20001,"Prepaid",Orders!$F$2:$F$20001,"RTO"))</f>
        <v/>
      </c>
      <c r="F15" s="17" t="str">
        <f aca="false">IF($A15="","",COUNTIFS(Orders!$C$2:$C$20001,$A15,Orders!$E$2:$E$20001,"Prepaid",Orders!$F$2:$F$20001,"RTO"))</f>
        <v/>
      </c>
      <c r="G15" s="18" t="str">
        <f aca="false">IF($A15="","",IFERROR(F15/E15,0))</f>
        <v/>
      </c>
      <c r="H15" s="19" t="str">
        <f aca="false">IF($A15="","",C15*Settings!$B$11)</f>
        <v/>
      </c>
      <c r="I15" s="20" t="str">
        <f aca="false">IF($A15="","",IF(N(H15)=0,"",RANK(H15,$H$5:$H$2004)))</f>
        <v/>
      </c>
      <c r="J15" s="21" t="str">
        <f aca="false">IF($A15="","",IF(B15=0,"No COD orders",IF(B15&lt;Settings!$B$8,"Too few orders",IF(D15&gt;=Settings!$B$9,"Restrict COD or verify","Keep COD"))))</f>
        <v/>
      </c>
    </row>
    <row r="16" customFormat="false" ht="15" hidden="false" customHeight="false" outlineLevel="0" collapsed="false">
      <c r="A16" s="27"/>
      <c r="B16" s="17" t="str">
        <f aca="false">IF($A16="","",COUNTIFS(Orders!$C$2:$C$20001,$A16,Orders!$E$2:$E$20001,"COD",Orders!$F$2:$F$20001,"Delivered")+COUNTIFS(Orders!$C$2:$C$20001,$A16,Orders!$E$2:$E$20001,"COD",Orders!$F$2:$F$20001,"RTO"))</f>
        <v/>
      </c>
      <c r="C16" s="17" t="str">
        <f aca="false">IF($A16="","",COUNTIFS(Orders!$C$2:$C$20001,$A16,Orders!$E$2:$E$20001,"COD",Orders!$F$2:$F$20001,"RTO"))</f>
        <v/>
      </c>
      <c r="D16" s="18" t="str">
        <f aca="false">IF($A16="","",IFERROR(C16/B16,0))</f>
        <v/>
      </c>
      <c r="E16" s="17" t="str">
        <f aca="false">IF($A16="","",COUNTIFS(Orders!$C$2:$C$20001,$A16,Orders!$E$2:$E$20001,"Prepaid",Orders!$F$2:$F$20001,"Delivered")+COUNTIFS(Orders!$C$2:$C$20001,$A16,Orders!$E$2:$E$20001,"Prepaid",Orders!$F$2:$F$20001,"RTO"))</f>
        <v/>
      </c>
      <c r="F16" s="17" t="str">
        <f aca="false">IF($A16="","",COUNTIFS(Orders!$C$2:$C$20001,$A16,Orders!$E$2:$E$20001,"Prepaid",Orders!$F$2:$F$20001,"RTO"))</f>
        <v/>
      </c>
      <c r="G16" s="18" t="str">
        <f aca="false">IF($A16="","",IFERROR(F16/E16,0))</f>
        <v/>
      </c>
      <c r="H16" s="19" t="str">
        <f aca="false">IF($A16="","",C16*Settings!$B$11)</f>
        <v/>
      </c>
      <c r="I16" s="20" t="str">
        <f aca="false">IF($A16="","",IF(N(H16)=0,"",RANK(H16,$H$5:$H$2004)))</f>
        <v/>
      </c>
      <c r="J16" s="21" t="str">
        <f aca="false">IF($A16="","",IF(B16=0,"No COD orders",IF(B16&lt;Settings!$B$8,"Too few orders",IF(D16&gt;=Settings!$B$9,"Restrict COD or verify","Keep COD"))))</f>
        <v/>
      </c>
    </row>
    <row r="17" customFormat="false" ht="15" hidden="false" customHeight="false" outlineLevel="0" collapsed="false">
      <c r="A17" s="27"/>
      <c r="B17" s="17" t="str">
        <f aca="false">IF($A17="","",COUNTIFS(Orders!$C$2:$C$20001,$A17,Orders!$E$2:$E$20001,"COD",Orders!$F$2:$F$20001,"Delivered")+COUNTIFS(Orders!$C$2:$C$20001,$A17,Orders!$E$2:$E$20001,"COD",Orders!$F$2:$F$20001,"RTO"))</f>
        <v/>
      </c>
      <c r="C17" s="17" t="str">
        <f aca="false">IF($A17="","",COUNTIFS(Orders!$C$2:$C$20001,$A17,Orders!$E$2:$E$20001,"COD",Orders!$F$2:$F$20001,"RTO"))</f>
        <v/>
      </c>
      <c r="D17" s="18" t="str">
        <f aca="false">IF($A17="","",IFERROR(C17/B17,0))</f>
        <v/>
      </c>
      <c r="E17" s="17" t="str">
        <f aca="false">IF($A17="","",COUNTIFS(Orders!$C$2:$C$20001,$A17,Orders!$E$2:$E$20001,"Prepaid",Orders!$F$2:$F$20001,"Delivered")+COUNTIFS(Orders!$C$2:$C$20001,$A17,Orders!$E$2:$E$20001,"Prepaid",Orders!$F$2:$F$20001,"RTO"))</f>
        <v/>
      </c>
      <c r="F17" s="17" t="str">
        <f aca="false">IF($A17="","",COUNTIFS(Orders!$C$2:$C$20001,$A17,Orders!$E$2:$E$20001,"Prepaid",Orders!$F$2:$F$20001,"RTO"))</f>
        <v/>
      </c>
      <c r="G17" s="18" t="str">
        <f aca="false">IF($A17="","",IFERROR(F17/E17,0))</f>
        <v/>
      </c>
      <c r="H17" s="19" t="str">
        <f aca="false">IF($A17="","",C17*Settings!$B$11)</f>
        <v/>
      </c>
      <c r="I17" s="20" t="str">
        <f aca="false">IF($A17="","",IF(N(H17)=0,"",RANK(H17,$H$5:$H$2004)))</f>
        <v/>
      </c>
      <c r="J17" s="21" t="str">
        <f aca="false">IF($A17="","",IF(B17=0,"No COD orders",IF(B17&lt;Settings!$B$8,"Too few orders",IF(D17&gt;=Settings!$B$9,"Restrict COD or verify","Keep COD"))))</f>
        <v/>
      </c>
    </row>
    <row r="18" customFormat="false" ht="15" hidden="false" customHeight="false" outlineLevel="0" collapsed="false">
      <c r="A18" s="27"/>
      <c r="B18" s="17" t="str">
        <f aca="false">IF($A18="","",COUNTIFS(Orders!$C$2:$C$20001,$A18,Orders!$E$2:$E$20001,"COD",Orders!$F$2:$F$20001,"Delivered")+COUNTIFS(Orders!$C$2:$C$20001,$A18,Orders!$E$2:$E$20001,"COD",Orders!$F$2:$F$20001,"RTO"))</f>
        <v/>
      </c>
      <c r="C18" s="17" t="str">
        <f aca="false">IF($A18="","",COUNTIFS(Orders!$C$2:$C$20001,$A18,Orders!$E$2:$E$20001,"COD",Orders!$F$2:$F$20001,"RTO"))</f>
        <v/>
      </c>
      <c r="D18" s="18" t="str">
        <f aca="false">IF($A18="","",IFERROR(C18/B18,0))</f>
        <v/>
      </c>
      <c r="E18" s="17" t="str">
        <f aca="false">IF($A18="","",COUNTIFS(Orders!$C$2:$C$20001,$A18,Orders!$E$2:$E$20001,"Prepaid",Orders!$F$2:$F$20001,"Delivered")+COUNTIFS(Orders!$C$2:$C$20001,$A18,Orders!$E$2:$E$20001,"Prepaid",Orders!$F$2:$F$20001,"RTO"))</f>
        <v/>
      </c>
      <c r="F18" s="17" t="str">
        <f aca="false">IF($A18="","",COUNTIFS(Orders!$C$2:$C$20001,$A18,Orders!$E$2:$E$20001,"Prepaid",Orders!$F$2:$F$20001,"RTO"))</f>
        <v/>
      </c>
      <c r="G18" s="18" t="str">
        <f aca="false">IF($A18="","",IFERROR(F18/E18,0))</f>
        <v/>
      </c>
      <c r="H18" s="19" t="str">
        <f aca="false">IF($A18="","",C18*Settings!$B$11)</f>
        <v/>
      </c>
      <c r="I18" s="20" t="str">
        <f aca="false">IF($A18="","",IF(N(H18)=0,"",RANK(H18,$H$5:$H$2004)))</f>
        <v/>
      </c>
      <c r="J18" s="21" t="str">
        <f aca="false">IF($A18="","",IF(B18=0,"No COD orders",IF(B18&lt;Settings!$B$8,"Too few orders",IF(D18&gt;=Settings!$B$9,"Restrict COD or verify","Keep COD"))))</f>
        <v/>
      </c>
    </row>
    <row r="19" customFormat="false" ht="15" hidden="false" customHeight="false" outlineLevel="0" collapsed="false">
      <c r="A19" s="27"/>
      <c r="B19" s="17" t="str">
        <f aca="false">IF($A19="","",COUNTIFS(Orders!$C$2:$C$20001,$A19,Orders!$E$2:$E$20001,"COD",Orders!$F$2:$F$20001,"Delivered")+COUNTIFS(Orders!$C$2:$C$20001,$A19,Orders!$E$2:$E$20001,"COD",Orders!$F$2:$F$20001,"RTO"))</f>
        <v/>
      </c>
      <c r="C19" s="17" t="str">
        <f aca="false">IF($A19="","",COUNTIFS(Orders!$C$2:$C$20001,$A19,Orders!$E$2:$E$20001,"COD",Orders!$F$2:$F$20001,"RTO"))</f>
        <v/>
      </c>
      <c r="D19" s="18" t="str">
        <f aca="false">IF($A19="","",IFERROR(C19/B19,0))</f>
        <v/>
      </c>
      <c r="E19" s="17" t="str">
        <f aca="false">IF($A19="","",COUNTIFS(Orders!$C$2:$C$20001,$A19,Orders!$E$2:$E$20001,"Prepaid",Orders!$F$2:$F$20001,"Delivered")+COUNTIFS(Orders!$C$2:$C$20001,$A19,Orders!$E$2:$E$20001,"Prepaid",Orders!$F$2:$F$20001,"RTO"))</f>
        <v/>
      </c>
      <c r="F19" s="17" t="str">
        <f aca="false">IF($A19="","",COUNTIFS(Orders!$C$2:$C$20001,$A19,Orders!$E$2:$E$20001,"Prepaid",Orders!$F$2:$F$20001,"RTO"))</f>
        <v/>
      </c>
      <c r="G19" s="18" t="str">
        <f aca="false">IF($A19="","",IFERROR(F19/E19,0))</f>
        <v/>
      </c>
      <c r="H19" s="19" t="str">
        <f aca="false">IF($A19="","",C19*Settings!$B$11)</f>
        <v/>
      </c>
      <c r="I19" s="20" t="str">
        <f aca="false">IF($A19="","",IF(N(H19)=0,"",RANK(H19,$H$5:$H$2004)))</f>
        <v/>
      </c>
      <c r="J19" s="21" t="str">
        <f aca="false">IF($A19="","",IF(B19=0,"No COD orders",IF(B19&lt;Settings!$B$8,"Too few orders",IF(D19&gt;=Settings!$B$9,"Restrict COD or verify","Keep COD"))))</f>
        <v/>
      </c>
    </row>
    <row r="20" customFormat="false" ht="15" hidden="false" customHeight="false" outlineLevel="0" collapsed="false">
      <c r="A20" s="27"/>
      <c r="B20" s="17" t="str">
        <f aca="false">IF($A20="","",COUNTIFS(Orders!$C$2:$C$20001,$A20,Orders!$E$2:$E$20001,"COD",Orders!$F$2:$F$20001,"Delivered")+COUNTIFS(Orders!$C$2:$C$20001,$A20,Orders!$E$2:$E$20001,"COD",Orders!$F$2:$F$20001,"RTO"))</f>
        <v/>
      </c>
      <c r="C20" s="17" t="str">
        <f aca="false">IF($A20="","",COUNTIFS(Orders!$C$2:$C$20001,$A20,Orders!$E$2:$E$20001,"COD",Orders!$F$2:$F$20001,"RTO"))</f>
        <v/>
      </c>
      <c r="D20" s="18" t="str">
        <f aca="false">IF($A20="","",IFERROR(C20/B20,0))</f>
        <v/>
      </c>
      <c r="E20" s="17" t="str">
        <f aca="false">IF($A20="","",COUNTIFS(Orders!$C$2:$C$20001,$A20,Orders!$E$2:$E$20001,"Prepaid",Orders!$F$2:$F$20001,"Delivered")+COUNTIFS(Orders!$C$2:$C$20001,$A20,Orders!$E$2:$E$20001,"Prepaid",Orders!$F$2:$F$20001,"RTO"))</f>
        <v/>
      </c>
      <c r="F20" s="17" t="str">
        <f aca="false">IF($A20="","",COUNTIFS(Orders!$C$2:$C$20001,$A20,Orders!$E$2:$E$20001,"Prepaid",Orders!$F$2:$F$20001,"RTO"))</f>
        <v/>
      </c>
      <c r="G20" s="18" t="str">
        <f aca="false">IF($A20="","",IFERROR(F20/E20,0))</f>
        <v/>
      </c>
      <c r="H20" s="19" t="str">
        <f aca="false">IF($A20="","",C20*Settings!$B$11)</f>
        <v/>
      </c>
      <c r="I20" s="20" t="str">
        <f aca="false">IF($A20="","",IF(N(H20)=0,"",RANK(H20,$H$5:$H$2004)))</f>
        <v/>
      </c>
      <c r="J20" s="21" t="str">
        <f aca="false">IF($A20="","",IF(B20=0,"No COD orders",IF(B20&lt;Settings!$B$8,"Too few orders",IF(D20&gt;=Settings!$B$9,"Restrict COD or verify","Keep COD"))))</f>
        <v/>
      </c>
    </row>
    <row r="21" customFormat="false" ht="15" hidden="false" customHeight="false" outlineLevel="0" collapsed="false">
      <c r="A21" s="27"/>
      <c r="B21" s="17" t="str">
        <f aca="false">IF($A21="","",COUNTIFS(Orders!$C$2:$C$20001,$A21,Orders!$E$2:$E$20001,"COD",Orders!$F$2:$F$20001,"Delivered")+COUNTIFS(Orders!$C$2:$C$20001,$A21,Orders!$E$2:$E$20001,"COD",Orders!$F$2:$F$20001,"RTO"))</f>
        <v/>
      </c>
      <c r="C21" s="17" t="str">
        <f aca="false">IF($A21="","",COUNTIFS(Orders!$C$2:$C$20001,$A21,Orders!$E$2:$E$20001,"COD",Orders!$F$2:$F$20001,"RTO"))</f>
        <v/>
      </c>
      <c r="D21" s="18" t="str">
        <f aca="false">IF($A21="","",IFERROR(C21/B21,0))</f>
        <v/>
      </c>
      <c r="E21" s="17" t="str">
        <f aca="false">IF($A21="","",COUNTIFS(Orders!$C$2:$C$20001,$A21,Orders!$E$2:$E$20001,"Prepaid",Orders!$F$2:$F$20001,"Delivered")+COUNTIFS(Orders!$C$2:$C$20001,$A21,Orders!$E$2:$E$20001,"Prepaid",Orders!$F$2:$F$20001,"RTO"))</f>
        <v/>
      </c>
      <c r="F21" s="17" t="str">
        <f aca="false">IF($A21="","",COUNTIFS(Orders!$C$2:$C$20001,$A21,Orders!$E$2:$E$20001,"Prepaid",Orders!$F$2:$F$20001,"RTO"))</f>
        <v/>
      </c>
      <c r="G21" s="18" t="str">
        <f aca="false">IF($A21="","",IFERROR(F21/E21,0))</f>
        <v/>
      </c>
      <c r="H21" s="19" t="str">
        <f aca="false">IF($A21="","",C21*Settings!$B$11)</f>
        <v/>
      </c>
      <c r="I21" s="20" t="str">
        <f aca="false">IF($A21="","",IF(N(H21)=0,"",RANK(H21,$H$5:$H$2004)))</f>
        <v/>
      </c>
      <c r="J21" s="21" t="str">
        <f aca="false">IF($A21="","",IF(B21=0,"No COD orders",IF(B21&lt;Settings!$B$8,"Too few orders",IF(D21&gt;=Settings!$B$9,"Restrict COD or verify","Keep COD"))))</f>
        <v/>
      </c>
    </row>
    <row r="22" customFormat="false" ht="15" hidden="false" customHeight="false" outlineLevel="0" collapsed="false">
      <c r="A22" s="27"/>
      <c r="B22" s="17" t="str">
        <f aca="false">IF($A22="","",COUNTIFS(Orders!$C$2:$C$20001,$A22,Orders!$E$2:$E$20001,"COD",Orders!$F$2:$F$20001,"Delivered")+COUNTIFS(Orders!$C$2:$C$20001,$A22,Orders!$E$2:$E$20001,"COD",Orders!$F$2:$F$20001,"RTO"))</f>
        <v/>
      </c>
      <c r="C22" s="17" t="str">
        <f aca="false">IF($A22="","",COUNTIFS(Orders!$C$2:$C$20001,$A22,Orders!$E$2:$E$20001,"COD",Orders!$F$2:$F$20001,"RTO"))</f>
        <v/>
      </c>
      <c r="D22" s="18" t="str">
        <f aca="false">IF($A22="","",IFERROR(C22/B22,0))</f>
        <v/>
      </c>
      <c r="E22" s="17" t="str">
        <f aca="false">IF($A22="","",COUNTIFS(Orders!$C$2:$C$20001,$A22,Orders!$E$2:$E$20001,"Prepaid",Orders!$F$2:$F$20001,"Delivered")+COUNTIFS(Orders!$C$2:$C$20001,$A22,Orders!$E$2:$E$20001,"Prepaid",Orders!$F$2:$F$20001,"RTO"))</f>
        <v/>
      </c>
      <c r="F22" s="17" t="str">
        <f aca="false">IF($A22="","",COUNTIFS(Orders!$C$2:$C$20001,$A22,Orders!$E$2:$E$20001,"Prepaid",Orders!$F$2:$F$20001,"RTO"))</f>
        <v/>
      </c>
      <c r="G22" s="18" t="str">
        <f aca="false">IF($A22="","",IFERROR(F22/E22,0))</f>
        <v/>
      </c>
      <c r="H22" s="19" t="str">
        <f aca="false">IF($A22="","",C22*Settings!$B$11)</f>
        <v/>
      </c>
      <c r="I22" s="20" t="str">
        <f aca="false">IF($A22="","",IF(N(H22)=0,"",RANK(H22,$H$5:$H$2004)))</f>
        <v/>
      </c>
      <c r="J22" s="21" t="str">
        <f aca="false">IF($A22="","",IF(B22=0,"No COD orders",IF(B22&lt;Settings!$B$8,"Too few orders",IF(D22&gt;=Settings!$B$9,"Restrict COD or verify","Keep COD"))))</f>
        <v/>
      </c>
    </row>
    <row r="23" customFormat="false" ht="15" hidden="false" customHeight="false" outlineLevel="0" collapsed="false">
      <c r="A23" s="27"/>
      <c r="B23" s="17" t="str">
        <f aca="false">IF($A23="","",COUNTIFS(Orders!$C$2:$C$20001,$A23,Orders!$E$2:$E$20001,"COD",Orders!$F$2:$F$20001,"Delivered")+COUNTIFS(Orders!$C$2:$C$20001,$A23,Orders!$E$2:$E$20001,"COD",Orders!$F$2:$F$20001,"RTO"))</f>
        <v/>
      </c>
      <c r="C23" s="17" t="str">
        <f aca="false">IF($A23="","",COUNTIFS(Orders!$C$2:$C$20001,$A23,Orders!$E$2:$E$20001,"COD",Orders!$F$2:$F$20001,"RTO"))</f>
        <v/>
      </c>
      <c r="D23" s="18" t="str">
        <f aca="false">IF($A23="","",IFERROR(C23/B23,0))</f>
        <v/>
      </c>
      <c r="E23" s="17" t="str">
        <f aca="false">IF($A23="","",COUNTIFS(Orders!$C$2:$C$20001,$A23,Orders!$E$2:$E$20001,"Prepaid",Orders!$F$2:$F$20001,"Delivered")+COUNTIFS(Orders!$C$2:$C$20001,$A23,Orders!$E$2:$E$20001,"Prepaid",Orders!$F$2:$F$20001,"RTO"))</f>
        <v/>
      </c>
      <c r="F23" s="17" t="str">
        <f aca="false">IF($A23="","",COUNTIFS(Orders!$C$2:$C$20001,$A23,Orders!$E$2:$E$20001,"Prepaid",Orders!$F$2:$F$20001,"RTO"))</f>
        <v/>
      </c>
      <c r="G23" s="18" t="str">
        <f aca="false">IF($A23="","",IFERROR(F23/E23,0))</f>
        <v/>
      </c>
      <c r="H23" s="19" t="str">
        <f aca="false">IF($A23="","",C23*Settings!$B$11)</f>
        <v/>
      </c>
      <c r="I23" s="20" t="str">
        <f aca="false">IF($A23="","",IF(N(H23)=0,"",RANK(H23,$H$5:$H$2004)))</f>
        <v/>
      </c>
      <c r="J23" s="21" t="str">
        <f aca="false">IF($A23="","",IF(B23=0,"No COD orders",IF(B23&lt;Settings!$B$8,"Too few orders",IF(D23&gt;=Settings!$B$9,"Restrict COD or verify","Keep COD"))))</f>
        <v/>
      </c>
    </row>
    <row r="24" customFormat="false" ht="15" hidden="false" customHeight="false" outlineLevel="0" collapsed="false">
      <c r="A24" s="27"/>
      <c r="B24" s="17" t="str">
        <f aca="false">IF($A24="","",COUNTIFS(Orders!$C$2:$C$20001,$A24,Orders!$E$2:$E$20001,"COD",Orders!$F$2:$F$20001,"Delivered")+COUNTIFS(Orders!$C$2:$C$20001,$A24,Orders!$E$2:$E$20001,"COD",Orders!$F$2:$F$20001,"RTO"))</f>
        <v/>
      </c>
      <c r="C24" s="17" t="str">
        <f aca="false">IF($A24="","",COUNTIFS(Orders!$C$2:$C$20001,$A24,Orders!$E$2:$E$20001,"COD",Orders!$F$2:$F$20001,"RTO"))</f>
        <v/>
      </c>
      <c r="D24" s="18" t="str">
        <f aca="false">IF($A24="","",IFERROR(C24/B24,0))</f>
        <v/>
      </c>
      <c r="E24" s="17" t="str">
        <f aca="false">IF($A24="","",COUNTIFS(Orders!$C$2:$C$20001,$A24,Orders!$E$2:$E$20001,"Prepaid",Orders!$F$2:$F$20001,"Delivered")+COUNTIFS(Orders!$C$2:$C$20001,$A24,Orders!$E$2:$E$20001,"Prepaid",Orders!$F$2:$F$20001,"RTO"))</f>
        <v/>
      </c>
      <c r="F24" s="17" t="str">
        <f aca="false">IF($A24="","",COUNTIFS(Orders!$C$2:$C$20001,$A24,Orders!$E$2:$E$20001,"Prepaid",Orders!$F$2:$F$20001,"RTO"))</f>
        <v/>
      </c>
      <c r="G24" s="18" t="str">
        <f aca="false">IF($A24="","",IFERROR(F24/E24,0))</f>
        <v/>
      </c>
      <c r="H24" s="19" t="str">
        <f aca="false">IF($A24="","",C24*Settings!$B$11)</f>
        <v/>
      </c>
      <c r="I24" s="20" t="str">
        <f aca="false">IF($A24="","",IF(N(H24)=0,"",RANK(H24,$H$5:$H$2004)))</f>
        <v/>
      </c>
      <c r="J24" s="21" t="str">
        <f aca="false">IF($A24="","",IF(B24=0,"No COD orders",IF(B24&lt;Settings!$B$8,"Too few orders",IF(D24&gt;=Settings!$B$9,"Restrict COD or verify","Keep COD"))))</f>
        <v/>
      </c>
    </row>
    <row r="25" customFormat="false" ht="15" hidden="false" customHeight="false" outlineLevel="0" collapsed="false">
      <c r="A25" s="27"/>
      <c r="B25" s="17" t="str">
        <f aca="false">IF($A25="","",COUNTIFS(Orders!$C$2:$C$20001,$A25,Orders!$E$2:$E$20001,"COD",Orders!$F$2:$F$20001,"Delivered")+COUNTIFS(Orders!$C$2:$C$20001,$A25,Orders!$E$2:$E$20001,"COD",Orders!$F$2:$F$20001,"RTO"))</f>
        <v/>
      </c>
      <c r="C25" s="17" t="str">
        <f aca="false">IF($A25="","",COUNTIFS(Orders!$C$2:$C$20001,$A25,Orders!$E$2:$E$20001,"COD",Orders!$F$2:$F$20001,"RTO"))</f>
        <v/>
      </c>
      <c r="D25" s="18" t="str">
        <f aca="false">IF($A25="","",IFERROR(C25/B25,0))</f>
        <v/>
      </c>
      <c r="E25" s="17" t="str">
        <f aca="false">IF($A25="","",COUNTIFS(Orders!$C$2:$C$20001,$A25,Orders!$E$2:$E$20001,"Prepaid",Orders!$F$2:$F$20001,"Delivered")+COUNTIFS(Orders!$C$2:$C$20001,$A25,Orders!$E$2:$E$20001,"Prepaid",Orders!$F$2:$F$20001,"RTO"))</f>
        <v/>
      </c>
      <c r="F25" s="17" t="str">
        <f aca="false">IF($A25="","",COUNTIFS(Orders!$C$2:$C$20001,$A25,Orders!$E$2:$E$20001,"Prepaid",Orders!$F$2:$F$20001,"RTO"))</f>
        <v/>
      </c>
      <c r="G25" s="18" t="str">
        <f aca="false">IF($A25="","",IFERROR(F25/E25,0))</f>
        <v/>
      </c>
      <c r="H25" s="19" t="str">
        <f aca="false">IF($A25="","",C25*Settings!$B$11)</f>
        <v/>
      </c>
      <c r="I25" s="20" t="str">
        <f aca="false">IF($A25="","",IF(N(H25)=0,"",RANK(H25,$H$5:$H$2004)))</f>
        <v/>
      </c>
      <c r="J25" s="21" t="str">
        <f aca="false">IF($A25="","",IF(B25=0,"No COD orders",IF(B25&lt;Settings!$B$8,"Too few orders",IF(D25&gt;=Settings!$B$9,"Restrict COD or verify","Keep COD"))))</f>
        <v/>
      </c>
    </row>
    <row r="26" customFormat="false" ht="15" hidden="false" customHeight="false" outlineLevel="0" collapsed="false">
      <c r="A26" s="27"/>
      <c r="B26" s="17" t="str">
        <f aca="false">IF($A26="","",COUNTIFS(Orders!$C$2:$C$20001,$A26,Orders!$E$2:$E$20001,"COD",Orders!$F$2:$F$20001,"Delivered")+COUNTIFS(Orders!$C$2:$C$20001,$A26,Orders!$E$2:$E$20001,"COD",Orders!$F$2:$F$20001,"RTO"))</f>
        <v/>
      </c>
      <c r="C26" s="17" t="str">
        <f aca="false">IF($A26="","",COUNTIFS(Orders!$C$2:$C$20001,$A26,Orders!$E$2:$E$20001,"COD",Orders!$F$2:$F$20001,"RTO"))</f>
        <v/>
      </c>
      <c r="D26" s="18" t="str">
        <f aca="false">IF($A26="","",IFERROR(C26/B26,0))</f>
        <v/>
      </c>
      <c r="E26" s="17" t="str">
        <f aca="false">IF($A26="","",COUNTIFS(Orders!$C$2:$C$20001,$A26,Orders!$E$2:$E$20001,"Prepaid",Orders!$F$2:$F$20001,"Delivered")+COUNTIFS(Orders!$C$2:$C$20001,$A26,Orders!$E$2:$E$20001,"Prepaid",Orders!$F$2:$F$20001,"RTO"))</f>
        <v/>
      </c>
      <c r="F26" s="17" t="str">
        <f aca="false">IF($A26="","",COUNTIFS(Orders!$C$2:$C$20001,$A26,Orders!$E$2:$E$20001,"Prepaid",Orders!$F$2:$F$20001,"RTO"))</f>
        <v/>
      </c>
      <c r="G26" s="18" t="str">
        <f aca="false">IF($A26="","",IFERROR(F26/E26,0))</f>
        <v/>
      </c>
      <c r="H26" s="19" t="str">
        <f aca="false">IF($A26="","",C26*Settings!$B$11)</f>
        <v/>
      </c>
      <c r="I26" s="20" t="str">
        <f aca="false">IF($A26="","",IF(N(H26)=0,"",RANK(H26,$H$5:$H$2004)))</f>
        <v/>
      </c>
      <c r="J26" s="21" t="str">
        <f aca="false">IF($A26="","",IF(B26=0,"No COD orders",IF(B26&lt;Settings!$B$8,"Too few orders",IF(D26&gt;=Settings!$B$9,"Restrict COD or verify","Keep COD"))))</f>
        <v/>
      </c>
    </row>
    <row r="27" customFormat="false" ht="15" hidden="false" customHeight="false" outlineLevel="0" collapsed="false">
      <c r="A27" s="27"/>
      <c r="B27" s="17" t="str">
        <f aca="false">IF($A27="","",COUNTIFS(Orders!$C$2:$C$20001,$A27,Orders!$E$2:$E$20001,"COD",Orders!$F$2:$F$20001,"Delivered")+COUNTIFS(Orders!$C$2:$C$20001,$A27,Orders!$E$2:$E$20001,"COD",Orders!$F$2:$F$20001,"RTO"))</f>
        <v/>
      </c>
      <c r="C27" s="17" t="str">
        <f aca="false">IF($A27="","",COUNTIFS(Orders!$C$2:$C$20001,$A27,Orders!$E$2:$E$20001,"COD",Orders!$F$2:$F$20001,"RTO"))</f>
        <v/>
      </c>
      <c r="D27" s="18" t="str">
        <f aca="false">IF($A27="","",IFERROR(C27/B27,0))</f>
        <v/>
      </c>
      <c r="E27" s="17" t="str">
        <f aca="false">IF($A27="","",COUNTIFS(Orders!$C$2:$C$20001,$A27,Orders!$E$2:$E$20001,"Prepaid",Orders!$F$2:$F$20001,"Delivered")+COUNTIFS(Orders!$C$2:$C$20001,$A27,Orders!$E$2:$E$20001,"Prepaid",Orders!$F$2:$F$20001,"RTO"))</f>
        <v/>
      </c>
      <c r="F27" s="17" t="str">
        <f aca="false">IF($A27="","",COUNTIFS(Orders!$C$2:$C$20001,$A27,Orders!$E$2:$E$20001,"Prepaid",Orders!$F$2:$F$20001,"RTO"))</f>
        <v/>
      </c>
      <c r="G27" s="18" t="str">
        <f aca="false">IF($A27="","",IFERROR(F27/E27,0))</f>
        <v/>
      </c>
      <c r="H27" s="19" t="str">
        <f aca="false">IF($A27="","",C27*Settings!$B$11)</f>
        <v/>
      </c>
      <c r="I27" s="20" t="str">
        <f aca="false">IF($A27="","",IF(N(H27)=0,"",RANK(H27,$H$5:$H$2004)))</f>
        <v/>
      </c>
      <c r="J27" s="21" t="str">
        <f aca="false">IF($A27="","",IF(B27=0,"No COD orders",IF(B27&lt;Settings!$B$8,"Too few orders",IF(D27&gt;=Settings!$B$9,"Restrict COD or verify","Keep COD"))))</f>
        <v/>
      </c>
    </row>
    <row r="28" customFormat="false" ht="15" hidden="false" customHeight="false" outlineLevel="0" collapsed="false">
      <c r="A28" s="27"/>
      <c r="B28" s="17" t="str">
        <f aca="false">IF($A28="","",COUNTIFS(Orders!$C$2:$C$20001,$A28,Orders!$E$2:$E$20001,"COD",Orders!$F$2:$F$20001,"Delivered")+COUNTIFS(Orders!$C$2:$C$20001,$A28,Orders!$E$2:$E$20001,"COD",Orders!$F$2:$F$20001,"RTO"))</f>
        <v/>
      </c>
      <c r="C28" s="17" t="str">
        <f aca="false">IF($A28="","",COUNTIFS(Orders!$C$2:$C$20001,$A28,Orders!$E$2:$E$20001,"COD",Orders!$F$2:$F$20001,"RTO"))</f>
        <v/>
      </c>
      <c r="D28" s="18" t="str">
        <f aca="false">IF($A28="","",IFERROR(C28/B28,0))</f>
        <v/>
      </c>
      <c r="E28" s="17" t="str">
        <f aca="false">IF($A28="","",COUNTIFS(Orders!$C$2:$C$20001,$A28,Orders!$E$2:$E$20001,"Prepaid",Orders!$F$2:$F$20001,"Delivered")+COUNTIFS(Orders!$C$2:$C$20001,$A28,Orders!$E$2:$E$20001,"Prepaid",Orders!$F$2:$F$20001,"RTO"))</f>
        <v/>
      </c>
      <c r="F28" s="17" t="str">
        <f aca="false">IF($A28="","",COUNTIFS(Orders!$C$2:$C$20001,$A28,Orders!$E$2:$E$20001,"Prepaid",Orders!$F$2:$F$20001,"RTO"))</f>
        <v/>
      </c>
      <c r="G28" s="18" t="str">
        <f aca="false">IF($A28="","",IFERROR(F28/E28,0))</f>
        <v/>
      </c>
      <c r="H28" s="19" t="str">
        <f aca="false">IF($A28="","",C28*Settings!$B$11)</f>
        <v/>
      </c>
      <c r="I28" s="20" t="str">
        <f aca="false">IF($A28="","",IF(N(H28)=0,"",RANK(H28,$H$5:$H$2004)))</f>
        <v/>
      </c>
      <c r="J28" s="21" t="str">
        <f aca="false">IF($A28="","",IF(B28=0,"No COD orders",IF(B28&lt;Settings!$B$8,"Too few orders",IF(D28&gt;=Settings!$B$9,"Restrict COD or verify","Keep COD"))))</f>
        <v/>
      </c>
    </row>
    <row r="29" customFormat="false" ht="15" hidden="false" customHeight="false" outlineLevel="0" collapsed="false">
      <c r="A29" s="27"/>
      <c r="B29" s="17" t="str">
        <f aca="false">IF($A29="","",COUNTIFS(Orders!$C$2:$C$20001,$A29,Orders!$E$2:$E$20001,"COD",Orders!$F$2:$F$20001,"Delivered")+COUNTIFS(Orders!$C$2:$C$20001,$A29,Orders!$E$2:$E$20001,"COD",Orders!$F$2:$F$20001,"RTO"))</f>
        <v/>
      </c>
      <c r="C29" s="17" t="str">
        <f aca="false">IF($A29="","",COUNTIFS(Orders!$C$2:$C$20001,$A29,Orders!$E$2:$E$20001,"COD",Orders!$F$2:$F$20001,"RTO"))</f>
        <v/>
      </c>
      <c r="D29" s="18" t="str">
        <f aca="false">IF($A29="","",IFERROR(C29/B29,0))</f>
        <v/>
      </c>
      <c r="E29" s="17" t="str">
        <f aca="false">IF($A29="","",COUNTIFS(Orders!$C$2:$C$20001,$A29,Orders!$E$2:$E$20001,"Prepaid",Orders!$F$2:$F$20001,"Delivered")+COUNTIFS(Orders!$C$2:$C$20001,$A29,Orders!$E$2:$E$20001,"Prepaid",Orders!$F$2:$F$20001,"RTO"))</f>
        <v/>
      </c>
      <c r="F29" s="17" t="str">
        <f aca="false">IF($A29="","",COUNTIFS(Orders!$C$2:$C$20001,$A29,Orders!$E$2:$E$20001,"Prepaid",Orders!$F$2:$F$20001,"RTO"))</f>
        <v/>
      </c>
      <c r="G29" s="18" t="str">
        <f aca="false">IF($A29="","",IFERROR(F29/E29,0))</f>
        <v/>
      </c>
      <c r="H29" s="19" t="str">
        <f aca="false">IF($A29="","",C29*Settings!$B$11)</f>
        <v/>
      </c>
      <c r="I29" s="20" t="str">
        <f aca="false">IF($A29="","",IF(N(H29)=0,"",RANK(H29,$H$5:$H$2004)))</f>
        <v/>
      </c>
      <c r="J29" s="21" t="str">
        <f aca="false">IF($A29="","",IF(B29=0,"No COD orders",IF(B29&lt;Settings!$B$8,"Too few orders",IF(D29&gt;=Settings!$B$9,"Restrict COD or verify","Keep COD"))))</f>
        <v/>
      </c>
    </row>
    <row r="30" customFormat="false" ht="15" hidden="false" customHeight="false" outlineLevel="0" collapsed="false">
      <c r="A30" s="27"/>
      <c r="B30" s="17" t="str">
        <f aca="false">IF($A30="","",COUNTIFS(Orders!$C$2:$C$20001,$A30,Orders!$E$2:$E$20001,"COD",Orders!$F$2:$F$20001,"Delivered")+COUNTIFS(Orders!$C$2:$C$20001,$A30,Orders!$E$2:$E$20001,"COD",Orders!$F$2:$F$20001,"RTO"))</f>
        <v/>
      </c>
      <c r="C30" s="17" t="str">
        <f aca="false">IF($A30="","",COUNTIFS(Orders!$C$2:$C$20001,$A30,Orders!$E$2:$E$20001,"COD",Orders!$F$2:$F$20001,"RTO"))</f>
        <v/>
      </c>
      <c r="D30" s="18" t="str">
        <f aca="false">IF($A30="","",IFERROR(C30/B30,0))</f>
        <v/>
      </c>
      <c r="E30" s="17" t="str">
        <f aca="false">IF($A30="","",COUNTIFS(Orders!$C$2:$C$20001,$A30,Orders!$E$2:$E$20001,"Prepaid",Orders!$F$2:$F$20001,"Delivered")+COUNTIFS(Orders!$C$2:$C$20001,$A30,Orders!$E$2:$E$20001,"Prepaid",Orders!$F$2:$F$20001,"RTO"))</f>
        <v/>
      </c>
      <c r="F30" s="17" t="str">
        <f aca="false">IF($A30="","",COUNTIFS(Orders!$C$2:$C$20001,$A30,Orders!$E$2:$E$20001,"Prepaid",Orders!$F$2:$F$20001,"RTO"))</f>
        <v/>
      </c>
      <c r="G30" s="18" t="str">
        <f aca="false">IF($A30="","",IFERROR(F30/E30,0))</f>
        <v/>
      </c>
      <c r="H30" s="19" t="str">
        <f aca="false">IF($A30="","",C30*Settings!$B$11)</f>
        <v/>
      </c>
      <c r="I30" s="20" t="str">
        <f aca="false">IF($A30="","",IF(N(H30)=0,"",RANK(H30,$H$5:$H$2004)))</f>
        <v/>
      </c>
      <c r="J30" s="21" t="str">
        <f aca="false">IF($A30="","",IF(B30=0,"No COD orders",IF(B30&lt;Settings!$B$8,"Too few orders",IF(D30&gt;=Settings!$B$9,"Restrict COD or verify","Keep COD"))))</f>
        <v/>
      </c>
    </row>
    <row r="31" customFormat="false" ht="15" hidden="false" customHeight="false" outlineLevel="0" collapsed="false">
      <c r="A31" s="27"/>
      <c r="B31" s="17" t="str">
        <f aca="false">IF($A31="","",COUNTIFS(Orders!$C$2:$C$20001,$A31,Orders!$E$2:$E$20001,"COD",Orders!$F$2:$F$20001,"Delivered")+COUNTIFS(Orders!$C$2:$C$20001,$A31,Orders!$E$2:$E$20001,"COD",Orders!$F$2:$F$20001,"RTO"))</f>
        <v/>
      </c>
      <c r="C31" s="17" t="str">
        <f aca="false">IF($A31="","",COUNTIFS(Orders!$C$2:$C$20001,$A31,Orders!$E$2:$E$20001,"COD",Orders!$F$2:$F$20001,"RTO"))</f>
        <v/>
      </c>
      <c r="D31" s="18" t="str">
        <f aca="false">IF($A31="","",IFERROR(C31/B31,0))</f>
        <v/>
      </c>
      <c r="E31" s="17" t="str">
        <f aca="false">IF($A31="","",COUNTIFS(Orders!$C$2:$C$20001,$A31,Orders!$E$2:$E$20001,"Prepaid",Orders!$F$2:$F$20001,"Delivered")+COUNTIFS(Orders!$C$2:$C$20001,$A31,Orders!$E$2:$E$20001,"Prepaid",Orders!$F$2:$F$20001,"RTO"))</f>
        <v/>
      </c>
      <c r="F31" s="17" t="str">
        <f aca="false">IF($A31="","",COUNTIFS(Orders!$C$2:$C$20001,$A31,Orders!$E$2:$E$20001,"Prepaid",Orders!$F$2:$F$20001,"RTO"))</f>
        <v/>
      </c>
      <c r="G31" s="18" t="str">
        <f aca="false">IF($A31="","",IFERROR(F31/E31,0))</f>
        <v/>
      </c>
      <c r="H31" s="19" t="str">
        <f aca="false">IF($A31="","",C31*Settings!$B$11)</f>
        <v/>
      </c>
      <c r="I31" s="20" t="str">
        <f aca="false">IF($A31="","",IF(N(H31)=0,"",RANK(H31,$H$5:$H$2004)))</f>
        <v/>
      </c>
      <c r="J31" s="21" t="str">
        <f aca="false">IF($A31="","",IF(B31=0,"No COD orders",IF(B31&lt;Settings!$B$8,"Too few orders",IF(D31&gt;=Settings!$B$9,"Restrict COD or verify","Keep COD"))))</f>
        <v/>
      </c>
    </row>
    <row r="32" customFormat="false" ht="15" hidden="false" customHeight="false" outlineLevel="0" collapsed="false">
      <c r="A32" s="27"/>
      <c r="B32" s="17" t="str">
        <f aca="false">IF($A32="","",COUNTIFS(Orders!$C$2:$C$20001,$A32,Orders!$E$2:$E$20001,"COD",Orders!$F$2:$F$20001,"Delivered")+COUNTIFS(Orders!$C$2:$C$20001,$A32,Orders!$E$2:$E$20001,"COD",Orders!$F$2:$F$20001,"RTO"))</f>
        <v/>
      </c>
      <c r="C32" s="17" t="str">
        <f aca="false">IF($A32="","",COUNTIFS(Orders!$C$2:$C$20001,$A32,Orders!$E$2:$E$20001,"COD",Orders!$F$2:$F$20001,"RTO"))</f>
        <v/>
      </c>
      <c r="D32" s="18" t="str">
        <f aca="false">IF($A32="","",IFERROR(C32/B32,0))</f>
        <v/>
      </c>
      <c r="E32" s="17" t="str">
        <f aca="false">IF($A32="","",COUNTIFS(Orders!$C$2:$C$20001,$A32,Orders!$E$2:$E$20001,"Prepaid",Orders!$F$2:$F$20001,"Delivered")+COUNTIFS(Orders!$C$2:$C$20001,$A32,Orders!$E$2:$E$20001,"Prepaid",Orders!$F$2:$F$20001,"RTO"))</f>
        <v/>
      </c>
      <c r="F32" s="17" t="str">
        <f aca="false">IF($A32="","",COUNTIFS(Orders!$C$2:$C$20001,$A32,Orders!$E$2:$E$20001,"Prepaid",Orders!$F$2:$F$20001,"RTO"))</f>
        <v/>
      </c>
      <c r="G32" s="18" t="str">
        <f aca="false">IF($A32="","",IFERROR(F32/E32,0))</f>
        <v/>
      </c>
      <c r="H32" s="19" t="str">
        <f aca="false">IF($A32="","",C32*Settings!$B$11)</f>
        <v/>
      </c>
      <c r="I32" s="20" t="str">
        <f aca="false">IF($A32="","",IF(N(H32)=0,"",RANK(H32,$H$5:$H$2004)))</f>
        <v/>
      </c>
      <c r="J32" s="21" t="str">
        <f aca="false">IF($A32="","",IF(B32=0,"No COD orders",IF(B32&lt;Settings!$B$8,"Too few orders",IF(D32&gt;=Settings!$B$9,"Restrict COD or verify","Keep COD"))))</f>
        <v/>
      </c>
    </row>
    <row r="33" customFormat="false" ht="15" hidden="false" customHeight="false" outlineLevel="0" collapsed="false">
      <c r="A33" s="27"/>
      <c r="B33" s="17" t="str">
        <f aca="false">IF($A33="","",COUNTIFS(Orders!$C$2:$C$20001,$A33,Orders!$E$2:$E$20001,"COD",Orders!$F$2:$F$20001,"Delivered")+COUNTIFS(Orders!$C$2:$C$20001,$A33,Orders!$E$2:$E$20001,"COD",Orders!$F$2:$F$20001,"RTO"))</f>
        <v/>
      </c>
      <c r="C33" s="17" t="str">
        <f aca="false">IF($A33="","",COUNTIFS(Orders!$C$2:$C$20001,$A33,Orders!$E$2:$E$20001,"COD",Orders!$F$2:$F$20001,"RTO"))</f>
        <v/>
      </c>
      <c r="D33" s="18" t="str">
        <f aca="false">IF($A33="","",IFERROR(C33/B33,0))</f>
        <v/>
      </c>
      <c r="E33" s="17" t="str">
        <f aca="false">IF($A33="","",COUNTIFS(Orders!$C$2:$C$20001,$A33,Orders!$E$2:$E$20001,"Prepaid",Orders!$F$2:$F$20001,"Delivered")+COUNTIFS(Orders!$C$2:$C$20001,$A33,Orders!$E$2:$E$20001,"Prepaid",Orders!$F$2:$F$20001,"RTO"))</f>
        <v/>
      </c>
      <c r="F33" s="17" t="str">
        <f aca="false">IF($A33="","",COUNTIFS(Orders!$C$2:$C$20001,$A33,Orders!$E$2:$E$20001,"Prepaid",Orders!$F$2:$F$20001,"RTO"))</f>
        <v/>
      </c>
      <c r="G33" s="18" t="str">
        <f aca="false">IF($A33="","",IFERROR(F33/E33,0))</f>
        <v/>
      </c>
      <c r="H33" s="19" t="str">
        <f aca="false">IF($A33="","",C33*Settings!$B$11)</f>
        <v/>
      </c>
      <c r="I33" s="20" t="str">
        <f aca="false">IF($A33="","",IF(N(H33)=0,"",RANK(H33,$H$5:$H$2004)))</f>
        <v/>
      </c>
      <c r="J33" s="21" t="str">
        <f aca="false">IF($A33="","",IF(B33=0,"No COD orders",IF(B33&lt;Settings!$B$8,"Too few orders",IF(D33&gt;=Settings!$B$9,"Restrict COD or verify","Keep COD"))))</f>
        <v/>
      </c>
    </row>
    <row r="34" customFormat="false" ht="15" hidden="false" customHeight="false" outlineLevel="0" collapsed="false">
      <c r="A34" s="27"/>
      <c r="B34" s="17" t="str">
        <f aca="false">IF($A34="","",COUNTIFS(Orders!$C$2:$C$20001,$A34,Orders!$E$2:$E$20001,"COD",Orders!$F$2:$F$20001,"Delivered")+COUNTIFS(Orders!$C$2:$C$20001,$A34,Orders!$E$2:$E$20001,"COD",Orders!$F$2:$F$20001,"RTO"))</f>
        <v/>
      </c>
      <c r="C34" s="17" t="str">
        <f aca="false">IF($A34="","",COUNTIFS(Orders!$C$2:$C$20001,$A34,Orders!$E$2:$E$20001,"COD",Orders!$F$2:$F$20001,"RTO"))</f>
        <v/>
      </c>
      <c r="D34" s="18" t="str">
        <f aca="false">IF($A34="","",IFERROR(C34/B34,0))</f>
        <v/>
      </c>
      <c r="E34" s="17" t="str">
        <f aca="false">IF($A34="","",COUNTIFS(Orders!$C$2:$C$20001,$A34,Orders!$E$2:$E$20001,"Prepaid",Orders!$F$2:$F$20001,"Delivered")+COUNTIFS(Orders!$C$2:$C$20001,$A34,Orders!$E$2:$E$20001,"Prepaid",Orders!$F$2:$F$20001,"RTO"))</f>
        <v/>
      </c>
      <c r="F34" s="17" t="str">
        <f aca="false">IF($A34="","",COUNTIFS(Orders!$C$2:$C$20001,$A34,Orders!$E$2:$E$20001,"Prepaid",Orders!$F$2:$F$20001,"RTO"))</f>
        <v/>
      </c>
      <c r="G34" s="18" t="str">
        <f aca="false">IF($A34="","",IFERROR(F34/E34,0))</f>
        <v/>
      </c>
      <c r="H34" s="19" t="str">
        <f aca="false">IF($A34="","",C34*Settings!$B$11)</f>
        <v/>
      </c>
      <c r="I34" s="20" t="str">
        <f aca="false">IF($A34="","",IF(N(H34)=0,"",RANK(H34,$H$5:$H$2004)))</f>
        <v/>
      </c>
      <c r="J34" s="21" t="str">
        <f aca="false">IF($A34="","",IF(B34=0,"No COD orders",IF(B34&lt;Settings!$B$8,"Too few orders",IF(D34&gt;=Settings!$B$9,"Restrict COD or verify","Keep COD"))))</f>
        <v/>
      </c>
    </row>
    <row r="35" customFormat="false" ht="15" hidden="false" customHeight="false" outlineLevel="0" collapsed="false">
      <c r="A35" s="27"/>
      <c r="B35" s="17" t="str">
        <f aca="false">IF($A35="","",COUNTIFS(Orders!$C$2:$C$20001,$A35,Orders!$E$2:$E$20001,"COD",Orders!$F$2:$F$20001,"Delivered")+COUNTIFS(Orders!$C$2:$C$20001,$A35,Orders!$E$2:$E$20001,"COD",Orders!$F$2:$F$20001,"RTO"))</f>
        <v/>
      </c>
      <c r="C35" s="17" t="str">
        <f aca="false">IF($A35="","",COUNTIFS(Orders!$C$2:$C$20001,$A35,Orders!$E$2:$E$20001,"COD",Orders!$F$2:$F$20001,"RTO"))</f>
        <v/>
      </c>
      <c r="D35" s="18" t="str">
        <f aca="false">IF($A35="","",IFERROR(C35/B35,0))</f>
        <v/>
      </c>
      <c r="E35" s="17" t="str">
        <f aca="false">IF($A35="","",COUNTIFS(Orders!$C$2:$C$20001,$A35,Orders!$E$2:$E$20001,"Prepaid",Orders!$F$2:$F$20001,"Delivered")+COUNTIFS(Orders!$C$2:$C$20001,$A35,Orders!$E$2:$E$20001,"Prepaid",Orders!$F$2:$F$20001,"RTO"))</f>
        <v/>
      </c>
      <c r="F35" s="17" t="str">
        <f aca="false">IF($A35="","",COUNTIFS(Orders!$C$2:$C$20001,$A35,Orders!$E$2:$E$20001,"Prepaid",Orders!$F$2:$F$20001,"RTO"))</f>
        <v/>
      </c>
      <c r="G35" s="18" t="str">
        <f aca="false">IF($A35="","",IFERROR(F35/E35,0))</f>
        <v/>
      </c>
      <c r="H35" s="19" t="str">
        <f aca="false">IF($A35="","",C35*Settings!$B$11)</f>
        <v/>
      </c>
      <c r="I35" s="20" t="str">
        <f aca="false">IF($A35="","",IF(N(H35)=0,"",RANK(H35,$H$5:$H$2004)))</f>
        <v/>
      </c>
      <c r="J35" s="21" t="str">
        <f aca="false">IF($A35="","",IF(B35=0,"No COD orders",IF(B35&lt;Settings!$B$8,"Too few orders",IF(D35&gt;=Settings!$B$9,"Restrict COD or verify","Keep COD"))))</f>
        <v/>
      </c>
    </row>
    <row r="36" customFormat="false" ht="15" hidden="false" customHeight="false" outlineLevel="0" collapsed="false">
      <c r="A36" s="27"/>
      <c r="B36" s="17" t="str">
        <f aca="false">IF($A36="","",COUNTIFS(Orders!$C$2:$C$20001,$A36,Orders!$E$2:$E$20001,"COD",Orders!$F$2:$F$20001,"Delivered")+COUNTIFS(Orders!$C$2:$C$20001,$A36,Orders!$E$2:$E$20001,"COD",Orders!$F$2:$F$20001,"RTO"))</f>
        <v/>
      </c>
      <c r="C36" s="17" t="str">
        <f aca="false">IF($A36="","",COUNTIFS(Orders!$C$2:$C$20001,$A36,Orders!$E$2:$E$20001,"COD",Orders!$F$2:$F$20001,"RTO"))</f>
        <v/>
      </c>
      <c r="D36" s="18" t="str">
        <f aca="false">IF($A36="","",IFERROR(C36/B36,0))</f>
        <v/>
      </c>
      <c r="E36" s="17" t="str">
        <f aca="false">IF($A36="","",COUNTIFS(Orders!$C$2:$C$20001,$A36,Orders!$E$2:$E$20001,"Prepaid",Orders!$F$2:$F$20001,"Delivered")+COUNTIFS(Orders!$C$2:$C$20001,$A36,Orders!$E$2:$E$20001,"Prepaid",Orders!$F$2:$F$20001,"RTO"))</f>
        <v/>
      </c>
      <c r="F36" s="17" t="str">
        <f aca="false">IF($A36="","",COUNTIFS(Orders!$C$2:$C$20001,$A36,Orders!$E$2:$E$20001,"Prepaid",Orders!$F$2:$F$20001,"RTO"))</f>
        <v/>
      </c>
      <c r="G36" s="18" t="str">
        <f aca="false">IF($A36="","",IFERROR(F36/E36,0))</f>
        <v/>
      </c>
      <c r="H36" s="19" t="str">
        <f aca="false">IF($A36="","",C36*Settings!$B$11)</f>
        <v/>
      </c>
      <c r="I36" s="20" t="str">
        <f aca="false">IF($A36="","",IF(N(H36)=0,"",RANK(H36,$H$5:$H$2004)))</f>
        <v/>
      </c>
      <c r="J36" s="21" t="str">
        <f aca="false">IF($A36="","",IF(B36=0,"No COD orders",IF(B36&lt;Settings!$B$8,"Too few orders",IF(D36&gt;=Settings!$B$9,"Restrict COD or verify","Keep COD"))))</f>
        <v/>
      </c>
    </row>
    <row r="37" customFormat="false" ht="15" hidden="false" customHeight="false" outlineLevel="0" collapsed="false">
      <c r="A37" s="27"/>
      <c r="B37" s="17" t="str">
        <f aca="false">IF($A37="","",COUNTIFS(Orders!$C$2:$C$20001,$A37,Orders!$E$2:$E$20001,"COD",Orders!$F$2:$F$20001,"Delivered")+COUNTIFS(Orders!$C$2:$C$20001,$A37,Orders!$E$2:$E$20001,"COD",Orders!$F$2:$F$20001,"RTO"))</f>
        <v/>
      </c>
      <c r="C37" s="17" t="str">
        <f aca="false">IF($A37="","",COUNTIFS(Orders!$C$2:$C$20001,$A37,Orders!$E$2:$E$20001,"COD",Orders!$F$2:$F$20001,"RTO"))</f>
        <v/>
      </c>
      <c r="D37" s="18" t="str">
        <f aca="false">IF($A37="","",IFERROR(C37/B37,0))</f>
        <v/>
      </c>
      <c r="E37" s="17" t="str">
        <f aca="false">IF($A37="","",COUNTIFS(Orders!$C$2:$C$20001,$A37,Orders!$E$2:$E$20001,"Prepaid",Orders!$F$2:$F$20001,"Delivered")+COUNTIFS(Orders!$C$2:$C$20001,$A37,Orders!$E$2:$E$20001,"Prepaid",Orders!$F$2:$F$20001,"RTO"))</f>
        <v/>
      </c>
      <c r="F37" s="17" t="str">
        <f aca="false">IF($A37="","",COUNTIFS(Orders!$C$2:$C$20001,$A37,Orders!$E$2:$E$20001,"Prepaid",Orders!$F$2:$F$20001,"RTO"))</f>
        <v/>
      </c>
      <c r="G37" s="18" t="str">
        <f aca="false">IF($A37="","",IFERROR(F37/E37,0))</f>
        <v/>
      </c>
      <c r="H37" s="19" t="str">
        <f aca="false">IF($A37="","",C37*Settings!$B$11)</f>
        <v/>
      </c>
      <c r="I37" s="20" t="str">
        <f aca="false">IF($A37="","",IF(N(H37)=0,"",RANK(H37,$H$5:$H$2004)))</f>
        <v/>
      </c>
      <c r="J37" s="21" t="str">
        <f aca="false">IF($A37="","",IF(B37=0,"No COD orders",IF(B37&lt;Settings!$B$8,"Too few orders",IF(D37&gt;=Settings!$B$9,"Restrict COD or verify","Keep COD"))))</f>
        <v/>
      </c>
    </row>
    <row r="38" customFormat="false" ht="15" hidden="false" customHeight="false" outlineLevel="0" collapsed="false">
      <c r="A38" s="27"/>
      <c r="B38" s="17" t="str">
        <f aca="false">IF($A38="","",COUNTIFS(Orders!$C$2:$C$20001,$A38,Orders!$E$2:$E$20001,"COD",Orders!$F$2:$F$20001,"Delivered")+COUNTIFS(Orders!$C$2:$C$20001,$A38,Orders!$E$2:$E$20001,"COD",Orders!$F$2:$F$20001,"RTO"))</f>
        <v/>
      </c>
      <c r="C38" s="17" t="str">
        <f aca="false">IF($A38="","",COUNTIFS(Orders!$C$2:$C$20001,$A38,Orders!$E$2:$E$20001,"COD",Orders!$F$2:$F$20001,"RTO"))</f>
        <v/>
      </c>
      <c r="D38" s="18" t="str">
        <f aca="false">IF($A38="","",IFERROR(C38/B38,0))</f>
        <v/>
      </c>
      <c r="E38" s="17" t="str">
        <f aca="false">IF($A38="","",COUNTIFS(Orders!$C$2:$C$20001,$A38,Orders!$E$2:$E$20001,"Prepaid",Orders!$F$2:$F$20001,"Delivered")+COUNTIFS(Orders!$C$2:$C$20001,$A38,Orders!$E$2:$E$20001,"Prepaid",Orders!$F$2:$F$20001,"RTO"))</f>
        <v/>
      </c>
      <c r="F38" s="17" t="str">
        <f aca="false">IF($A38="","",COUNTIFS(Orders!$C$2:$C$20001,$A38,Orders!$E$2:$E$20001,"Prepaid",Orders!$F$2:$F$20001,"RTO"))</f>
        <v/>
      </c>
      <c r="G38" s="18" t="str">
        <f aca="false">IF($A38="","",IFERROR(F38/E38,0))</f>
        <v/>
      </c>
      <c r="H38" s="19" t="str">
        <f aca="false">IF($A38="","",C38*Settings!$B$11)</f>
        <v/>
      </c>
      <c r="I38" s="20" t="str">
        <f aca="false">IF($A38="","",IF(N(H38)=0,"",RANK(H38,$H$5:$H$2004)))</f>
        <v/>
      </c>
      <c r="J38" s="21" t="str">
        <f aca="false">IF($A38="","",IF(B38=0,"No COD orders",IF(B38&lt;Settings!$B$8,"Too few orders",IF(D38&gt;=Settings!$B$9,"Restrict COD or verify","Keep COD"))))</f>
        <v/>
      </c>
    </row>
    <row r="39" customFormat="false" ht="15" hidden="false" customHeight="false" outlineLevel="0" collapsed="false">
      <c r="A39" s="27"/>
      <c r="B39" s="17" t="str">
        <f aca="false">IF($A39="","",COUNTIFS(Orders!$C$2:$C$20001,$A39,Orders!$E$2:$E$20001,"COD",Orders!$F$2:$F$20001,"Delivered")+COUNTIFS(Orders!$C$2:$C$20001,$A39,Orders!$E$2:$E$20001,"COD",Orders!$F$2:$F$20001,"RTO"))</f>
        <v/>
      </c>
      <c r="C39" s="17" t="str">
        <f aca="false">IF($A39="","",COUNTIFS(Orders!$C$2:$C$20001,$A39,Orders!$E$2:$E$20001,"COD",Orders!$F$2:$F$20001,"RTO"))</f>
        <v/>
      </c>
      <c r="D39" s="18" t="str">
        <f aca="false">IF($A39="","",IFERROR(C39/B39,0))</f>
        <v/>
      </c>
      <c r="E39" s="17" t="str">
        <f aca="false">IF($A39="","",COUNTIFS(Orders!$C$2:$C$20001,$A39,Orders!$E$2:$E$20001,"Prepaid",Orders!$F$2:$F$20001,"Delivered")+COUNTIFS(Orders!$C$2:$C$20001,$A39,Orders!$E$2:$E$20001,"Prepaid",Orders!$F$2:$F$20001,"RTO"))</f>
        <v/>
      </c>
      <c r="F39" s="17" t="str">
        <f aca="false">IF($A39="","",COUNTIFS(Orders!$C$2:$C$20001,$A39,Orders!$E$2:$E$20001,"Prepaid",Orders!$F$2:$F$20001,"RTO"))</f>
        <v/>
      </c>
      <c r="G39" s="18" t="str">
        <f aca="false">IF($A39="","",IFERROR(F39/E39,0))</f>
        <v/>
      </c>
      <c r="H39" s="19" t="str">
        <f aca="false">IF($A39="","",C39*Settings!$B$11)</f>
        <v/>
      </c>
      <c r="I39" s="20" t="str">
        <f aca="false">IF($A39="","",IF(N(H39)=0,"",RANK(H39,$H$5:$H$2004)))</f>
        <v/>
      </c>
      <c r="J39" s="21" t="str">
        <f aca="false">IF($A39="","",IF(B39=0,"No COD orders",IF(B39&lt;Settings!$B$8,"Too few orders",IF(D39&gt;=Settings!$B$9,"Restrict COD or verify","Keep COD"))))</f>
        <v/>
      </c>
    </row>
    <row r="40" customFormat="false" ht="15" hidden="false" customHeight="false" outlineLevel="0" collapsed="false">
      <c r="A40" s="27"/>
      <c r="B40" s="17" t="str">
        <f aca="false">IF($A40="","",COUNTIFS(Orders!$C$2:$C$20001,$A40,Orders!$E$2:$E$20001,"COD",Orders!$F$2:$F$20001,"Delivered")+COUNTIFS(Orders!$C$2:$C$20001,$A40,Orders!$E$2:$E$20001,"COD",Orders!$F$2:$F$20001,"RTO"))</f>
        <v/>
      </c>
      <c r="C40" s="17" t="str">
        <f aca="false">IF($A40="","",COUNTIFS(Orders!$C$2:$C$20001,$A40,Orders!$E$2:$E$20001,"COD",Orders!$F$2:$F$20001,"RTO"))</f>
        <v/>
      </c>
      <c r="D40" s="18" t="str">
        <f aca="false">IF($A40="","",IFERROR(C40/B40,0))</f>
        <v/>
      </c>
      <c r="E40" s="17" t="str">
        <f aca="false">IF($A40="","",COUNTIFS(Orders!$C$2:$C$20001,$A40,Orders!$E$2:$E$20001,"Prepaid",Orders!$F$2:$F$20001,"Delivered")+COUNTIFS(Orders!$C$2:$C$20001,$A40,Orders!$E$2:$E$20001,"Prepaid",Orders!$F$2:$F$20001,"RTO"))</f>
        <v/>
      </c>
      <c r="F40" s="17" t="str">
        <f aca="false">IF($A40="","",COUNTIFS(Orders!$C$2:$C$20001,$A40,Orders!$E$2:$E$20001,"Prepaid",Orders!$F$2:$F$20001,"RTO"))</f>
        <v/>
      </c>
      <c r="G40" s="18" t="str">
        <f aca="false">IF($A40="","",IFERROR(F40/E40,0))</f>
        <v/>
      </c>
      <c r="H40" s="19" t="str">
        <f aca="false">IF($A40="","",C40*Settings!$B$11)</f>
        <v/>
      </c>
      <c r="I40" s="20" t="str">
        <f aca="false">IF($A40="","",IF(N(H40)=0,"",RANK(H40,$H$5:$H$2004)))</f>
        <v/>
      </c>
      <c r="J40" s="21" t="str">
        <f aca="false">IF($A40="","",IF(B40=0,"No COD orders",IF(B40&lt;Settings!$B$8,"Too few orders",IF(D40&gt;=Settings!$B$9,"Restrict COD or verify","Keep COD"))))</f>
        <v/>
      </c>
    </row>
    <row r="41" customFormat="false" ht="15" hidden="false" customHeight="false" outlineLevel="0" collapsed="false">
      <c r="A41" s="27"/>
      <c r="B41" s="17" t="str">
        <f aca="false">IF($A41="","",COUNTIFS(Orders!$C$2:$C$20001,$A41,Orders!$E$2:$E$20001,"COD",Orders!$F$2:$F$20001,"Delivered")+COUNTIFS(Orders!$C$2:$C$20001,$A41,Orders!$E$2:$E$20001,"COD",Orders!$F$2:$F$20001,"RTO"))</f>
        <v/>
      </c>
      <c r="C41" s="17" t="str">
        <f aca="false">IF($A41="","",COUNTIFS(Orders!$C$2:$C$20001,$A41,Orders!$E$2:$E$20001,"COD",Orders!$F$2:$F$20001,"RTO"))</f>
        <v/>
      </c>
      <c r="D41" s="18" t="str">
        <f aca="false">IF($A41="","",IFERROR(C41/B41,0))</f>
        <v/>
      </c>
      <c r="E41" s="17" t="str">
        <f aca="false">IF($A41="","",COUNTIFS(Orders!$C$2:$C$20001,$A41,Orders!$E$2:$E$20001,"Prepaid",Orders!$F$2:$F$20001,"Delivered")+COUNTIFS(Orders!$C$2:$C$20001,$A41,Orders!$E$2:$E$20001,"Prepaid",Orders!$F$2:$F$20001,"RTO"))</f>
        <v/>
      </c>
      <c r="F41" s="17" t="str">
        <f aca="false">IF($A41="","",COUNTIFS(Orders!$C$2:$C$20001,$A41,Orders!$E$2:$E$20001,"Prepaid",Orders!$F$2:$F$20001,"RTO"))</f>
        <v/>
      </c>
      <c r="G41" s="18" t="str">
        <f aca="false">IF($A41="","",IFERROR(F41/E41,0))</f>
        <v/>
      </c>
      <c r="H41" s="19" t="str">
        <f aca="false">IF($A41="","",C41*Settings!$B$11)</f>
        <v/>
      </c>
      <c r="I41" s="20" t="str">
        <f aca="false">IF($A41="","",IF(N(H41)=0,"",RANK(H41,$H$5:$H$2004)))</f>
        <v/>
      </c>
      <c r="J41" s="21" t="str">
        <f aca="false">IF($A41="","",IF(B41=0,"No COD orders",IF(B41&lt;Settings!$B$8,"Too few orders",IF(D41&gt;=Settings!$B$9,"Restrict COD or verify","Keep COD"))))</f>
        <v/>
      </c>
    </row>
    <row r="42" customFormat="false" ht="15" hidden="false" customHeight="false" outlineLevel="0" collapsed="false">
      <c r="A42" s="27"/>
      <c r="B42" s="17" t="str">
        <f aca="false">IF($A42="","",COUNTIFS(Orders!$C$2:$C$20001,$A42,Orders!$E$2:$E$20001,"COD",Orders!$F$2:$F$20001,"Delivered")+COUNTIFS(Orders!$C$2:$C$20001,$A42,Orders!$E$2:$E$20001,"COD",Orders!$F$2:$F$20001,"RTO"))</f>
        <v/>
      </c>
      <c r="C42" s="17" t="str">
        <f aca="false">IF($A42="","",COUNTIFS(Orders!$C$2:$C$20001,$A42,Orders!$E$2:$E$20001,"COD",Orders!$F$2:$F$20001,"RTO"))</f>
        <v/>
      </c>
      <c r="D42" s="18" t="str">
        <f aca="false">IF($A42="","",IFERROR(C42/B42,0))</f>
        <v/>
      </c>
      <c r="E42" s="17" t="str">
        <f aca="false">IF($A42="","",COUNTIFS(Orders!$C$2:$C$20001,$A42,Orders!$E$2:$E$20001,"Prepaid",Orders!$F$2:$F$20001,"Delivered")+COUNTIFS(Orders!$C$2:$C$20001,$A42,Orders!$E$2:$E$20001,"Prepaid",Orders!$F$2:$F$20001,"RTO"))</f>
        <v/>
      </c>
      <c r="F42" s="17" t="str">
        <f aca="false">IF($A42="","",COUNTIFS(Orders!$C$2:$C$20001,$A42,Orders!$E$2:$E$20001,"Prepaid",Orders!$F$2:$F$20001,"RTO"))</f>
        <v/>
      </c>
      <c r="G42" s="18" t="str">
        <f aca="false">IF($A42="","",IFERROR(F42/E42,0))</f>
        <v/>
      </c>
      <c r="H42" s="19" t="str">
        <f aca="false">IF($A42="","",C42*Settings!$B$11)</f>
        <v/>
      </c>
      <c r="I42" s="20" t="str">
        <f aca="false">IF($A42="","",IF(N(H42)=0,"",RANK(H42,$H$5:$H$2004)))</f>
        <v/>
      </c>
      <c r="J42" s="21" t="str">
        <f aca="false">IF($A42="","",IF(B42=0,"No COD orders",IF(B42&lt;Settings!$B$8,"Too few orders",IF(D42&gt;=Settings!$B$9,"Restrict COD or verify","Keep COD"))))</f>
        <v/>
      </c>
    </row>
    <row r="43" customFormat="false" ht="15" hidden="false" customHeight="false" outlineLevel="0" collapsed="false">
      <c r="A43" s="27"/>
      <c r="B43" s="17" t="str">
        <f aca="false">IF($A43="","",COUNTIFS(Orders!$C$2:$C$20001,$A43,Orders!$E$2:$E$20001,"COD",Orders!$F$2:$F$20001,"Delivered")+COUNTIFS(Orders!$C$2:$C$20001,$A43,Orders!$E$2:$E$20001,"COD",Orders!$F$2:$F$20001,"RTO"))</f>
        <v/>
      </c>
      <c r="C43" s="17" t="str">
        <f aca="false">IF($A43="","",COUNTIFS(Orders!$C$2:$C$20001,$A43,Orders!$E$2:$E$20001,"COD",Orders!$F$2:$F$20001,"RTO"))</f>
        <v/>
      </c>
      <c r="D43" s="18" t="str">
        <f aca="false">IF($A43="","",IFERROR(C43/B43,0))</f>
        <v/>
      </c>
      <c r="E43" s="17" t="str">
        <f aca="false">IF($A43="","",COUNTIFS(Orders!$C$2:$C$20001,$A43,Orders!$E$2:$E$20001,"Prepaid",Orders!$F$2:$F$20001,"Delivered")+COUNTIFS(Orders!$C$2:$C$20001,$A43,Orders!$E$2:$E$20001,"Prepaid",Orders!$F$2:$F$20001,"RTO"))</f>
        <v/>
      </c>
      <c r="F43" s="17" t="str">
        <f aca="false">IF($A43="","",COUNTIFS(Orders!$C$2:$C$20001,$A43,Orders!$E$2:$E$20001,"Prepaid",Orders!$F$2:$F$20001,"RTO"))</f>
        <v/>
      </c>
      <c r="G43" s="18" t="str">
        <f aca="false">IF($A43="","",IFERROR(F43/E43,0))</f>
        <v/>
      </c>
      <c r="H43" s="19" t="str">
        <f aca="false">IF($A43="","",C43*Settings!$B$11)</f>
        <v/>
      </c>
      <c r="I43" s="20" t="str">
        <f aca="false">IF($A43="","",IF(N(H43)=0,"",RANK(H43,$H$5:$H$2004)))</f>
        <v/>
      </c>
      <c r="J43" s="21" t="str">
        <f aca="false">IF($A43="","",IF(B43=0,"No COD orders",IF(B43&lt;Settings!$B$8,"Too few orders",IF(D43&gt;=Settings!$B$9,"Restrict COD or verify","Keep COD"))))</f>
        <v/>
      </c>
    </row>
    <row r="44" customFormat="false" ht="15" hidden="false" customHeight="false" outlineLevel="0" collapsed="false">
      <c r="A44" s="27"/>
      <c r="B44" s="17" t="str">
        <f aca="false">IF($A44="","",COUNTIFS(Orders!$C$2:$C$20001,$A44,Orders!$E$2:$E$20001,"COD",Orders!$F$2:$F$20001,"Delivered")+COUNTIFS(Orders!$C$2:$C$20001,$A44,Orders!$E$2:$E$20001,"COD",Orders!$F$2:$F$20001,"RTO"))</f>
        <v/>
      </c>
      <c r="C44" s="17" t="str">
        <f aca="false">IF($A44="","",COUNTIFS(Orders!$C$2:$C$20001,$A44,Orders!$E$2:$E$20001,"COD",Orders!$F$2:$F$20001,"RTO"))</f>
        <v/>
      </c>
      <c r="D44" s="18" t="str">
        <f aca="false">IF($A44="","",IFERROR(C44/B44,0))</f>
        <v/>
      </c>
      <c r="E44" s="17" t="str">
        <f aca="false">IF($A44="","",COUNTIFS(Orders!$C$2:$C$20001,$A44,Orders!$E$2:$E$20001,"Prepaid",Orders!$F$2:$F$20001,"Delivered")+COUNTIFS(Orders!$C$2:$C$20001,$A44,Orders!$E$2:$E$20001,"Prepaid",Orders!$F$2:$F$20001,"RTO"))</f>
        <v/>
      </c>
      <c r="F44" s="17" t="str">
        <f aca="false">IF($A44="","",COUNTIFS(Orders!$C$2:$C$20001,$A44,Orders!$E$2:$E$20001,"Prepaid",Orders!$F$2:$F$20001,"RTO"))</f>
        <v/>
      </c>
      <c r="G44" s="18" t="str">
        <f aca="false">IF($A44="","",IFERROR(F44/E44,0))</f>
        <v/>
      </c>
      <c r="H44" s="19" t="str">
        <f aca="false">IF($A44="","",C44*Settings!$B$11)</f>
        <v/>
      </c>
      <c r="I44" s="20" t="str">
        <f aca="false">IF($A44="","",IF(N(H44)=0,"",RANK(H44,$H$5:$H$2004)))</f>
        <v/>
      </c>
      <c r="J44" s="21" t="str">
        <f aca="false">IF($A44="","",IF(B44=0,"No COD orders",IF(B44&lt;Settings!$B$8,"Too few orders",IF(D44&gt;=Settings!$B$9,"Restrict COD or verify","Keep COD"))))</f>
        <v/>
      </c>
    </row>
    <row r="45" customFormat="false" ht="15" hidden="false" customHeight="false" outlineLevel="0" collapsed="false">
      <c r="A45" s="27"/>
      <c r="B45" s="17" t="str">
        <f aca="false">IF($A45="","",COUNTIFS(Orders!$C$2:$C$20001,$A45,Orders!$E$2:$E$20001,"COD",Orders!$F$2:$F$20001,"Delivered")+COUNTIFS(Orders!$C$2:$C$20001,$A45,Orders!$E$2:$E$20001,"COD",Orders!$F$2:$F$20001,"RTO"))</f>
        <v/>
      </c>
      <c r="C45" s="17" t="str">
        <f aca="false">IF($A45="","",COUNTIFS(Orders!$C$2:$C$20001,$A45,Orders!$E$2:$E$20001,"COD",Orders!$F$2:$F$20001,"RTO"))</f>
        <v/>
      </c>
      <c r="D45" s="18" t="str">
        <f aca="false">IF($A45="","",IFERROR(C45/B45,0))</f>
        <v/>
      </c>
      <c r="E45" s="17" t="str">
        <f aca="false">IF($A45="","",COUNTIFS(Orders!$C$2:$C$20001,$A45,Orders!$E$2:$E$20001,"Prepaid",Orders!$F$2:$F$20001,"Delivered")+COUNTIFS(Orders!$C$2:$C$20001,$A45,Orders!$E$2:$E$20001,"Prepaid",Orders!$F$2:$F$20001,"RTO"))</f>
        <v/>
      </c>
      <c r="F45" s="17" t="str">
        <f aca="false">IF($A45="","",COUNTIFS(Orders!$C$2:$C$20001,$A45,Orders!$E$2:$E$20001,"Prepaid",Orders!$F$2:$F$20001,"RTO"))</f>
        <v/>
      </c>
      <c r="G45" s="18" t="str">
        <f aca="false">IF($A45="","",IFERROR(F45/E45,0))</f>
        <v/>
      </c>
      <c r="H45" s="19" t="str">
        <f aca="false">IF($A45="","",C45*Settings!$B$11)</f>
        <v/>
      </c>
      <c r="I45" s="20" t="str">
        <f aca="false">IF($A45="","",IF(N(H45)=0,"",RANK(H45,$H$5:$H$2004)))</f>
        <v/>
      </c>
      <c r="J45" s="21" t="str">
        <f aca="false">IF($A45="","",IF(B45=0,"No COD orders",IF(B45&lt;Settings!$B$8,"Too few orders",IF(D45&gt;=Settings!$B$9,"Restrict COD or verify","Keep COD"))))</f>
        <v/>
      </c>
    </row>
    <row r="46" customFormat="false" ht="15" hidden="false" customHeight="false" outlineLevel="0" collapsed="false">
      <c r="A46" s="27"/>
      <c r="B46" s="17" t="str">
        <f aca="false">IF($A46="","",COUNTIFS(Orders!$C$2:$C$20001,$A46,Orders!$E$2:$E$20001,"COD",Orders!$F$2:$F$20001,"Delivered")+COUNTIFS(Orders!$C$2:$C$20001,$A46,Orders!$E$2:$E$20001,"COD",Orders!$F$2:$F$20001,"RTO"))</f>
        <v/>
      </c>
      <c r="C46" s="17" t="str">
        <f aca="false">IF($A46="","",COUNTIFS(Orders!$C$2:$C$20001,$A46,Orders!$E$2:$E$20001,"COD",Orders!$F$2:$F$20001,"RTO"))</f>
        <v/>
      </c>
      <c r="D46" s="18" t="str">
        <f aca="false">IF($A46="","",IFERROR(C46/B46,0))</f>
        <v/>
      </c>
      <c r="E46" s="17" t="str">
        <f aca="false">IF($A46="","",COUNTIFS(Orders!$C$2:$C$20001,$A46,Orders!$E$2:$E$20001,"Prepaid",Orders!$F$2:$F$20001,"Delivered")+COUNTIFS(Orders!$C$2:$C$20001,$A46,Orders!$E$2:$E$20001,"Prepaid",Orders!$F$2:$F$20001,"RTO"))</f>
        <v/>
      </c>
      <c r="F46" s="17" t="str">
        <f aca="false">IF($A46="","",COUNTIFS(Orders!$C$2:$C$20001,$A46,Orders!$E$2:$E$20001,"Prepaid",Orders!$F$2:$F$20001,"RTO"))</f>
        <v/>
      </c>
      <c r="G46" s="18" t="str">
        <f aca="false">IF($A46="","",IFERROR(F46/E46,0))</f>
        <v/>
      </c>
      <c r="H46" s="19" t="str">
        <f aca="false">IF($A46="","",C46*Settings!$B$11)</f>
        <v/>
      </c>
      <c r="I46" s="20" t="str">
        <f aca="false">IF($A46="","",IF(N(H46)=0,"",RANK(H46,$H$5:$H$2004)))</f>
        <v/>
      </c>
      <c r="J46" s="21" t="str">
        <f aca="false">IF($A46="","",IF(B46=0,"No COD orders",IF(B46&lt;Settings!$B$8,"Too few orders",IF(D46&gt;=Settings!$B$9,"Restrict COD or verify","Keep COD"))))</f>
        <v/>
      </c>
    </row>
    <row r="47" customFormat="false" ht="15" hidden="false" customHeight="false" outlineLevel="0" collapsed="false">
      <c r="A47" s="27"/>
      <c r="B47" s="17" t="str">
        <f aca="false">IF($A47="","",COUNTIFS(Orders!$C$2:$C$20001,$A47,Orders!$E$2:$E$20001,"COD",Orders!$F$2:$F$20001,"Delivered")+COUNTIFS(Orders!$C$2:$C$20001,$A47,Orders!$E$2:$E$20001,"COD",Orders!$F$2:$F$20001,"RTO"))</f>
        <v/>
      </c>
      <c r="C47" s="17" t="str">
        <f aca="false">IF($A47="","",COUNTIFS(Orders!$C$2:$C$20001,$A47,Orders!$E$2:$E$20001,"COD",Orders!$F$2:$F$20001,"RTO"))</f>
        <v/>
      </c>
      <c r="D47" s="18" t="str">
        <f aca="false">IF($A47="","",IFERROR(C47/B47,0))</f>
        <v/>
      </c>
      <c r="E47" s="17" t="str">
        <f aca="false">IF($A47="","",COUNTIFS(Orders!$C$2:$C$20001,$A47,Orders!$E$2:$E$20001,"Prepaid",Orders!$F$2:$F$20001,"Delivered")+COUNTIFS(Orders!$C$2:$C$20001,$A47,Orders!$E$2:$E$20001,"Prepaid",Orders!$F$2:$F$20001,"RTO"))</f>
        <v/>
      </c>
      <c r="F47" s="17" t="str">
        <f aca="false">IF($A47="","",COUNTIFS(Orders!$C$2:$C$20001,$A47,Orders!$E$2:$E$20001,"Prepaid",Orders!$F$2:$F$20001,"RTO"))</f>
        <v/>
      </c>
      <c r="G47" s="18" t="str">
        <f aca="false">IF($A47="","",IFERROR(F47/E47,0))</f>
        <v/>
      </c>
      <c r="H47" s="19" t="str">
        <f aca="false">IF($A47="","",C47*Settings!$B$11)</f>
        <v/>
      </c>
      <c r="I47" s="20" t="str">
        <f aca="false">IF($A47="","",IF(N(H47)=0,"",RANK(H47,$H$5:$H$2004)))</f>
        <v/>
      </c>
      <c r="J47" s="21" t="str">
        <f aca="false">IF($A47="","",IF(B47=0,"No COD orders",IF(B47&lt;Settings!$B$8,"Too few orders",IF(D47&gt;=Settings!$B$9,"Restrict COD or verify","Keep COD"))))</f>
        <v/>
      </c>
    </row>
    <row r="48" customFormat="false" ht="15" hidden="false" customHeight="false" outlineLevel="0" collapsed="false">
      <c r="A48" s="27"/>
      <c r="B48" s="17" t="str">
        <f aca="false">IF($A48="","",COUNTIFS(Orders!$C$2:$C$20001,$A48,Orders!$E$2:$E$20001,"COD",Orders!$F$2:$F$20001,"Delivered")+COUNTIFS(Orders!$C$2:$C$20001,$A48,Orders!$E$2:$E$20001,"COD",Orders!$F$2:$F$20001,"RTO"))</f>
        <v/>
      </c>
      <c r="C48" s="17" t="str">
        <f aca="false">IF($A48="","",COUNTIFS(Orders!$C$2:$C$20001,$A48,Orders!$E$2:$E$20001,"COD",Orders!$F$2:$F$20001,"RTO"))</f>
        <v/>
      </c>
      <c r="D48" s="18" t="str">
        <f aca="false">IF($A48="","",IFERROR(C48/B48,0))</f>
        <v/>
      </c>
      <c r="E48" s="17" t="str">
        <f aca="false">IF($A48="","",COUNTIFS(Orders!$C$2:$C$20001,$A48,Orders!$E$2:$E$20001,"Prepaid",Orders!$F$2:$F$20001,"Delivered")+COUNTIFS(Orders!$C$2:$C$20001,$A48,Orders!$E$2:$E$20001,"Prepaid",Orders!$F$2:$F$20001,"RTO"))</f>
        <v/>
      </c>
      <c r="F48" s="17" t="str">
        <f aca="false">IF($A48="","",COUNTIFS(Orders!$C$2:$C$20001,$A48,Orders!$E$2:$E$20001,"Prepaid",Orders!$F$2:$F$20001,"RTO"))</f>
        <v/>
      </c>
      <c r="G48" s="18" t="str">
        <f aca="false">IF($A48="","",IFERROR(F48/E48,0))</f>
        <v/>
      </c>
      <c r="H48" s="19" t="str">
        <f aca="false">IF($A48="","",C48*Settings!$B$11)</f>
        <v/>
      </c>
      <c r="I48" s="20" t="str">
        <f aca="false">IF($A48="","",IF(N(H48)=0,"",RANK(H48,$H$5:$H$2004)))</f>
        <v/>
      </c>
      <c r="J48" s="21" t="str">
        <f aca="false">IF($A48="","",IF(B48=0,"No COD orders",IF(B48&lt;Settings!$B$8,"Too few orders",IF(D48&gt;=Settings!$B$9,"Restrict COD or verify","Keep COD"))))</f>
        <v/>
      </c>
    </row>
    <row r="49" customFormat="false" ht="15" hidden="false" customHeight="false" outlineLevel="0" collapsed="false">
      <c r="A49" s="27"/>
      <c r="B49" s="17" t="str">
        <f aca="false">IF($A49="","",COUNTIFS(Orders!$C$2:$C$20001,$A49,Orders!$E$2:$E$20001,"COD",Orders!$F$2:$F$20001,"Delivered")+COUNTIFS(Orders!$C$2:$C$20001,$A49,Orders!$E$2:$E$20001,"COD",Orders!$F$2:$F$20001,"RTO"))</f>
        <v/>
      </c>
      <c r="C49" s="17" t="str">
        <f aca="false">IF($A49="","",COUNTIFS(Orders!$C$2:$C$20001,$A49,Orders!$E$2:$E$20001,"COD",Orders!$F$2:$F$20001,"RTO"))</f>
        <v/>
      </c>
      <c r="D49" s="18" t="str">
        <f aca="false">IF($A49="","",IFERROR(C49/B49,0))</f>
        <v/>
      </c>
      <c r="E49" s="17" t="str">
        <f aca="false">IF($A49="","",COUNTIFS(Orders!$C$2:$C$20001,$A49,Orders!$E$2:$E$20001,"Prepaid",Orders!$F$2:$F$20001,"Delivered")+COUNTIFS(Orders!$C$2:$C$20001,$A49,Orders!$E$2:$E$20001,"Prepaid",Orders!$F$2:$F$20001,"RTO"))</f>
        <v/>
      </c>
      <c r="F49" s="17" t="str">
        <f aca="false">IF($A49="","",COUNTIFS(Orders!$C$2:$C$20001,$A49,Orders!$E$2:$E$20001,"Prepaid",Orders!$F$2:$F$20001,"RTO"))</f>
        <v/>
      </c>
      <c r="G49" s="18" t="str">
        <f aca="false">IF($A49="","",IFERROR(F49/E49,0))</f>
        <v/>
      </c>
      <c r="H49" s="19" t="str">
        <f aca="false">IF($A49="","",C49*Settings!$B$11)</f>
        <v/>
      </c>
      <c r="I49" s="20" t="str">
        <f aca="false">IF($A49="","",IF(N(H49)=0,"",RANK(H49,$H$5:$H$2004)))</f>
        <v/>
      </c>
      <c r="J49" s="21" t="str">
        <f aca="false">IF($A49="","",IF(B49=0,"No COD orders",IF(B49&lt;Settings!$B$8,"Too few orders",IF(D49&gt;=Settings!$B$9,"Restrict COD or verify","Keep COD"))))</f>
        <v/>
      </c>
    </row>
    <row r="50" customFormat="false" ht="15" hidden="false" customHeight="false" outlineLevel="0" collapsed="false">
      <c r="A50" s="27"/>
      <c r="B50" s="17" t="str">
        <f aca="false">IF($A50="","",COUNTIFS(Orders!$C$2:$C$20001,$A50,Orders!$E$2:$E$20001,"COD",Orders!$F$2:$F$20001,"Delivered")+COUNTIFS(Orders!$C$2:$C$20001,$A50,Orders!$E$2:$E$20001,"COD",Orders!$F$2:$F$20001,"RTO"))</f>
        <v/>
      </c>
      <c r="C50" s="17" t="str">
        <f aca="false">IF($A50="","",COUNTIFS(Orders!$C$2:$C$20001,$A50,Orders!$E$2:$E$20001,"COD",Orders!$F$2:$F$20001,"RTO"))</f>
        <v/>
      </c>
      <c r="D50" s="18" t="str">
        <f aca="false">IF($A50="","",IFERROR(C50/B50,0))</f>
        <v/>
      </c>
      <c r="E50" s="17" t="str">
        <f aca="false">IF($A50="","",COUNTIFS(Orders!$C$2:$C$20001,$A50,Orders!$E$2:$E$20001,"Prepaid",Orders!$F$2:$F$20001,"Delivered")+COUNTIFS(Orders!$C$2:$C$20001,$A50,Orders!$E$2:$E$20001,"Prepaid",Orders!$F$2:$F$20001,"RTO"))</f>
        <v/>
      </c>
      <c r="F50" s="17" t="str">
        <f aca="false">IF($A50="","",COUNTIFS(Orders!$C$2:$C$20001,$A50,Orders!$E$2:$E$20001,"Prepaid",Orders!$F$2:$F$20001,"RTO"))</f>
        <v/>
      </c>
      <c r="G50" s="18" t="str">
        <f aca="false">IF($A50="","",IFERROR(F50/E50,0))</f>
        <v/>
      </c>
      <c r="H50" s="19" t="str">
        <f aca="false">IF($A50="","",C50*Settings!$B$11)</f>
        <v/>
      </c>
      <c r="I50" s="20" t="str">
        <f aca="false">IF($A50="","",IF(N(H50)=0,"",RANK(H50,$H$5:$H$2004)))</f>
        <v/>
      </c>
      <c r="J50" s="21" t="str">
        <f aca="false">IF($A50="","",IF(B50=0,"No COD orders",IF(B50&lt;Settings!$B$8,"Too few orders",IF(D50&gt;=Settings!$B$9,"Restrict COD or verify","Keep COD"))))</f>
        <v/>
      </c>
    </row>
    <row r="51" customFormat="false" ht="15" hidden="false" customHeight="false" outlineLevel="0" collapsed="false">
      <c r="A51" s="27"/>
      <c r="B51" s="17" t="str">
        <f aca="false">IF($A51="","",COUNTIFS(Orders!$C$2:$C$20001,$A51,Orders!$E$2:$E$20001,"COD",Orders!$F$2:$F$20001,"Delivered")+COUNTIFS(Orders!$C$2:$C$20001,$A51,Orders!$E$2:$E$20001,"COD",Orders!$F$2:$F$20001,"RTO"))</f>
        <v/>
      </c>
      <c r="C51" s="17" t="str">
        <f aca="false">IF($A51="","",COUNTIFS(Orders!$C$2:$C$20001,$A51,Orders!$E$2:$E$20001,"COD",Orders!$F$2:$F$20001,"RTO"))</f>
        <v/>
      </c>
      <c r="D51" s="18" t="str">
        <f aca="false">IF($A51="","",IFERROR(C51/B51,0))</f>
        <v/>
      </c>
      <c r="E51" s="17" t="str">
        <f aca="false">IF($A51="","",COUNTIFS(Orders!$C$2:$C$20001,$A51,Orders!$E$2:$E$20001,"Prepaid",Orders!$F$2:$F$20001,"Delivered")+COUNTIFS(Orders!$C$2:$C$20001,$A51,Orders!$E$2:$E$20001,"Prepaid",Orders!$F$2:$F$20001,"RTO"))</f>
        <v/>
      </c>
      <c r="F51" s="17" t="str">
        <f aca="false">IF($A51="","",COUNTIFS(Orders!$C$2:$C$20001,$A51,Orders!$E$2:$E$20001,"Prepaid",Orders!$F$2:$F$20001,"RTO"))</f>
        <v/>
      </c>
      <c r="G51" s="18" t="str">
        <f aca="false">IF($A51="","",IFERROR(F51/E51,0))</f>
        <v/>
      </c>
      <c r="H51" s="19" t="str">
        <f aca="false">IF($A51="","",C51*Settings!$B$11)</f>
        <v/>
      </c>
      <c r="I51" s="20" t="str">
        <f aca="false">IF($A51="","",IF(N(H51)=0,"",RANK(H51,$H$5:$H$2004)))</f>
        <v/>
      </c>
      <c r="J51" s="21" t="str">
        <f aca="false">IF($A51="","",IF(B51=0,"No COD orders",IF(B51&lt;Settings!$B$8,"Too few orders",IF(D51&gt;=Settings!$B$9,"Restrict COD or verify","Keep COD"))))</f>
        <v/>
      </c>
    </row>
    <row r="52" customFormat="false" ht="15" hidden="false" customHeight="false" outlineLevel="0" collapsed="false">
      <c r="A52" s="27"/>
      <c r="B52" s="17" t="str">
        <f aca="false">IF($A52="","",COUNTIFS(Orders!$C$2:$C$20001,$A52,Orders!$E$2:$E$20001,"COD",Orders!$F$2:$F$20001,"Delivered")+COUNTIFS(Orders!$C$2:$C$20001,$A52,Orders!$E$2:$E$20001,"COD",Orders!$F$2:$F$20001,"RTO"))</f>
        <v/>
      </c>
      <c r="C52" s="17" t="str">
        <f aca="false">IF($A52="","",COUNTIFS(Orders!$C$2:$C$20001,$A52,Orders!$E$2:$E$20001,"COD",Orders!$F$2:$F$20001,"RTO"))</f>
        <v/>
      </c>
      <c r="D52" s="18" t="str">
        <f aca="false">IF($A52="","",IFERROR(C52/B52,0))</f>
        <v/>
      </c>
      <c r="E52" s="17" t="str">
        <f aca="false">IF($A52="","",COUNTIFS(Orders!$C$2:$C$20001,$A52,Orders!$E$2:$E$20001,"Prepaid",Orders!$F$2:$F$20001,"Delivered")+COUNTIFS(Orders!$C$2:$C$20001,$A52,Orders!$E$2:$E$20001,"Prepaid",Orders!$F$2:$F$20001,"RTO"))</f>
        <v/>
      </c>
      <c r="F52" s="17" t="str">
        <f aca="false">IF($A52="","",COUNTIFS(Orders!$C$2:$C$20001,$A52,Orders!$E$2:$E$20001,"Prepaid",Orders!$F$2:$F$20001,"RTO"))</f>
        <v/>
      </c>
      <c r="G52" s="18" t="str">
        <f aca="false">IF($A52="","",IFERROR(F52/E52,0))</f>
        <v/>
      </c>
      <c r="H52" s="19" t="str">
        <f aca="false">IF($A52="","",C52*Settings!$B$11)</f>
        <v/>
      </c>
      <c r="I52" s="20" t="str">
        <f aca="false">IF($A52="","",IF(N(H52)=0,"",RANK(H52,$H$5:$H$2004)))</f>
        <v/>
      </c>
      <c r="J52" s="21" t="str">
        <f aca="false">IF($A52="","",IF(B52=0,"No COD orders",IF(B52&lt;Settings!$B$8,"Too few orders",IF(D52&gt;=Settings!$B$9,"Restrict COD or verify","Keep COD"))))</f>
        <v/>
      </c>
    </row>
    <row r="53" customFormat="false" ht="15" hidden="false" customHeight="false" outlineLevel="0" collapsed="false">
      <c r="A53" s="27"/>
      <c r="B53" s="17" t="str">
        <f aca="false">IF($A53="","",COUNTIFS(Orders!$C$2:$C$20001,$A53,Orders!$E$2:$E$20001,"COD",Orders!$F$2:$F$20001,"Delivered")+COUNTIFS(Orders!$C$2:$C$20001,$A53,Orders!$E$2:$E$20001,"COD",Orders!$F$2:$F$20001,"RTO"))</f>
        <v/>
      </c>
      <c r="C53" s="17" t="str">
        <f aca="false">IF($A53="","",COUNTIFS(Orders!$C$2:$C$20001,$A53,Orders!$E$2:$E$20001,"COD",Orders!$F$2:$F$20001,"RTO"))</f>
        <v/>
      </c>
      <c r="D53" s="18" t="str">
        <f aca="false">IF($A53="","",IFERROR(C53/B53,0))</f>
        <v/>
      </c>
      <c r="E53" s="17" t="str">
        <f aca="false">IF($A53="","",COUNTIFS(Orders!$C$2:$C$20001,$A53,Orders!$E$2:$E$20001,"Prepaid",Orders!$F$2:$F$20001,"Delivered")+COUNTIFS(Orders!$C$2:$C$20001,$A53,Orders!$E$2:$E$20001,"Prepaid",Orders!$F$2:$F$20001,"RTO"))</f>
        <v/>
      </c>
      <c r="F53" s="17" t="str">
        <f aca="false">IF($A53="","",COUNTIFS(Orders!$C$2:$C$20001,$A53,Orders!$E$2:$E$20001,"Prepaid",Orders!$F$2:$F$20001,"RTO"))</f>
        <v/>
      </c>
      <c r="G53" s="18" t="str">
        <f aca="false">IF($A53="","",IFERROR(F53/E53,0))</f>
        <v/>
      </c>
      <c r="H53" s="19" t="str">
        <f aca="false">IF($A53="","",C53*Settings!$B$11)</f>
        <v/>
      </c>
      <c r="I53" s="20" t="str">
        <f aca="false">IF($A53="","",IF(N(H53)=0,"",RANK(H53,$H$5:$H$2004)))</f>
        <v/>
      </c>
      <c r="J53" s="21" t="str">
        <f aca="false">IF($A53="","",IF(B53=0,"No COD orders",IF(B53&lt;Settings!$B$8,"Too few orders",IF(D53&gt;=Settings!$B$9,"Restrict COD or verify","Keep COD"))))</f>
        <v/>
      </c>
    </row>
    <row r="54" customFormat="false" ht="15" hidden="false" customHeight="false" outlineLevel="0" collapsed="false">
      <c r="A54" s="27"/>
      <c r="B54" s="17" t="str">
        <f aca="false">IF($A54="","",COUNTIFS(Orders!$C$2:$C$20001,$A54,Orders!$E$2:$E$20001,"COD",Orders!$F$2:$F$20001,"Delivered")+COUNTIFS(Orders!$C$2:$C$20001,$A54,Orders!$E$2:$E$20001,"COD",Orders!$F$2:$F$20001,"RTO"))</f>
        <v/>
      </c>
      <c r="C54" s="17" t="str">
        <f aca="false">IF($A54="","",COUNTIFS(Orders!$C$2:$C$20001,$A54,Orders!$E$2:$E$20001,"COD",Orders!$F$2:$F$20001,"RTO"))</f>
        <v/>
      </c>
      <c r="D54" s="18" t="str">
        <f aca="false">IF($A54="","",IFERROR(C54/B54,0))</f>
        <v/>
      </c>
      <c r="E54" s="17" t="str">
        <f aca="false">IF($A54="","",COUNTIFS(Orders!$C$2:$C$20001,$A54,Orders!$E$2:$E$20001,"Prepaid",Orders!$F$2:$F$20001,"Delivered")+COUNTIFS(Orders!$C$2:$C$20001,$A54,Orders!$E$2:$E$20001,"Prepaid",Orders!$F$2:$F$20001,"RTO"))</f>
        <v/>
      </c>
      <c r="F54" s="17" t="str">
        <f aca="false">IF($A54="","",COUNTIFS(Orders!$C$2:$C$20001,$A54,Orders!$E$2:$E$20001,"Prepaid",Orders!$F$2:$F$20001,"RTO"))</f>
        <v/>
      </c>
      <c r="G54" s="18" t="str">
        <f aca="false">IF($A54="","",IFERROR(F54/E54,0))</f>
        <v/>
      </c>
      <c r="H54" s="19" t="str">
        <f aca="false">IF($A54="","",C54*Settings!$B$11)</f>
        <v/>
      </c>
      <c r="I54" s="20" t="str">
        <f aca="false">IF($A54="","",IF(N(H54)=0,"",RANK(H54,$H$5:$H$2004)))</f>
        <v/>
      </c>
      <c r="J54" s="21" t="str">
        <f aca="false">IF($A54="","",IF(B54=0,"No COD orders",IF(B54&lt;Settings!$B$8,"Too few orders",IF(D54&gt;=Settings!$B$9,"Restrict COD or verify","Keep COD"))))</f>
        <v/>
      </c>
    </row>
    <row r="55" customFormat="false" ht="15" hidden="false" customHeight="false" outlineLevel="0" collapsed="false">
      <c r="A55" s="27"/>
      <c r="B55" s="17" t="str">
        <f aca="false">IF($A55="","",COUNTIFS(Orders!$C$2:$C$20001,$A55,Orders!$E$2:$E$20001,"COD",Orders!$F$2:$F$20001,"Delivered")+COUNTIFS(Orders!$C$2:$C$20001,$A55,Orders!$E$2:$E$20001,"COD",Orders!$F$2:$F$20001,"RTO"))</f>
        <v/>
      </c>
      <c r="C55" s="17" t="str">
        <f aca="false">IF($A55="","",COUNTIFS(Orders!$C$2:$C$20001,$A55,Orders!$E$2:$E$20001,"COD",Orders!$F$2:$F$20001,"RTO"))</f>
        <v/>
      </c>
      <c r="D55" s="18" t="str">
        <f aca="false">IF($A55="","",IFERROR(C55/B55,0))</f>
        <v/>
      </c>
      <c r="E55" s="17" t="str">
        <f aca="false">IF($A55="","",COUNTIFS(Orders!$C$2:$C$20001,$A55,Orders!$E$2:$E$20001,"Prepaid",Orders!$F$2:$F$20001,"Delivered")+COUNTIFS(Orders!$C$2:$C$20001,$A55,Orders!$E$2:$E$20001,"Prepaid",Orders!$F$2:$F$20001,"RTO"))</f>
        <v/>
      </c>
      <c r="F55" s="17" t="str">
        <f aca="false">IF($A55="","",COUNTIFS(Orders!$C$2:$C$20001,$A55,Orders!$E$2:$E$20001,"Prepaid",Orders!$F$2:$F$20001,"RTO"))</f>
        <v/>
      </c>
      <c r="G55" s="18" t="str">
        <f aca="false">IF($A55="","",IFERROR(F55/E55,0))</f>
        <v/>
      </c>
      <c r="H55" s="19" t="str">
        <f aca="false">IF($A55="","",C55*Settings!$B$11)</f>
        <v/>
      </c>
      <c r="I55" s="20" t="str">
        <f aca="false">IF($A55="","",IF(N(H55)=0,"",RANK(H55,$H$5:$H$2004)))</f>
        <v/>
      </c>
      <c r="J55" s="21" t="str">
        <f aca="false">IF($A55="","",IF(B55=0,"No COD orders",IF(B55&lt;Settings!$B$8,"Too few orders",IF(D55&gt;=Settings!$B$9,"Restrict COD or verify","Keep COD"))))</f>
        <v/>
      </c>
    </row>
    <row r="56" customFormat="false" ht="15" hidden="false" customHeight="false" outlineLevel="0" collapsed="false">
      <c r="A56" s="27"/>
      <c r="B56" s="17" t="str">
        <f aca="false">IF($A56="","",COUNTIFS(Orders!$C$2:$C$20001,$A56,Orders!$E$2:$E$20001,"COD",Orders!$F$2:$F$20001,"Delivered")+COUNTIFS(Orders!$C$2:$C$20001,$A56,Orders!$E$2:$E$20001,"COD",Orders!$F$2:$F$20001,"RTO"))</f>
        <v/>
      </c>
      <c r="C56" s="17" t="str">
        <f aca="false">IF($A56="","",COUNTIFS(Orders!$C$2:$C$20001,$A56,Orders!$E$2:$E$20001,"COD",Orders!$F$2:$F$20001,"RTO"))</f>
        <v/>
      </c>
      <c r="D56" s="18" t="str">
        <f aca="false">IF($A56="","",IFERROR(C56/B56,0))</f>
        <v/>
      </c>
      <c r="E56" s="17" t="str">
        <f aca="false">IF($A56="","",COUNTIFS(Orders!$C$2:$C$20001,$A56,Orders!$E$2:$E$20001,"Prepaid",Orders!$F$2:$F$20001,"Delivered")+COUNTIFS(Orders!$C$2:$C$20001,$A56,Orders!$E$2:$E$20001,"Prepaid",Orders!$F$2:$F$20001,"RTO"))</f>
        <v/>
      </c>
      <c r="F56" s="17" t="str">
        <f aca="false">IF($A56="","",COUNTIFS(Orders!$C$2:$C$20001,$A56,Orders!$E$2:$E$20001,"Prepaid",Orders!$F$2:$F$20001,"RTO"))</f>
        <v/>
      </c>
      <c r="G56" s="18" t="str">
        <f aca="false">IF($A56="","",IFERROR(F56/E56,0))</f>
        <v/>
      </c>
      <c r="H56" s="19" t="str">
        <f aca="false">IF($A56="","",C56*Settings!$B$11)</f>
        <v/>
      </c>
      <c r="I56" s="20" t="str">
        <f aca="false">IF($A56="","",IF(N(H56)=0,"",RANK(H56,$H$5:$H$2004)))</f>
        <v/>
      </c>
      <c r="J56" s="21" t="str">
        <f aca="false">IF($A56="","",IF(B56=0,"No COD orders",IF(B56&lt;Settings!$B$8,"Too few orders",IF(D56&gt;=Settings!$B$9,"Restrict COD or verify","Keep COD"))))</f>
        <v/>
      </c>
    </row>
    <row r="57" customFormat="false" ht="15" hidden="false" customHeight="false" outlineLevel="0" collapsed="false">
      <c r="A57" s="27"/>
      <c r="B57" s="17" t="str">
        <f aca="false">IF($A57="","",COUNTIFS(Orders!$C$2:$C$20001,$A57,Orders!$E$2:$E$20001,"COD",Orders!$F$2:$F$20001,"Delivered")+COUNTIFS(Orders!$C$2:$C$20001,$A57,Orders!$E$2:$E$20001,"COD",Orders!$F$2:$F$20001,"RTO"))</f>
        <v/>
      </c>
      <c r="C57" s="17" t="str">
        <f aca="false">IF($A57="","",COUNTIFS(Orders!$C$2:$C$20001,$A57,Orders!$E$2:$E$20001,"COD",Orders!$F$2:$F$20001,"RTO"))</f>
        <v/>
      </c>
      <c r="D57" s="18" t="str">
        <f aca="false">IF($A57="","",IFERROR(C57/B57,0))</f>
        <v/>
      </c>
      <c r="E57" s="17" t="str">
        <f aca="false">IF($A57="","",COUNTIFS(Orders!$C$2:$C$20001,$A57,Orders!$E$2:$E$20001,"Prepaid",Orders!$F$2:$F$20001,"Delivered")+COUNTIFS(Orders!$C$2:$C$20001,$A57,Orders!$E$2:$E$20001,"Prepaid",Orders!$F$2:$F$20001,"RTO"))</f>
        <v/>
      </c>
      <c r="F57" s="17" t="str">
        <f aca="false">IF($A57="","",COUNTIFS(Orders!$C$2:$C$20001,$A57,Orders!$E$2:$E$20001,"Prepaid",Orders!$F$2:$F$20001,"RTO"))</f>
        <v/>
      </c>
      <c r="G57" s="18" t="str">
        <f aca="false">IF($A57="","",IFERROR(F57/E57,0))</f>
        <v/>
      </c>
      <c r="H57" s="19" t="str">
        <f aca="false">IF($A57="","",C57*Settings!$B$11)</f>
        <v/>
      </c>
      <c r="I57" s="20" t="str">
        <f aca="false">IF($A57="","",IF(N(H57)=0,"",RANK(H57,$H$5:$H$2004)))</f>
        <v/>
      </c>
      <c r="J57" s="21" t="str">
        <f aca="false">IF($A57="","",IF(B57=0,"No COD orders",IF(B57&lt;Settings!$B$8,"Too few orders",IF(D57&gt;=Settings!$B$9,"Restrict COD or verify","Keep COD"))))</f>
        <v/>
      </c>
    </row>
    <row r="58" customFormat="false" ht="15" hidden="false" customHeight="false" outlineLevel="0" collapsed="false">
      <c r="A58" s="27"/>
      <c r="B58" s="17" t="str">
        <f aca="false">IF($A58="","",COUNTIFS(Orders!$C$2:$C$20001,$A58,Orders!$E$2:$E$20001,"COD",Orders!$F$2:$F$20001,"Delivered")+COUNTIFS(Orders!$C$2:$C$20001,$A58,Orders!$E$2:$E$20001,"COD",Orders!$F$2:$F$20001,"RTO"))</f>
        <v/>
      </c>
      <c r="C58" s="17" t="str">
        <f aca="false">IF($A58="","",COUNTIFS(Orders!$C$2:$C$20001,$A58,Orders!$E$2:$E$20001,"COD",Orders!$F$2:$F$20001,"RTO"))</f>
        <v/>
      </c>
      <c r="D58" s="18" t="str">
        <f aca="false">IF($A58="","",IFERROR(C58/B58,0))</f>
        <v/>
      </c>
      <c r="E58" s="17" t="str">
        <f aca="false">IF($A58="","",COUNTIFS(Orders!$C$2:$C$20001,$A58,Orders!$E$2:$E$20001,"Prepaid",Orders!$F$2:$F$20001,"Delivered")+COUNTIFS(Orders!$C$2:$C$20001,$A58,Orders!$E$2:$E$20001,"Prepaid",Orders!$F$2:$F$20001,"RTO"))</f>
        <v/>
      </c>
      <c r="F58" s="17" t="str">
        <f aca="false">IF($A58="","",COUNTIFS(Orders!$C$2:$C$20001,$A58,Orders!$E$2:$E$20001,"Prepaid",Orders!$F$2:$F$20001,"RTO"))</f>
        <v/>
      </c>
      <c r="G58" s="18" t="str">
        <f aca="false">IF($A58="","",IFERROR(F58/E58,0))</f>
        <v/>
      </c>
      <c r="H58" s="19" t="str">
        <f aca="false">IF($A58="","",C58*Settings!$B$11)</f>
        <v/>
      </c>
      <c r="I58" s="20" t="str">
        <f aca="false">IF($A58="","",IF(N(H58)=0,"",RANK(H58,$H$5:$H$2004)))</f>
        <v/>
      </c>
      <c r="J58" s="21" t="str">
        <f aca="false">IF($A58="","",IF(B58=0,"No COD orders",IF(B58&lt;Settings!$B$8,"Too few orders",IF(D58&gt;=Settings!$B$9,"Restrict COD or verify","Keep COD"))))</f>
        <v/>
      </c>
    </row>
    <row r="59" customFormat="false" ht="15" hidden="false" customHeight="false" outlineLevel="0" collapsed="false">
      <c r="A59" s="27"/>
      <c r="B59" s="17" t="str">
        <f aca="false">IF($A59="","",COUNTIFS(Orders!$C$2:$C$20001,$A59,Orders!$E$2:$E$20001,"COD",Orders!$F$2:$F$20001,"Delivered")+COUNTIFS(Orders!$C$2:$C$20001,$A59,Orders!$E$2:$E$20001,"COD",Orders!$F$2:$F$20001,"RTO"))</f>
        <v/>
      </c>
      <c r="C59" s="17" t="str">
        <f aca="false">IF($A59="","",COUNTIFS(Orders!$C$2:$C$20001,$A59,Orders!$E$2:$E$20001,"COD",Orders!$F$2:$F$20001,"RTO"))</f>
        <v/>
      </c>
      <c r="D59" s="18" t="str">
        <f aca="false">IF($A59="","",IFERROR(C59/B59,0))</f>
        <v/>
      </c>
      <c r="E59" s="17" t="str">
        <f aca="false">IF($A59="","",COUNTIFS(Orders!$C$2:$C$20001,$A59,Orders!$E$2:$E$20001,"Prepaid",Orders!$F$2:$F$20001,"Delivered")+COUNTIFS(Orders!$C$2:$C$20001,$A59,Orders!$E$2:$E$20001,"Prepaid",Orders!$F$2:$F$20001,"RTO"))</f>
        <v/>
      </c>
      <c r="F59" s="17" t="str">
        <f aca="false">IF($A59="","",COUNTIFS(Orders!$C$2:$C$20001,$A59,Orders!$E$2:$E$20001,"Prepaid",Orders!$F$2:$F$20001,"RTO"))</f>
        <v/>
      </c>
      <c r="G59" s="18" t="str">
        <f aca="false">IF($A59="","",IFERROR(F59/E59,0))</f>
        <v/>
      </c>
      <c r="H59" s="19" t="str">
        <f aca="false">IF($A59="","",C59*Settings!$B$11)</f>
        <v/>
      </c>
      <c r="I59" s="20" t="str">
        <f aca="false">IF($A59="","",IF(N(H59)=0,"",RANK(H59,$H$5:$H$2004)))</f>
        <v/>
      </c>
      <c r="J59" s="21" t="str">
        <f aca="false">IF($A59="","",IF(B59=0,"No COD orders",IF(B59&lt;Settings!$B$8,"Too few orders",IF(D59&gt;=Settings!$B$9,"Restrict COD or verify","Keep COD"))))</f>
        <v/>
      </c>
    </row>
    <row r="60" customFormat="false" ht="15" hidden="false" customHeight="false" outlineLevel="0" collapsed="false">
      <c r="A60" s="27"/>
      <c r="B60" s="17" t="str">
        <f aca="false">IF($A60="","",COUNTIFS(Orders!$C$2:$C$20001,$A60,Orders!$E$2:$E$20001,"COD",Orders!$F$2:$F$20001,"Delivered")+COUNTIFS(Orders!$C$2:$C$20001,$A60,Orders!$E$2:$E$20001,"COD",Orders!$F$2:$F$20001,"RTO"))</f>
        <v/>
      </c>
      <c r="C60" s="17" t="str">
        <f aca="false">IF($A60="","",COUNTIFS(Orders!$C$2:$C$20001,$A60,Orders!$E$2:$E$20001,"COD",Orders!$F$2:$F$20001,"RTO"))</f>
        <v/>
      </c>
      <c r="D60" s="18" t="str">
        <f aca="false">IF($A60="","",IFERROR(C60/B60,0))</f>
        <v/>
      </c>
      <c r="E60" s="17" t="str">
        <f aca="false">IF($A60="","",COUNTIFS(Orders!$C$2:$C$20001,$A60,Orders!$E$2:$E$20001,"Prepaid",Orders!$F$2:$F$20001,"Delivered")+COUNTIFS(Orders!$C$2:$C$20001,$A60,Orders!$E$2:$E$20001,"Prepaid",Orders!$F$2:$F$20001,"RTO"))</f>
        <v/>
      </c>
      <c r="F60" s="17" t="str">
        <f aca="false">IF($A60="","",COUNTIFS(Orders!$C$2:$C$20001,$A60,Orders!$E$2:$E$20001,"Prepaid",Orders!$F$2:$F$20001,"RTO"))</f>
        <v/>
      </c>
      <c r="G60" s="18" t="str">
        <f aca="false">IF($A60="","",IFERROR(F60/E60,0))</f>
        <v/>
      </c>
      <c r="H60" s="19" t="str">
        <f aca="false">IF($A60="","",C60*Settings!$B$11)</f>
        <v/>
      </c>
      <c r="I60" s="20" t="str">
        <f aca="false">IF($A60="","",IF(N(H60)=0,"",RANK(H60,$H$5:$H$2004)))</f>
        <v/>
      </c>
      <c r="J60" s="21" t="str">
        <f aca="false">IF($A60="","",IF(B60=0,"No COD orders",IF(B60&lt;Settings!$B$8,"Too few orders",IF(D60&gt;=Settings!$B$9,"Restrict COD or verify","Keep COD"))))</f>
        <v/>
      </c>
    </row>
    <row r="61" customFormat="false" ht="15" hidden="false" customHeight="false" outlineLevel="0" collapsed="false">
      <c r="A61" s="27"/>
      <c r="B61" s="17" t="str">
        <f aca="false">IF($A61="","",COUNTIFS(Orders!$C$2:$C$20001,$A61,Orders!$E$2:$E$20001,"COD",Orders!$F$2:$F$20001,"Delivered")+COUNTIFS(Orders!$C$2:$C$20001,$A61,Orders!$E$2:$E$20001,"COD",Orders!$F$2:$F$20001,"RTO"))</f>
        <v/>
      </c>
      <c r="C61" s="17" t="str">
        <f aca="false">IF($A61="","",COUNTIFS(Orders!$C$2:$C$20001,$A61,Orders!$E$2:$E$20001,"COD",Orders!$F$2:$F$20001,"RTO"))</f>
        <v/>
      </c>
      <c r="D61" s="18" t="str">
        <f aca="false">IF($A61="","",IFERROR(C61/B61,0))</f>
        <v/>
      </c>
      <c r="E61" s="17" t="str">
        <f aca="false">IF($A61="","",COUNTIFS(Orders!$C$2:$C$20001,$A61,Orders!$E$2:$E$20001,"Prepaid",Orders!$F$2:$F$20001,"Delivered")+COUNTIFS(Orders!$C$2:$C$20001,$A61,Orders!$E$2:$E$20001,"Prepaid",Orders!$F$2:$F$20001,"RTO"))</f>
        <v/>
      </c>
      <c r="F61" s="17" t="str">
        <f aca="false">IF($A61="","",COUNTIFS(Orders!$C$2:$C$20001,$A61,Orders!$E$2:$E$20001,"Prepaid",Orders!$F$2:$F$20001,"RTO"))</f>
        <v/>
      </c>
      <c r="G61" s="18" t="str">
        <f aca="false">IF($A61="","",IFERROR(F61/E61,0))</f>
        <v/>
      </c>
      <c r="H61" s="19" t="str">
        <f aca="false">IF($A61="","",C61*Settings!$B$11)</f>
        <v/>
      </c>
      <c r="I61" s="20" t="str">
        <f aca="false">IF($A61="","",IF(N(H61)=0,"",RANK(H61,$H$5:$H$2004)))</f>
        <v/>
      </c>
      <c r="J61" s="21" t="str">
        <f aca="false">IF($A61="","",IF(B61=0,"No COD orders",IF(B61&lt;Settings!$B$8,"Too few orders",IF(D61&gt;=Settings!$B$9,"Restrict COD or verify","Keep COD"))))</f>
        <v/>
      </c>
    </row>
    <row r="62" customFormat="false" ht="15" hidden="false" customHeight="false" outlineLevel="0" collapsed="false">
      <c r="A62" s="27"/>
      <c r="B62" s="17" t="str">
        <f aca="false">IF($A62="","",COUNTIFS(Orders!$C$2:$C$20001,$A62,Orders!$E$2:$E$20001,"COD",Orders!$F$2:$F$20001,"Delivered")+COUNTIFS(Orders!$C$2:$C$20001,$A62,Orders!$E$2:$E$20001,"COD",Orders!$F$2:$F$20001,"RTO"))</f>
        <v/>
      </c>
      <c r="C62" s="17" t="str">
        <f aca="false">IF($A62="","",COUNTIFS(Orders!$C$2:$C$20001,$A62,Orders!$E$2:$E$20001,"COD",Orders!$F$2:$F$20001,"RTO"))</f>
        <v/>
      </c>
      <c r="D62" s="18" t="str">
        <f aca="false">IF($A62="","",IFERROR(C62/B62,0))</f>
        <v/>
      </c>
      <c r="E62" s="17" t="str">
        <f aca="false">IF($A62="","",COUNTIFS(Orders!$C$2:$C$20001,$A62,Orders!$E$2:$E$20001,"Prepaid",Orders!$F$2:$F$20001,"Delivered")+COUNTIFS(Orders!$C$2:$C$20001,$A62,Orders!$E$2:$E$20001,"Prepaid",Orders!$F$2:$F$20001,"RTO"))</f>
        <v/>
      </c>
      <c r="F62" s="17" t="str">
        <f aca="false">IF($A62="","",COUNTIFS(Orders!$C$2:$C$20001,$A62,Orders!$E$2:$E$20001,"Prepaid",Orders!$F$2:$F$20001,"RTO"))</f>
        <v/>
      </c>
      <c r="G62" s="18" t="str">
        <f aca="false">IF($A62="","",IFERROR(F62/E62,0))</f>
        <v/>
      </c>
      <c r="H62" s="19" t="str">
        <f aca="false">IF($A62="","",C62*Settings!$B$11)</f>
        <v/>
      </c>
      <c r="I62" s="20" t="str">
        <f aca="false">IF($A62="","",IF(N(H62)=0,"",RANK(H62,$H$5:$H$2004)))</f>
        <v/>
      </c>
      <c r="J62" s="21" t="str">
        <f aca="false">IF($A62="","",IF(B62=0,"No COD orders",IF(B62&lt;Settings!$B$8,"Too few orders",IF(D62&gt;=Settings!$B$9,"Restrict COD or verify","Keep COD"))))</f>
        <v/>
      </c>
    </row>
    <row r="63" customFormat="false" ht="15" hidden="false" customHeight="false" outlineLevel="0" collapsed="false">
      <c r="A63" s="27"/>
      <c r="B63" s="17" t="str">
        <f aca="false">IF($A63="","",COUNTIFS(Orders!$C$2:$C$20001,$A63,Orders!$E$2:$E$20001,"COD",Orders!$F$2:$F$20001,"Delivered")+COUNTIFS(Orders!$C$2:$C$20001,$A63,Orders!$E$2:$E$20001,"COD",Orders!$F$2:$F$20001,"RTO"))</f>
        <v/>
      </c>
      <c r="C63" s="17" t="str">
        <f aca="false">IF($A63="","",COUNTIFS(Orders!$C$2:$C$20001,$A63,Orders!$E$2:$E$20001,"COD",Orders!$F$2:$F$20001,"RTO"))</f>
        <v/>
      </c>
      <c r="D63" s="18" t="str">
        <f aca="false">IF($A63="","",IFERROR(C63/B63,0))</f>
        <v/>
      </c>
      <c r="E63" s="17" t="str">
        <f aca="false">IF($A63="","",COUNTIFS(Orders!$C$2:$C$20001,$A63,Orders!$E$2:$E$20001,"Prepaid",Orders!$F$2:$F$20001,"Delivered")+COUNTIFS(Orders!$C$2:$C$20001,$A63,Orders!$E$2:$E$20001,"Prepaid",Orders!$F$2:$F$20001,"RTO"))</f>
        <v/>
      </c>
      <c r="F63" s="17" t="str">
        <f aca="false">IF($A63="","",COUNTIFS(Orders!$C$2:$C$20001,$A63,Orders!$E$2:$E$20001,"Prepaid",Orders!$F$2:$F$20001,"RTO"))</f>
        <v/>
      </c>
      <c r="G63" s="18" t="str">
        <f aca="false">IF($A63="","",IFERROR(F63/E63,0))</f>
        <v/>
      </c>
      <c r="H63" s="19" t="str">
        <f aca="false">IF($A63="","",C63*Settings!$B$11)</f>
        <v/>
      </c>
      <c r="I63" s="20" t="str">
        <f aca="false">IF($A63="","",IF(N(H63)=0,"",RANK(H63,$H$5:$H$2004)))</f>
        <v/>
      </c>
      <c r="J63" s="21" t="str">
        <f aca="false">IF($A63="","",IF(B63=0,"No COD orders",IF(B63&lt;Settings!$B$8,"Too few orders",IF(D63&gt;=Settings!$B$9,"Restrict COD or verify","Keep COD"))))</f>
        <v/>
      </c>
    </row>
    <row r="64" customFormat="false" ht="15" hidden="false" customHeight="false" outlineLevel="0" collapsed="false">
      <c r="A64" s="27"/>
      <c r="B64" s="17" t="str">
        <f aca="false">IF($A64="","",COUNTIFS(Orders!$C$2:$C$20001,$A64,Orders!$E$2:$E$20001,"COD",Orders!$F$2:$F$20001,"Delivered")+COUNTIFS(Orders!$C$2:$C$20001,$A64,Orders!$E$2:$E$20001,"COD",Orders!$F$2:$F$20001,"RTO"))</f>
        <v/>
      </c>
      <c r="C64" s="17" t="str">
        <f aca="false">IF($A64="","",COUNTIFS(Orders!$C$2:$C$20001,$A64,Orders!$E$2:$E$20001,"COD",Orders!$F$2:$F$20001,"RTO"))</f>
        <v/>
      </c>
      <c r="D64" s="18" t="str">
        <f aca="false">IF($A64="","",IFERROR(C64/B64,0))</f>
        <v/>
      </c>
      <c r="E64" s="17" t="str">
        <f aca="false">IF($A64="","",COUNTIFS(Orders!$C$2:$C$20001,$A64,Orders!$E$2:$E$20001,"Prepaid",Orders!$F$2:$F$20001,"Delivered")+COUNTIFS(Orders!$C$2:$C$20001,$A64,Orders!$E$2:$E$20001,"Prepaid",Orders!$F$2:$F$20001,"RTO"))</f>
        <v/>
      </c>
      <c r="F64" s="17" t="str">
        <f aca="false">IF($A64="","",COUNTIFS(Orders!$C$2:$C$20001,$A64,Orders!$E$2:$E$20001,"Prepaid",Orders!$F$2:$F$20001,"RTO"))</f>
        <v/>
      </c>
      <c r="G64" s="18" t="str">
        <f aca="false">IF($A64="","",IFERROR(F64/E64,0))</f>
        <v/>
      </c>
      <c r="H64" s="19" t="str">
        <f aca="false">IF($A64="","",C64*Settings!$B$11)</f>
        <v/>
      </c>
      <c r="I64" s="20" t="str">
        <f aca="false">IF($A64="","",IF(N(H64)=0,"",RANK(H64,$H$5:$H$2004)))</f>
        <v/>
      </c>
      <c r="J64" s="21" t="str">
        <f aca="false">IF($A64="","",IF(B64=0,"No COD orders",IF(B64&lt;Settings!$B$8,"Too few orders",IF(D64&gt;=Settings!$B$9,"Restrict COD or verify","Keep COD"))))</f>
        <v/>
      </c>
    </row>
    <row r="65" customFormat="false" ht="15" hidden="false" customHeight="false" outlineLevel="0" collapsed="false">
      <c r="A65" s="27"/>
      <c r="B65" s="17" t="str">
        <f aca="false">IF($A65="","",COUNTIFS(Orders!$C$2:$C$20001,$A65,Orders!$E$2:$E$20001,"COD",Orders!$F$2:$F$20001,"Delivered")+COUNTIFS(Orders!$C$2:$C$20001,$A65,Orders!$E$2:$E$20001,"COD",Orders!$F$2:$F$20001,"RTO"))</f>
        <v/>
      </c>
      <c r="C65" s="17" t="str">
        <f aca="false">IF($A65="","",COUNTIFS(Orders!$C$2:$C$20001,$A65,Orders!$E$2:$E$20001,"COD",Orders!$F$2:$F$20001,"RTO"))</f>
        <v/>
      </c>
      <c r="D65" s="18" t="str">
        <f aca="false">IF($A65="","",IFERROR(C65/B65,0))</f>
        <v/>
      </c>
      <c r="E65" s="17" t="str">
        <f aca="false">IF($A65="","",COUNTIFS(Orders!$C$2:$C$20001,$A65,Orders!$E$2:$E$20001,"Prepaid",Orders!$F$2:$F$20001,"Delivered")+COUNTIFS(Orders!$C$2:$C$20001,$A65,Orders!$E$2:$E$20001,"Prepaid",Orders!$F$2:$F$20001,"RTO"))</f>
        <v/>
      </c>
      <c r="F65" s="17" t="str">
        <f aca="false">IF($A65="","",COUNTIFS(Orders!$C$2:$C$20001,$A65,Orders!$E$2:$E$20001,"Prepaid",Orders!$F$2:$F$20001,"RTO"))</f>
        <v/>
      </c>
      <c r="G65" s="18" t="str">
        <f aca="false">IF($A65="","",IFERROR(F65/E65,0))</f>
        <v/>
      </c>
      <c r="H65" s="19" t="str">
        <f aca="false">IF($A65="","",C65*Settings!$B$11)</f>
        <v/>
      </c>
      <c r="I65" s="20" t="str">
        <f aca="false">IF($A65="","",IF(N(H65)=0,"",RANK(H65,$H$5:$H$2004)))</f>
        <v/>
      </c>
      <c r="J65" s="21" t="str">
        <f aca="false">IF($A65="","",IF(B65=0,"No COD orders",IF(B65&lt;Settings!$B$8,"Too few orders",IF(D65&gt;=Settings!$B$9,"Restrict COD or verify","Keep COD"))))</f>
        <v/>
      </c>
    </row>
    <row r="66" customFormat="false" ht="15" hidden="false" customHeight="false" outlineLevel="0" collapsed="false">
      <c r="A66" s="27"/>
      <c r="B66" s="17" t="str">
        <f aca="false">IF($A66="","",COUNTIFS(Orders!$C$2:$C$20001,$A66,Orders!$E$2:$E$20001,"COD",Orders!$F$2:$F$20001,"Delivered")+COUNTIFS(Orders!$C$2:$C$20001,$A66,Orders!$E$2:$E$20001,"COD",Orders!$F$2:$F$20001,"RTO"))</f>
        <v/>
      </c>
      <c r="C66" s="17" t="str">
        <f aca="false">IF($A66="","",COUNTIFS(Orders!$C$2:$C$20001,$A66,Orders!$E$2:$E$20001,"COD",Orders!$F$2:$F$20001,"RTO"))</f>
        <v/>
      </c>
      <c r="D66" s="18" t="str">
        <f aca="false">IF($A66="","",IFERROR(C66/B66,0))</f>
        <v/>
      </c>
      <c r="E66" s="17" t="str">
        <f aca="false">IF($A66="","",COUNTIFS(Orders!$C$2:$C$20001,$A66,Orders!$E$2:$E$20001,"Prepaid",Orders!$F$2:$F$20001,"Delivered")+COUNTIFS(Orders!$C$2:$C$20001,$A66,Orders!$E$2:$E$20001,"Prepaid",Orders!$F$2:$F$20001,"RTO"))</f>
        <v/>
      </c>
      <c r="F66" s="17" t="str">
        <f aca="false">IF($A66="","",COUNTIFS(Orders!$C$2:$C$20001,$A66,Orders!$E$2:$E$20001,"Prepaid",Orders!$F$2:$F$20001,"RTO"))</f>
        <v/>
      </c>
      <c r="G66" s="18" t="str">
        <f aca="false">IF($A66="","",IFERROR(F66/E66,0))</f>
        <v/>
      </c>
      <c r="H66" s="19" t="str">
        <f aca="false">IF($A66="","",C66*Settings!$B$11)</f>
        <v/>
      </c>
      <c r="I66" s="20" t="str">
        <f aca="false">IF($A66="","",IF(N(H66)=0,"",RANK(H66,$H$5:$H$2004)))</f>
        <v/>
      </c>
      <c r="J66" s="21" t="str">
        <f aca="false">IF($A66="","",IF(B66=0,"No COD orders",IF(B66&lt;Settings!$B$8,"Too few orders",IF(D66&gt;=Settings!$B$9,"Restrict COD or verify","Keep COD"))))</f>
        <v/>
      </c>
    </row>
    <row r="67" customFormat="false" ht="15" hidden="false" customHeight="false" outlineLevel="0" collapsed="false">
      <c r="A67" s="27"/>
      <c r="B67" s="17" t="str">
        <f aca="false">IF($A67="","",COUNTIFS(Orders!$C$2:$C$20001,$A67,Orders!$E$2:$E$20001,"COD",Orders!$F$2:$F$20001,"Delivered")+COUNTIFS(Orders!$C$2:$C$20001,$A67,Orders!$E$2:$E$20001,"COD",Orders!$F$2:$F$20001,"RTO"))</f>
        <v/>
      </c>
      <c r="C67" s="17" t="str">
        <f aca="false">IF($A67="","",COUNTIFS(Orders!$C$2:$C$20001,$A67,Orders!$E$2:$E$20001,"COD",Orders!$F$2:$F$20001,"RTO"))</f>
        <v/>
      </c>
      <c r="D67" s="18" t="str">
        <f aca="false">IF($A67="","",IFERROR(C67/B67,0))</f>
        <v/>
      </c>
      <c r="E67" s="17" t="str">
        <f aca="false">IF($A67="","",COUNTIFS(Orders!$C$2:$C$20001,$A67,Orders!$E$2:$E$20001,"Prepaid",Orders!$F$2:$F$20001,"Delivered")+COUNTIFS(Orders!$C$2:$C$20001,$A67,Orders!$E$2:$E$20001,"Prepaid",Orders!$F$2:$F$20001,"RTO"))</f>
        <v/>
      </c>
      <c r="F67" s="17" t="str">
        <f aca="false">IF($A67="","",COUNTIFS(Orders!$C$2:$C$20001,$A67,Orders!$E$2:$E$20001,"Prepaid",Orders!$F$2:$F$20001,"RTO"))</f>
        <v/>
      </c>
      <c r="G67" s="18" t="str">
        <f aca="false">IF($A67="","",IFERROR(F67/E67,0))</f>
        <v/>
      </c>
      <c r="H67" s="19" t="str">
        <f aca="false">IF($A67="","",C67*Settings!$B$11)</f>
        <v/>
      </c>
      <c r="I67" s="20" t="str">
        <f aca="false">IF($A67="","",IF(N(H67)=0,"",RANK(H67,$H$5:$H$2004)))</f>
        <v/>
      </c>
      <c r="J67" s="21" t="str">
        <f aca="false">IF($A67="","",IF(B67=0,"No COD orders",IF(B67&lt;Settings!$B$8,"Too few orders",IF(D67&gt;=Settings!$B$9,"Restrict COD or verify","Keep COD"))))</f>
        <v/>
      </c>
    </row>
    <row r="68" customFormat="false" ht="15" hidden="false" customHeight="false" outlineLevel="0" collapsed="false">
      <c r="A68" s="27"/>
      <c r="B68" s="17" t="str">
        <f aca="false">IF($A68="","",COUNTIFS(Orders!$C$2:$C$20001,$A68,Orders!$E$2:$E$20001,"COD",Orders!$F$2:$F$20001,"Delivered")+COUNTIFS(Orders!$C$2:$C$20001,$A68,Orders!$E$2:$E$20001,"COD",Orders!$F$2:$F$20001,"RTO"))</f>
        <v/>
      </c>
      <c r="C68" s="17" t="str">
        <f aca="false">IF($A68="","",COUNTIFS(Orders!$C$2:$C$20001,$A68,Orders!$E$2:$E$20001,"COD",Orders!$F$2:$F$20001,"RTO"))</f>
        <v/>
      </c>
      <c r="D68" s="18" t="str">
        <f aca="false">IF($A68="","",IFERROR(C68/B68,0))</f>
        <v/>
      </c>
      <c r="E68" s="17" t="str">
        <f aca="false">IF($A68="","",COUNTIFS(Orders!$C$2:$C$20001,$A68,Orders!$E$2:$E$20001,"Prepaid",Orders!$F$2:$F$20001,"Delivered")+COUNTIFS(Orders!$C$2:$C$20001,$A68,Orders!$E$2:$E$20001,"Prepaid",Orders!$F$2:$F$20001,"RTO"))</f>
        <v/>
      </c>
      <c r="F68" s="17" t="str">
        <f aca="false">IF($A68="","",COUNTIFS(Orders!$C$2:$C$20001,$A68,Orders!$E$2:$E$20001,"Prepaid",Orders!$F$2:$F$20001,"RTO"))</f>
        <v/>
      </c>
      <c r="G68" s="18" t="str">
        <f aca="false">IF($A68="","",IFERROR(F68/E68,0))</f>
        <v/>
      </c>
      <c r="H68" s="19" t="str">
        <f aca="false">IF($A68="","",C68*Settings!$B$11)</f>
        <v/>
      </c>
      <c r="I68" s="20" t="str">
        <f aca="false">IF($A68="","",IF(N(H68)=0,"",RANK(H68,$H$5:$H$2004)))</f>
        <v/>
      </c>
      <c r="J68" s="21" t="str">
        <f aca="false">IF($A68="","",IF(B68=0,"No COD orders",IF(B68&lt;Settings!$B$8,"Too few orders",IF(D68&gt;=Settings!$B$9,"Restrict COD or verify","Keep COD"))))</f>
        <v/>
      </c>
    </row>
    <row r="69" customFormat="false" ht="15" hidden="false" customHeight="false" outlineLevel="0" collapsed="false">
      <c r="A69" s="27"/>
      <c r="B69" s="17" t="str">
        <f aca="false">IF($A69="","",COUNTIFS(Orders!$C$2:$C$20001,$A69,Orders!$E$2:$E$20001,"COD",Orders!$F$2:$F$20001,"Delivered")+COUNTIFS(Orders!$C$2:$C$20001,$A69,Orders!$E$2:$E$20001,"COD",Orders!$F$2:$F$20001,"RTO"))</f>
        <v/>
      </c>
      <c r="C69" s="17" t="str">
        <f aca="false">IF($A69="","",COUNTIFS(Orders!$C$2:$C$20001,$A69,Orders!$E$2:$E$20001,"COD",Orders!$F$2:$F$20001,"RTO"))</f>
        <v/>
      </c>
      <c r="D69" s="18" t="str">
        <f aca="false">IF($A69="","",IFERROR(C69/B69,0))</f>
        <v/>
      </c>
      <c r="E69" s="17" t="str">
        <f aca="false">IF($A69="","",COUNTIFS(Orders!$C$2:$C$20001,$A69,Orders!$E$2:$E$20001,"Prepaid",Orders!$F$2:$F$20001,"Delivered")+COUNTIFS(Orders!$C$2:$C$20001,$A69,Orders!$E$2:$E$20001,"Prepaid",Orders!$F$2:$F$20001,"RTO"))</f>
        <v/>
      </c>
      <c r="F69" s="17" t="str">
        <f aca="false">IF($A69="","",COUNTIFS(Orders!$C$2:$C$20001,$A69,Orders!$E$2:$E$20001,"Prepaid",Orders!$F$2:$F$20001,"RTO"))</f>
        <v/>
      </c>
      <c r="G69" s="18" t="str">
        <f aca="false">IF($A69="","",IFERROR(F69/E69,0))</f>
        <v/>
      </c>
      <c r="H69" s="19" t="str">
        <f aca="false">IF($A69="","",C69*Settings!$B$11)</f>
        <v/>
      </c>
      <c r="I69" s="20" t="str">
        <f aca="false">IF($A69="","",IF(N(H69)=0,"",RANK(H69,$H$5:$H$2004)))</f>
        <v/>
      </c>
      <c r="J69" s="21" t="str">
        <f aca="false">IF($A69="","",IF(B69=0,"No COD orders",IF(B69&lt;Settings!$B$8,"Too few orders",IF(D69&gt;=Settings!$B$9,"Restrict COD or verify","Keep COD"))))</f>
        <v/>
      </c>
    </row>
    <row r="70" customFormat="false" ht="15" hidden="false" customHeight="false" outlineLevel="0" collapsed="false">
      <c r="A70" s="27"/>
      <c r="B70" s="17" t="str">
        <f aca="false">IF($A70="","",COUNTIFS(Orders!$C$2:$C$20001,$A70,Orders!$E$2:$E$20001,"COD",Orders!$F$2:$F$20001,"Delivered")+COUNTIFS(Orders!$C$2:$C$20001,$A70,Orders!$E$2:$E$20001,"COD",Orders!$F$2:$F$20001,"RTO"))</f>
        <v/>
      </c>
      <c r="C70" s="17" t="str">
        <f aca="false">IF($A70="","",COUNTIFS(Orders!$C$2:$C$20001,$A70,Orders!$E$2:$E$20001,"COD",Orders!$F$2:$F$20001,"RTO"))</f>
        <v/>
      </c>
      <c r="D70" s="18" t="str">
        <f aca="false">IF($A70="","",IFERROR(C70/B70,0))</f>
        <v/>
      </c>
      <c r="E70" s="17" t="str">
        <f aca="false">IF($A70="","",COUNTIFS(Orders!$C$2:$C$20001,$A70,Orders!$E$2:$E$20001,"Prepaid",Orders!$F$2:$F$20001,"Delivered")+COUNTIFS(Orders!$C$2:$C$20001,$A70,Orders!$E$2:$E$20001,"Prepaid",Orders!$F$2:$F$20001,"RTO"))</f>
        <v/>
      </c>
      <c r="F70" s="17" t="str">
        <f aca="false">IF($A70="","",COUNTIFS(Orders!$C$2:$C$20001,$A70,Orders!$E$2:$E$20001,"Prepaid",Orders!$F$2:$F$20001,"RTO"))</f>
        <v/>
      </c>
      <c r="G70" s="18" t="str">
        <f aca="false">IF($A70="","",IFERROR(F70/E70,0))</f>
        <v/>
      </c>
      <c r="H70" s="19" t="str">
        <f aca="false">IF($A70="","",C70*Settings!$B$11)</f>
        <v/>
      </c>
      <c r="I70" s="20" t="str">
        <f aca="false">IF($A70="","",IF(N(H70)=0,"",RANK(H70,$H$5:$H$2004)))</f>
        <v/>
      </c>
      <c r="J70" s="21" t="str">
        <f aca="false">IF($A70="","",IF(B70=0,"No COD orders",IF(B70&lt;Settings!$B$8,"Too few orders",IF(D70&gt;=Settings!$B$9,"Restrict COD or verify","Keep COD"))))</f>
        <v/>
      </c>
    </row>
    <row r="71" customFormat="false" ht="15" hidden="false" customHeight="false" outlineLevel="0" collapsed="false">
      <c r="A71" s="27"/>
      <c r="B71" s="17" t="str">
        <f aca="false">IF($A71="","",COUNTIFS(Orders!$C$2:$C$20001,$A71,Orders!$E$2:$E$20001,"COD",Orders!$F$2:$F$20001,"Delivered")+COUNTIFS(Orders!$C$2:$C$20001,$A71,Orders!$E$2:$E$20001,"COD",Orders!$F$2:$F$20001,"RTO"))</f>
        <v/>
      </c>
      <c r="C71" s="17" t="str">
        <f aca="false">IF($A71="","",COUNTIFS(Orders!$C$2:$C$20001,$A71,Orders!$E$2:$E$20001,"COD",Orders!$F$2:$F$20001,"RTO"))</f>
        <v/>
      </c>
      <c r="D71" s="18" t="str">
        <f aca="false">IF($A71="","",IFERROR(C71/B71,0))</f>
        <v/>
      </c>
      <c r="E71" s="17" t="str">
        <f aca="false">IF($A71="","",COUNTIFS(Orders!$C$2:$C$20001,$A71,Orders!$E$2:$E$20001,"Prepaid",Orders!$F$2:$F$20001,"Delivered")+COUNTIFS(Orders!$C$2:$C$20001,$A71,Orders!$E$2:$E$20001,"Prepaid",Orders!$F$2:$F$20001,"RTO"))</f>
        <v/>
      </c>
      <c r="F71" s="17" t="str">
        <f aca="false">IF($A71="","",COUNTIFS(Orders!$C$2:$C$20001,$A71,Orders!$E$2:$E$20001,"Prepaid",Orders!$F$2:$F$20001,"RTO"))</f>
        <v/>
      </c>
      <c r="G71" s="18" t="str">
        <f aca="false">IF($A71="","",IFERROR(F71/E71,0))</f>
        <v/>
      </c>
      <c r="H71" s="19" t="str">
        <f aca="false">IF($A71="","",C71*Settings!$B$11)</f>
        <v/>
      </c>
      <c r="I71" s="20" t="str">
        <f aca="false">IF($A71="","",IF(N(H71)=0,"",RANK(H71,$H$5:$H$2004)))</f>
        <v/>
      </c>
      <c r="J71" s="21" t="str">
        <f aca="false">IF($A71="","",IF(B71=0,"No COD orders",IF(B71&lt;Settings!$B$8,"Too few orders",IF(D71&gt;=Settings!$B$9,"Restrict COD or verify","Keep COD"))))</f>
        <v/>
      </c>
    </row>
    <row r="72" customFormat="false" ht="15" hidden="false" customHeight="false" outlineLevel="0" collapsed="false">
      <c r="A72" s="27"/>
      <c r="B72" s="17" t="str">
        <f aca="false">IF($A72="","",COUNTIFS(Orders!$C$2:$C$20001,$A72,Orders!$E$2:$E$20001,"COD",Orders!$F$2:$F$20001,"Delivered")+COUNTIFS(Orders!$C$2:$C$20001,$A72,Orders!$E$2:$E$20001,"COD",Orders!$F$2:$F$20001,"RTO"))</f>
        <v/>
      </c>
      <c r="C72" s="17" t="str">
        <f aca="false">IF($A72="","",COUNTIFS(Orders!$C$2:$C$20001,$A72,Orders!$E$2:$E$20001,"COD",Orders!$F$2:$F$20001,"RTO"))</f>
        <v/>
      </c>
      <c r="D72" s="18" t="str">
        <f aca="false">IF($A72="","",IFERROR(C72/B72,0))</f>
        <v/>
      </c>
      <c r="E72" s="17" t="str">
        <f aca="false">IF($A72="","",COUNTIFS(Orders!$C$2:$C$20001,$A72,Orders!$E$2:$E$20001,"Prepaid",Orders!$F$2:$F$20001,"Delivered")+COUNTIFS(Orders!$C$2:$C$20001,$A72,Orders!$E$2:$E$20001,"Prepaid",Orders!$F$2:$F$20001,"RTO"))</f>
        <v/>
      </c>
      <c r="F72" s="17" t="str">
        <f aca="false">IF($A72="","",COUNTIFS(Orders!$C$2:$C$20001,$A72,Orders!$E$2:$E$20001,"Prepaid",Orders!$F$2:$F$20001,"RTO"))</f>
        <v/>
      </c>
      <c r="G72" s="18" t="str">
        <f aca="false">IF($A72="","",IFERROR(F72/E72,0))</f>
        <v/>
      </c>
      <c r="H72" s="19" t="str">
        <f aca="false">IF($A72="","",C72*Settings!$B$11)</f>
        <v/>
      </c>
      <c r="I72" s="20" t="str">
        <f aca="false">IF($A72="","",IF(N(H72)=0,"",RANK(H72,$H$5:$H$2004)))</f>
        <v/>
      </c>
      <c r="J72" s="21" t="str">
        <f aca="false">IF($A72="","",IF(B72=0,"No COD orders",IF(B72&lt;Settings!$B$8,"Too few orders",IF(D72&gt;=Settings!$B$9,"Restrict COD or verify","Keep COD"))))</f>
        <v/>
      </c>
    </row>
    <row r="73" customFormat="false" ht="15" hidden="false" customHeight="false" outlineLevel="0" collapsed="false">
      <c r="A73" s="27"/>
      <c r="B73" s="17" t="str">
        <f aca="false">IF($A73="","",COUNTIFS(Orders!$C$2:$C$20001,$A73,Orders!$E$2:$E$20001,"COD",Orders!$F$2:$F$20001,"Delivered")+COUNTIFS(Orders!$C$2:$C$20001,$A73,Orders!$E$2:$E$20001,"COD",Orders!$F$2:$F$20001,"RTO"))</f>
        <v/>
      </c>
      <c r="C73" s="17" t="str">
        <f aca="false">IF($A73="","",COUNTIFS(Orders!$C$2:$C$20001,$A73,Orders!$E$2:$E$20001,"COD",Orders!$F$2:$F$20001,"RTO"))</f>
        <v/>
      </c>
      <c r="D73" s="18" t="str">
        <f aca="false">IF($A73="","",IFERROR(C73/B73,0))</f>
        <v/>
      </c>
      <c r="E73" s="17" t="str">
        <f aca="false">IF($A73="","",COUNTIFS(Orders!$C$2:$C$20001,$A73,Orders!$E$2:$E$20001,"Prepaid",Orders!$F$2:$F$20001,"Delivered")+COUNTIFS(Orders!$C$2:$C$20001,$A73,Orders!$E$2:$E$20001,"Prepaid",Orders!$F$2:$F$20001,"RTO"))</f>
        <v/>
      </c>
      <c r="F73" s="17" t="str">
        <f aca="false">IF($A73="","",COUNTIFS(Orders!$C$2:$C$20001,$A73,Orders!$E$2:$E$20001,"Prepaid",Orders!$F$2:$F$20001,"RTO"))</f>
        <v/>
      </c>
      <c r="G73" s="18" t="str">
        <f aca="false">IF($A73="","",IFERROR(F73/E73,0))</f>
        <v/>
      </c>
      <c r="H73" s="19" t="str">
        <f aca="false">IF($A73="","",C73*Settings!$B$11)</f>
        <v/>
      </c>
      <c r="I73" s="20" t="str">
        <f aca="false">IF($A73="","",IF(N(H73)=0,"",RANK(H73,$H$5:$H$2004)))</f>
        <v/>
      </c>
      <c r="J73" s="21" t="str">
        <f aca="false">IF($A73="","",IF(B73=0,"No COD orders",IF(B73&lt;Settings!$B$8,"Too few orders",IF(D73&gt;=Settings!$B$9,"Restrict COD or verify","Keep COD"))))</f>
        <v/>
      </c>
    </row>
    <row r="74" customFormat="false" ht="15" hidden="false" customHeight="false" outlineLevel="0" collapsed="false">
      <c r="A74" s="27"/>
      <c r="B74" s="17" t="str">
        <f aca="false">IF($A74="","",COUNTIFS(Orders!$C$2:$C$20001,$A74,Orders!$E$2:$E$20001,"COD",Orders!$F$2:$F$20001,"Delivered")+COUNTIFS(Orders!$C$2:$C$20001,$A74,Orders!$E$2:$E$20001,"COD",Orders!$F$2:$F$20001,"RTO"))</f>
        <v/>
      </c>
      <c r="C74" s="17" t="str">
        <f aca="false">IF($A74="","",COUNTIFS(Orders!$C$2:$C$20001,$A74,Orders!$E$2:$E$20001,"COD",Orders!$F$2:$F$20001,"RTO"))</f>
        <v/>
      </c>
      <c r="D74" s="18" t="str">
        <f aca="false">IF($A74="","",IFERROR(C74/B74,0))</f>
        <v/>
      </c>
      <c r="E74" s="17" t="str">
        <f aca="false">IF($A74="","",COUNTIFS(Orders!$C$2:$C$20001,$A74,Orders!$E$2:$E$20001,"Prepaid",Orders!$F$2:$F$20001,"Delivered")+COUNTIFS(Orders!$C$2:$C$20001,$A74,Orders!$E$2:$E$20001,"Prepaid",Orders!$F$2:$F$20001,"RTO"))</f>
        <v/>
      </c>
      <c r="F74" s="17" t="str">
        <f aca="false">IF($A74="","",COUNTIFS(Orders!$C$2:$C$20001,$A74,Orders!$E$2:$E$20001,"Prepaid",Orders!$F$2:$F$20001,"RTO"))</f>
        <v/>
      </c>
      <c r="G74" s="18" t="str">
        <f aca="false">IF($A74="","",IFERROR(F74/E74,0))</f>
        <v/>
      </c>
      <c r="H74" s="19" t="str">
        <f aca="false">IF($A74="","",C74*Settings!$B$11)</f>
        <v/>
      </c>
      <c r="I74" s="20" t="str">
        <f aca="false">IF($A74="","",IF(N(H74)=0,"",RANK(H74,$H$5:$H$2004)))</f>
        <v/>
      </c>
      <c r="J74" s="21" t="str">
        <f aca="false">IF($A74="","",IF(B74=0,"No COD orders",IF(B74&lt;Settings!$B$8,"Too few orders",IF(D74&gt;=Settings!$B$9,"Restrict COD or verify","Keep COD"))))</f>
        <v/>
      </c>
    </row>
    <row r="75" customFormat="false" ht="15" hidden="false" customHeight="false" outlineLevel="0" collapsed="false">
      <c r="A75" s="27"/>
      <c r="B75" s="17" t="str">
        <f aca="false">IF($A75="","",COUNTIFS(Orders!$C$2:$C$20001,$A75,Orders!$E$2:$E$20001,"COD",Orders!$F$2:$F$20001,"Delivered")+COUNTIFS(Orders!$C$2:$C$20001,$A75,Orders!$E$2:$E$20001,"COD",Orders!$F$2:$F$20001,"RTO"))</f>
        <v/>
      </c>
      <c r="C75" s="17" t="str">
        <f aca="false">IF($A75="","",COUNTIFS(Orders!$C$2:$C$20001,$A75,Orders!$E$2:$E$20001,"COD",Orders!$F$2:$F$20001,"RTO"))</f>
        <v/>
      </c>
      <c r="D75" s="18" t="str">
        <f aca="false">IF($A75="","",IFERROR(C75/B75,0))</f>
        <v/>
      </c>
      <c r="E75" s="17" t="str">
        <f aca="false">IF($A75="","",COUNTIFS(Orders!$C$2:$C$20001,$A75,Orders!$E$2:$E$20001,"Prepaid",Orders!$F$2:$F$20001,"Delivered")+COUNTIFS(Orders!$C$2:$C$20001,$A75,Orders!$E$2:$E$20001,"Prepaid",Orders!$F$2:$F$20001,"RTO"))</f>
        <v/>
      </c>
      <c r="F75" s="17" t="str">
        <f aca="false">IF($A75="","",COUNTIFS(Orders!$C$2:$C$20001,$A75,Orders!$E$2:$E$20001,"Prepaid",Orders!$F$2:$F$20001,"RTO"))</f>
        <v/>
      </c>
      <c r="G75" s="18" t="str">
        <f aca="false">IF($A75="","",IFERROR(F75/E75,0))</f>
        <v/>
      </c>
      <c r="H75" s="19" t="str">
        <f aca="false">IF($A75="","",C75*Settings!$B$11)</f>
        <v/>
      </c>
      <c r="I75" s="20" t="str">
        <f aca="false">IF($A75="","",IF(N(H75)=0,"",RANK(H75,$H$5:$H$2004)))</f>
        <v/>
      </c>
      <c r="J75" s="21" t="str">
        <f aca="false">IF($A75="","",IF(B75=0,"No COD orders",IF(B75&lt;Settings!$B$8,"Too few orders",IF(D75&gt;=Settings!$B$9,"Restrict COD or verify","Keep COD"))))</f>
        <v/>
      </c>
    </row>
    <row r="76" customFormat="false" ht="15" hidden="false" customHeight="false" outlineLevel="0" collapsed="false">
      <c r="A76" s="27"/>
      <c r="B76" s="17" t="str">
        <f aca="false">IF($A76="","",COUNTIFS(Orders!$C$2:$C$20001,$A76,Orders!$E$2:$E$20001,"COD",Orders!$F$2:$F$20001,"Delivered")+COUNTIFS(Orders!$C$2:$C$20001,$A76,Orders!$E$2:$E$20001,"COD",Orders!$F$2:$F$20001,"RTO"))</f>
        <v/>
      </c>
      <c r="C76" s="17" t="str">
        <f aca="false">IF($A76="","",COUNTIFS(Orders!$C$2:$C$20001,$A76,Orders!$E$2:$E$20001,"COD",Orders!$F$2:$F$20001,"RTO"))</f>
        <v/>
      </c>
      <c r="D76" s="18" t="str">
        <f aca="false">IF($A76="","",IFERROR(C76/B76,0))</f>
        <v/>
      </c>
      <c r="E76" s="17" t="str">
        <f aca="false">IF($A76="","",COUNTIFS(Orders!$C$2:$C$20001,$A76,Orders!$E$2:$E$20001,"Prepaid",Orders!$F$2:$F$20001,"Delivered")+COUNTIFS(Orders!$C$2:$C$20001,$A76,Orders!$E$2:$E$20001,"Prepaid",Orders!$F$2:$F$20001,"RTO"))</f>
        <v/>
      </c>
      <c r="F76" s="17" t="str">
        <f aca="false">IF($A76="","",COUNTIFS(Orders!$C$2:$C$20001,$A76,Orders!$E$2:$E$20001,"Prepaid",Orders!$F$2:$F$20001,"RTO"))</f>
        <v/>
      </c>
      <c r="G76" s="18" t="str">
        <f aca="false">IF($A76="","",IFERROR(F76/E76,0))</f>
        <v/>
      </c>
      <c r="H76" s="19" t="str">
        <f aca="false">IF($A76="","",C76*Settings!$B$11)</f>
        <v/>
      </c>
      <c r="I76" s="20" t="str">
        <f aca="false">IF($A76="","",IF(N(H76)=0,"",RANK(H76,$H$5:$H$2004)))</f>
        <v/>
      </c>
      <c r="J76" s="21" t="str">
        <f aca="false">IF($A76="","",IF(B76=0,"No COD orders",IF(B76&lt;Settings!$B$8,"Too few orders",IF(D76&gt;=Settings!$B$9,"Restrict COD or verify","Keep COD"))))</f>
        <v/>
      </c>
    </row>
    <row r="77" customFormat="false" ht="15" hidden="false" customHeight="false" outlineLevel="0" collapsed="false">
      <c r="A77" s="27"/>
      <c r="B77" s="17" t="str">
        <f aca="false">IF($A77="","",COUNTIFS(Orders!$C$2:$C$20001,$A77,Orders!$E$2:$E$20001,"COD",Orders!$F$2:$F$20001,"Delivered")+COUNTIFS(Orders!$C$2:$C$20001,$A77,Orders!$E$2:$E$20001,"COD",Orders!$F$2:$F$20001,"RTO"))</f>
        <v/>
      </c>
      <c r="C77" s="17" t="str">
        <f aca="false">IF($A77="","",COUNTIFS(Orders!$C$2:$C$20001,$A77,Orders!$E$2:$E$20001,"COD",Orders!$F$2:$F$20001,"RTO"))</f>
        <v/>
      </c>
      <c r="D77" s="18" t="str">
        <f aca="false">IF($A77="","",IFERROR(C77/B77,0))</f>
        <v/>
      </c>
      <c r="E77" s="17" t="str">
        <f aca="false">IF($A77="","",COUNTIFS(Orders!$C$2:$C$20001,$A77,Orders!$E$2:$E$20001,"Prepaid",Orders!$F$2:$F$20001,"Delivered")+COUNTIFS(Orders!$C$2:$C$20001,$A77,Orders!$E$2:$E$20001,"Prepaid",Orders!$F$2:$F$20001,"RTO"))</f>
        <v/>
      </c>
      <c r="F77" s="17" t="str">
        <f aca="false">IF($A77="","",COUNTIFS(Orders!$C$2:$C$20001,$A77,Orders!$E$2:$E$20001,"Prepaid",Orders!$F$2:$F$20001,"RTO"))</f>
        <v/>
      </c>
      <c r="G77" s="18" t="str">
        <f aca="false">IF($A77="","",IFERROR(F77/E77,0))</f>
        <v/>
      </c>
      <c r="H77" s="19" t="str">
        <f aca="false">IF($A77="","",C77*Settings!$B$11)</f>
        <v/>
      </c>
      <c r="I77" s="20" t="str">
        <f aca="false">IF($A77="","",IF(N(H77)=0,"",RANK(H77,$H$5:$H$2004)))</f>
        <v/>
      </c>
      <c r="J77" s="21" t="str">
        <f aca="false">IF($A77="","",IF(B77=0,"No COD orders",IF(B77&lt;Settings!$B$8,"Too few orders",IF(D77&gt;=Settings!$B$9,"Restrict COD or verify","Keep COD"))))</f>
        <v/>
      </c>
    </row>
    <row r="78" customFormat="false" ht="15" hidden="false" customHeight="false" outlineLevel="0" collapsed="false">
      <c r="A78" s="27"/>
      <c r="B78" s="17" t="str">
        <f aca="false">IF($A78="","",COUNTIFS(Orders!$C$2:$C$20001,$A78,Orders!$E$2:$E$20001,"COD",Orders!$F$2:$F$20001,"Delivered")+COUNTIFS(Orders!$C$2:$C$20001,$A78,Orders!$E$2:$E$20001,"COD",Orders!$F$2:$F$20001,"RTO"))</f>
        <v/>
      </c>
      <c r="C78" s="17" t="str">
        <f aca="false">IF($A78="","",COUNTIFS(Orders!$C$2:$C$20001,$A78,Orders!$E$2:$E$20001,"COD",Orders!$F$2:$F$20001,"RTO"))</f>
        <v/>
      </c>
      <c r="D78" s="18" t="str">
        <f aca="false">IF($A78="","",IFERROR(C78/B78,0))</f>
        <v/>
      </c>
      <c r="E78" s="17" t="str">
        <f aca="false">IF($A78="","",COUNTIFS(Orders!$C$2:$C$20001,$A78,Orders!$E$2:$E$20001,"Prepaid",Orders!$F$2:$F$20001,"Delivered")+COUNTIFS(Orders!$C$2:$C$20001,$A78,Orders!$E$2:$E$20001,"Prepaid",Orders!$F$2:$F$20001,"RTO"))</f>
        <v/>
      </c>
      <c r="F78" s="17" t="str">
        <f aca="false">IF($A78="","",COUNTIFS(Orders!$C$2:$C$20001,$A78,Orders!$E$2:$E$20001,"Prepaid",Orders!$F$2:$F$20001,"RTO"))</f>
        <v/>
      </c>
      <c r="G78" s="18" t="str">
        <f aca="false">IF($A78="","",IFERROR(F78/E78,0))</f>
        <v/>
      </c>
      <c r="H78" s="19" t="str">
        <f aca="false">IF($A78="","",C78*Settings!$B$11)</f>
        <v/>
      </c>
      <c r="I78" s="20" t="str">
        <f aca="false">IF($A78="","",IF(N(H78)=0,"",RANK(H78,$H$5:$H$2004)))</f>
        <v/>
      </c>
      <c r="J78" s="21" t="str">
        <f aca="false">IF($A78="","",IF(B78=0,"No COD orders",IF(B78&lt;Settings!$B$8,"Too few orders",IF(D78&gt;=Settings!$B$9,"Restrict COD or verify","Keep COD"))))</f>
        <v/>
      </c>
    </row>
    <row r="79" customFormat="false" ht="15" hidden="false" customHeight="false" outlineLevel="0" collapsed="false">
      <c r="A79" s="27"/>
      <c r="B79" s="17" t="str">
        <f aca="false">IF($A79="","",COUNTIFS(Orders!$C$2:$C$20001,$A79,Orders!$E$2:$E$20001,"COD",Orders!$F$2:$F$20001,"Delivered")+COUNTIFS(Orders!$C$2:$C$20001,$A79,Orders!$E$2:$E$20001,"COD",Orders!$F$2:$F$20001,"RTO"))</f>
        <v/>
      </c>
      <c r="C79" s="17" t="str">
        <f aca="false">IF($A79="","",COUNTIFS(Orders!$C$2:$C$20001,$A79,Orders!$E$2:$E$20001,"COD",Orders!$F$2:$F$20001,"RTO"))</f>
        <v/>
      </c>
      <c r="D79" s="18" t="str">
        <f aca="false">IF($A79="","",IFERROR(C79/B79,0))</f>
        <v/>
      </c>
      <c r="E79" s="17" t="str">
        <f aca="false">IF($A79="","",COUNTIFS(Orders!$C$2:$C$20001,$A79,Orders!$E$2:$E$20001,"Prepaid",Orders!$F$2:$F$20001,"Delivered")+COUNTIFS(Orders!$C$2:$C$20001,$A79,Orders!$E$2:$E$20001,"Prepaid",Orders!$F$2:$F$20001,"RTO"))</f>
        <v/>
      </c>
      <c r="F79" s="17" t="str">
        <f aca="false">IF($A79="","",COUNTIFS(Orders!$C$2:$C$20001,$A79,Orders!$E$2:$E$20001,"Prepaid",Orders!$F$2:$F$20001,"RTO"))</f>
        <v/>
      </c>
      <c r="G79" s="18" t="str">
        <f aca="false">IF($A79="","",IFERROR(F79/E79,0))</f>
        <v/>
      </c>
      <c r="H79" s="19" t="str">
        <f aca="false">IF($A79="","",C79*Settings!$B$11)</f>
        <v/>
      </c>
      <c r="I79" s="20" t="str">
        <f aca="false">IF($A79="","",IF(N(H79)=0,"",RANK(H79,$H$5:$H$2004)))</f>
        <v/>
      </c>
      <c r="J79" s="21" t="str">
        <f aca="false">IF($A79="","",IF(B79=0,"No COD orders",IF(B79&lt;Settings!$B$8,"Too few orders",IF(D79&gt;=Settings!$B$9,"Restrict COD or verify","Keep COD"))))</f>
        <v/>
      </c>
    </row>
    <row r="80" customFormat="false" ht="15" hidden="false" customHeight="false" outlineLevel="0" collapsed="false">
      <c r="A80" s="27"/>
      <c r="B80" s="17" t="str">
        <f aca="false">IF($A80="","",COUNTIFS(Orders!$C$2:$C$20001,$A80,Orders!$E$2:$E$20001,"COD",Orders!$F$2:$F$20001,"Delivered")+COUNTIFS(Orders!$C$2:$C$20001,$A80,Orders!$E$2:$E$20001,"COD",Orders!$F$2:$F$20001,"RTO"))</f>
        <v/>
      </c>
      <c r="C80" s="17" t="str">
        <f aca="false">IF($A80="","",COUNTIFS(Orders!$C$2:$C$20001,$A80,Orders!$E$2:$E$20001,"COD",Orders!$F$2:$F$20001,"RTO"))</f>
        <v/>
      </c>
      <c r="D80" s="18" t="str">
        <f aca="false">IF($A80="","",IFERROR(C80/B80,0))</f>
        <v/>
      </c>
      <c r="E80" s="17" t="str">
        <f aca="false">IF($A80="","",COUNTIFS(Orders!$C$2:$C$20001,$A80,Orders!$E$2:$E$20001,"Prepaid",Orders!$F$2:$F$20001,"Delivered")+COUNTIFS(Orders!$C$2:$C$20001,$A80,Orders!$E$2:$E$20001,"Prepaid",Orders!$F$2:$F$20001,"RTO"))</f>
        <v/>
      </c>
      <c r="F80" s="17" t="str">
        <f aca="false">IF($A80="","",COUNTIFS(Orders!$C$2:$C$20001,$A80,Orders!$E$2:$E$20001,"Prepaid",Orders!$F$2:$F$20001,"RTO"))</f>
        <v/>
      </c>
      <c r="G80" s="18" t="str">
        <f aca="false">IF($A80="","",IFERROR(F80/E80,0))</f>
        <v/>
      </c>
      <c r="H80" s="19" t="str">
        <f aca="false">IF($A80="","",C80*Settings!$B$11)</f>
        <v/>
      </c>
      <c r="I80" s="20" t="str">
        <f aca="false">IF($A80="","",IF(N(H80)=0,"",RANK(H80,$H$5:$H$2004)))</f>
        <v/>
      </c>
      <c r="J80" s="21" t="str">
        <f aca="false">IF($A80="","",IF(B80=0,"No COD orders",IF(B80&lt;Settings!$B$8,"Too few orders",IF(D80&gt;=Settings!$B$9,"Restrict COD or verify","Keep COD"))))</f>
        <v/>
      </c>
    </row>
    <row r="81" customFormat="false" ht="15" hidden="false" customHeight="false" outlineLevel="0" collapsed="false">
      <c r="A81" s="27"/>
      <c r="B81" s="17" t="str">
        <f aca="false">IF($A81="","",COUNTIFS(Orders!$C$2:$C$20001,$A81,Orders!$E$2:$E$20001,"COD",Orders!$F$2:$F$20001,"Delivered")+COUNTIFS(Orders!$C$2:$C$20001,$A81,Orders!$E$2:$E$20001,"COD",Orders!$F$2:$F$20001,"RTO"))</f>
        <v/>
      </c>
      <c r="C81" s="17" t="str">
        <f aca="false">IF($A81="","",COUNTIFS(Orders!$C$2:$C$20001,$A81,Orders!$E$2:$E$20001,"COD",Orders!$F$2:$F$20001,"RTO"))</f>
        <v/>
      </c>
      <c r="D81" s="18" t="str">
        <f aca="false">IF($A81="","",IFERROR(C81/B81,0))</f>
        <v/>
      </c>
      <c r="E81" s="17" t="str">
        <f aca="false">IF($A81="","",COUNTIFS(Orders!$C$2:$C$20001,$A81,Orders!$E$2:$E$20001,"Prepaid",Orders!$F$2:$F$20001,"Delivered")+COUNTIFS(Orders!$C$2:$C$20001,$A81,Orders!$E$2:$E$20001,"Prepaid",Orders!$F$2:$F$20001,"RTO"))</f>
        <v/>
      </c>
      <c r="F81" s="17" t="str">
        <f aca="false">IF($A81="","",COUNTIFS(Orders!$C$2:$C$20001,$A81,Orders!$E$2:$E$20001,"Prepaid",Orders!$F$2:$F$20001,"RTO"))</f>
        <v/>
      </c>
      <c r="G81" s="18" t="str">
        <f aca="false">IF($A81="","",IFERROR(F81/E81,0))</f>
        <v/>
      </c>
      <c r="H81" s="19" t="str">
        <f aca="false">IF($A81="","",C81*Settings!$B$11)</f>
        <v/>
      </c>
      <c r="I81" s="20" t="str">
        <f aca="false">IF($A81="","",IF(N(H81)=0,"",RANK(H81,$H$5:$H$2004)))</f>
        <v/>
      </c>
      <c r="J81" s="21" t="str">
        <f aca="false">IF($A81="","",IF(B81=0,"No COD orders",IF(B81&lt;Settings!$B$8,"Too few orders",IF(D81&gt;=Settings!$B$9,"Restrict COD or verify","Keep COD"))))</f>
        <v/>
      </c>
    </row>
    <row r="82" customFormat="false" ht="15" hidden="false" customHeight="false" outlineLevel="0" collapsed="false">
      <c r="A82" s="27"/>
      <c r="B82" s="17" t="str">
        <f aca="false">IF($A82="","",COUNTIFS(Orders!$C$2:$C$20001,$A82,Orders!$E$2:$E$20001,"COD",Orders!$F$2:$F$20001,"Delivered")+COUNTIFS(Orders!$C$2:$C$20001,$A82,Orders!$E$2:$E$20001,"COD",Orders!$F$2:$F$20001,"RTO"))</f>
        <v/>
      </c>
      <c r="C82" s="17" t="str">
        <f aca="false">IF($A82="","",COUNTIFS(Orders!$C$2:$C$20001,$A82,Orders!$E$2:$E$20001,"COD",Orders!$F$2:$F$20001,"RTO"))</f>
        <v/>
      </c>
      <c r="D82" s="18" t="str">
        <f aca="false">IF($A82="","",IFERROR(C82/B82,0))</f>
        <v/>
      </c>
      <c r="E82" s="17" t="str">
        <f aca="false">IF($A82="","",COUNTIFS(Orders!$C$2:$C$20001,$A82,Orders!$E$2:$E$20001,"Prepaid",Orders!$F$2:$F$20001,"Delivered")+COUNTIFS(Orders!$C$2:$C$20001,$A82,Orders!$E$2:$E$20001,"Prepaid",Orders!$F$2:$F$20001,"RTO"))</f>
        <v/>
      </c>
      <c r="F82" s="17" t="str">
        <f aca="false">IF($A82="","",COUNTIFS(Orders!$C$2:$C$20001,$A82,Orders!$E$2:$E$20001,"Prepaid",Orders!$F$2:$F$20001,"RTO"))</f>
        <v/>
      </c>
      <c r="G82" s="18" t="str">
        <f aca="false">IF($A82="","",IFERROR(F82/E82,0))</f>
        <v/>
      </c>
      <c r="H82" s="19" t="str">
        <f aca="false">IF($A82="","",C82*Settings!$B$11)</f>
        <v/>
      </c>
      <c r="I82" s="20" t="str">
        <f aca="false">IF($A82="","",IF(N(H82)=0,"",RANK(H82,$H$5:$H$2004)))</f>
        <v/>
      </c>
      <c r="J82" s="21" t="str">
        <f aca="false">IF($A82="","",IF(B82=0,"No COD orders",IF(B82&lt;Settings!$B$8,"Too few orders",IF(D82&gt;=Settings!$B$9,"Restrict COD or verify","Keep COD"))))</f>
        <v/>
      </c>
    </row>
    <row r="83" customFormat="false" ht="15" hidden="false" customHeight="false" outlineLevel="0" collapsed="false">
      <c r="A83" s="27"/>
      <c r="B83" s="17" t="str">
        <f aca="false">IF($A83="","",COUNTIFS(Orders!$C$2:$C$20001,$A83,Orders!$E$2:$E$20001,"COD",Orders!$F$2:$F$20001,"Delivered")+COUNTIFS(Orders!$C$2:$C$20001,$A83,Orders!$E$2:$E$20001,"COD",Orders!$F$2:$F$20001,"RTO"))</f>
        <v/>
      </c>
      <c r="C83" s="17" t="str">
        <f aca="false">IF($A83="","",COUNTIFS(Orders!$C$2:$C$20001,$A83,Orders!$E$2:$E$20001,"COD",Orders!$F$2:$F$20001,"RTO"))</f>
        <v/>
      </c>
      <c r="D83" s="18" t="str">
        <f aca="false">IF($A83="","",IFERROR(C83/B83,0))</f>
        <v/>
      </c>
      <c r="E83" s="17" t="str">
        <f aca="false">IF($A83="","",COUNTIFS(Orders!$C$2:$C$20001,$A83,Orders!$E$2:$E$20001,"Prepaid",Orders!$F$2:$F$20001,"Delivered")+COUNTIFS(Orders!$C$2:$C$20001,$A83,Orders!$E$2:$E$20001,"Prepaid",Orders!$F$2:$F$20001,"RTO"))</f>
        <v/>
      </c>
      <c r="F83" s="17" t="str">
        <f aca="false">IF($A83="","",COUNTIFS(Orders!$C$2:$C$20001,$A83,Orders!$E$2:$E$20001,"Prepaid",Orders!$F$2:$F$20001,"RTO"))</f>
        <v/>
      </c>
      <c r="G83" s="18" t="str">
        <f aca="false">IF($A83="","",IFERROR(F83/E83,0))</f>
        <v/>
      </c>
      <c r="H83" s="19" t="str">
        <f aca="false">IF($A83="","",C83*Settings!$B$11)</f>
        <v/>
      </c>
      <c r="I83" s="20" t="str">
        <f aca="false">IF($A83="","",IF(N(H83)=0,"",RANK(H83,$H$5:$H$2004)))</f>
        <v/>
      </c>
      <c r="J83" s="21" t="str">
        <f aca="false">IF($A83="","",IF(B83=0,"No COD orders",IF(B83&lt;Settings!$B$8,"Too few orders",IF(D83&gt;=Settings!$B$9,"Restrict COD or verify","Keep COD"))))</f>
        <v/>
      </c>
    </row>
    <row r="84" customFormat="false" ht="15" hidden="false" customHeight="false" outlineLevel="0" collapsed="false">
      <c r="A84" s="27"/>
      <c r="B84" s="17" t="str">
        <f aca="false">IF($A84="","",COUNTIFS(Orders!$C$2:$C$20001,$A84,Orders!$E$2:$E$20001,"COD",Orders!$F$2:$F$20001,"Delivered")+COUNTIFS(Orders!$C$2:$C$20001,$A84,Orders!$E$2:$E$20001,"COD",Orders!$F$2:$F$20001,"RTO"))</f>
        <v/>
      </c>
      <c r="C84" s="17" t="str">
        <f aca="false">IF($A84="","",COUNTIFS(Orders!$C$2:$C$20001,$A84,Orders!$E$2:$E$20001,"COD",Orders!$F$2:$F$20001,"RTO"))</f>
        <v/>
      </c>
      <c r="D84" s="18" t="str">
        <f aca="false">IF($A84="","",IFERROR(C84/B84,0))</f>
        <v/>
      </c>
      <c r="E84" s="17" t="str">
        <f aca="false">IF($A84="","",COUNTIFS(Orders!$C$2:$C$20001,$A84,Orders!$E$2:$E$20001,"Prepaid",Orders!$F$2:$F$20001,"Delivered")+COUNTIFS(Orders!$C$2:$C$20001,$A84,Orders!$E$2:$E$20001,"Prepaid",Orders!$F$2:$F$20001,"RTO"))</f>
        <v/>
      </c>
      <c r="F84" s="17" t="str">
        <f aca="false">IF($A84="","",COUNTIFS(Orders!$C$2:$C$20001,$A84,Orders!$E$2:$E$20001,"Prepaid",Orders!$F$2:$F$20001,"RTO"))</f>
        <v/>
      </c>
      <c r="G84" s="18" t="str">
        <f aca="false">IF($A84="","",IFERROR(F84/E84,0))</f>
        <v/>
      </c>
      <c r="H84" s="19" t="str">
        <f aca="false">IF($A84="","",C84*Settings!$B$11)</f>
        <v/>
      </c>
      <c r="I84" s="20" t="str">
        <f aca="false">IF($A84="","",IF(N(H84)=0,"",RANK(H84,$H$5:$H$2004)))</f>
        <v/>
      </c>
      <c r="J84" s="21" t="str">
        <f aca="false">IF($A84="","",IF(B84=0,"No COD orders",IF(B84&lt;Settings!$B$8,"Too few orders",IF(D84&gt;=Settings!$B$9,"Restrict COD or verify","Keep COD"))))</f>
        <v/>
      </c>
    </row>
    <row r="85" customFormat="false" ht="15" hidden="false" customHeight="false" outlineLevel="0" collapsed="false">
      <c r="A85" s="27"/>
      <c r="B85" s="17" t="str">
        <f aca="false">IF($A85="","",COUNTIFS(Orders!$C$2:$C$20001,$A85,Orders!$E$2:$E$20001,"COD",Orders!$F$2:$F$20001,"Delivered")+COUNTIFS(Orders!$C$2:$C$20001,$A85,Orders!$E$2:$E$20001,"COD",Orders!$F$2:$F$20001,"RTO"))</f>
        <v/>
      </c>
      <c r="C85" s="17" t="str">
        <f aca="false">IF($A85="","",COUNTIFS(Orders!$C$2:$C$20001,$A85,Orders!$E$2:$E$20001,"COD",Orders!$F$2:$F$20001,"RTO"))</f>
        <v/>
      </c>
      <c r="D85" s="18" t="str">
        <f aca="false">IF($A85="","",IFERROR(C85/B85,0))</f>
        <v/>
      </c>
      <c r="E85" s="17" t="str">
        <f aca="false">IF($A85="","",COUNTIFS(Orders!$C$2:$C$20001,$A85,Orders!$E$2:$E$20001,"Prepaid",Orders!$F$2:$F$20001,"Delivered")+COUNTIFS(Orders!$C$2:$C$20001,$A85,Orders!$E$2:$E$20001,"Prepaid",Orders!$F$2:$F$20001,"RTO"))</f>
        <v/>
      </c>
      <c r="F85" s="17" t="str">
        <f aca="false">IF($A85="","",COUNTIFS(Orders!$C$2:$C$20001,$A85,Orders!$E$2:$E$20001,"Prepaid",Orders!$F$2:$F$20001,"RTO"))</f>
        <v/>
      </c>
      <c r="G85" s="18" t="str">
        <f aca="false">IF($A85="","",IFERROR(F85/E85,0))</f>
        <v/>
      </c>
      <c r="H85" s="19" t="str">
        <f aca="false">IF($A85="","",C85*Settings!$B$11)</f>
        <v/>
      </c>
      <c r="I85" s="20" t="str">
        <f aca="false">IF($A85="","",IF(N(H85)=0,"",RANK(H85,$H$5:$H$2004)))</f>
        <v/>
      </c>
      <c r="J85" s="21" t="str">
        <f aca="false">IF($A85="","",IF(B85=0,"No COD orders",IF(B85&lt;Settings!$B$8,"Too few orders",IF(D85&gt;=Settings!$B$9,"Restrict COD or verify","Keep COD"))))</f>
        <v/>
      </c>
    </row>
    <row r="86" customFormat="false" ht="15" hidden="false" customHeight="false" outlineLevel="0" collapsed="false">
      <c r="A86" s="27"/>
      <c r="B86" s="17" t="str">
        <f aca="false">IF($A86="","",COUNTIFS(Orders!$C$2:$C$20001,$A86,Orders!$E$2:$E$20001,"COD",Orders!$F$2:$F$20001,"Delivered")+COUNTIFS(Orders!$C$2:$C$20001,$A86,Orders!$E$2:$E$20001,"COD",Orders!$F$2:$F$20001,"RTO"))</f>
        <v/>
      </c>
      <c r="C86" s="17" t="str">
        <f aca="false">IF($A86="","",COUNTIFS(Orders!$C$2:$C$20001,$A86,Orders!$E$2:$E$20001,"COD",Orders!$F$2:$F$20001,"RTO"))</f>
        <v/>
      </c>
      <c r="D86" s="18" t="str">
        <f aca="false">IF($A86="","",IFERROR(C86/B86,0))</f>
        <v/>
      </c>
      <c r="E86" s="17" t="str">
        <f aca="false">IF($A86="","",COUNTIFS(Orders!$C$2:$C$20001,$A86,Orders!$E$2:$E$20001,"Prepaid",Orders!$F$2:$F$20001,"Delivered")+COUNTIFS(Orders!$C$2:$C$20001,$A86,Orders!$E$2:$E$20001,"Prepaid",Orders!$F$2:$F$20001,"RTO"))</f>
        <v/>
      </c>
      <c r="F86" s="17" t="str">
        <f aca="false">IF($A86="","",COUNTIFS(Orders!$C$2:$C$20001,$A86,Orders!$E$2:$E$20001,"Prepaid",Orders!$F$2:$F$20001,"RTO"))</f>
        <v/>
      </c>
      <c r="G86" s="18" t="str">
        <f aca="false">IF($A86="","",IFERROR(F86/E86,0))</f>
        <v/>
      </c>
      <c r="H86" s="19" t="str">
        <f aca="false">IF($A86="","",C86*Settings!$B$11)</f>
        <v/>
      </c>
      <c r="I86" s="20" t="str">
        <f aca="false">IF($A86="","",IF(N(H86)=0,"",RANK(H86,$H$5:$H$2004)))</f>
        <v/>
      </c>
      <c r="J86" s="21" t="str">
        <f aca="false">IF($A86="","",IF(B86=0,"No COD orders",IF(B86&lt;Settings!$B$8,"Too few orders",IF(D86&gt;=Settings!$B$9,"Restrict COD or verify","Keep COD"))))</f>
        <v/>
      </c>
    </row>
    <row r="87" customFormat="false" ht="15" hidden="false" customHeight="false" outlineLevel="0" collapsed="false">
      <c r="A87" s="27"/>
      <c r="B87" s="17" t="str">
        <f aca="false">IF($A87="","",COUNTIFS(Orders!$C$2:$C$20001,$A87,Orders!$E$2:$E$20001,"COD",Orders!$F$2:$F$20001,"Delivered")+COUNTIFS(Orders!$C$2:$C$20001,$A87,Orders!$E$2:$E$20001,"COD",Orders!$F$2:$F$20001,"RTO"))</f>
        <v/>
      </c>
      <c r="C87" s="17" t="str">
        <f aca="false">IF($A87="","",COUNTIFS(Orders!$C$2:$C$20001,$A87,Orders!$E$2:$E$20001,"COD",Orders!$F$2:$F$20001,"RTO"))</f>
        <v/>
      </c>
      <c r="D87" s="18" t="str">
        <f aca="false">IF($A87="","",IFERROR(C87/B87,0))</f>
        <v/>
      </c>
      <c r="E87" s="17" t="str">
        <f aca="false">IF($A87="","",COUNTIFS(Orders!$C$2:$C$20001,$A87,Orders!$E$2:$E$20001,"Prepaid",Orders!$F$2:$F$20001,"Delivered")+COUNTIFS(Orders!$C$2:$C$20001,$A87,Orders!$E$2:$E$20001,"Prepaid",Orders!$F$2:$F$20001,"RTO"))</f>
        <v/>
      </c>
      <c r="F87" s="17" t="str">
        <f aca="false">IF($A87="","",COUNTIFS(Orders!$C$2:$C$20001,$A87,Orders!$E$2:$E$20001,"Prepaid",Orders!$F$2:$F$20001,"RTO"))</f>
        <v/>
      </c>
      <c r="G87" s="18" t="str">
        <f aca="false">IF($A87="","",IFERROR(F87/E87,0))</f>
        <v/>
      </c>
      <c r="H87" s="19" t="str">
        <f aca="false">IF($A87="","",C87*Settings!$B$11)</f>
        <v/>
      </c>
      <c r="I87" s="20" t="str">
        <f aca="false">IF($A87="","",IF(N(H87)=0,"",RANK(H87,$H$5:$H$2004)))</f>
        <v/>
      </c>
      <c r="J87" s="21" t="str">
        <f aca="false">IF($A87="","",IF(B87=0,"No COD orders",IF(B87&lt;Settings!$B$8,"Too few orders",IF(D87&gt;=Settings!$B$9,"Restrict COD or verify","Keep COD"))))</f>
        <v/>
      </c>
    </row>
    <row r="88" customFormat="false" ht="15" hidden="false" customHeight="false" outlineLevel="0" collapsed="false">
      <c r="A88" s="27"/>
      <c r="B88" s="17" t="str">
        <f aca="false">IF($A88="","",COUNTIFS(Orders!$C$2:$C$20001,$A88,Orders!$E$2:$E$20001,"COD",Orders!$F$2:$F$20001,"Delivered")+COUNTIFS(Orders!$C$2:$C$20001,$A88,Orders!$E$2:$E$20001,"COD",Orders!$F$2:$F$20001,"RTO"))</f>
        <v/>
      </c>
      <c r="C88" s="17" t="str">
        <f aca="false">IF($A88="","",COUNTIFS(Orders!$C$2:$C$20001,$A88,Orders!$E$2:$E$20001,"COD",Orders!$F$2:$F$20001,"RTO"))</f>
        <v/>
      </c>
      <c r="D88" s="18" t="str">
        <f aca="false">IF($A88="","",IFERROR(C88/B88,0))</f>
        <v/>
      </c>
      <c r="E88" s="17" t="str">
        <f aca="false">IF($A88="","",COUNTIFS(Orders!$C$2:$C$20001,$A88,Orders!$E$2:$E$20001,"Prepaid",Orders!$F$2:$F$20001,"Delivered")+COUNTIFS(Orders!$C$2:$C$20001,$A88,Orders!$E$2:$E$20001,"Prepaid",Orders!$F$2:$F$20001,"RTO"))</f>
        <v/>
      </c>
      <c r="F88" s="17" t="str">
        <f aca="false">IF($A88="","",COUNTIFS(Orders!$C$2:$C$20001,$A88,Orders!$E$2:$E$20001,"Prepaid",Orders!$F$2:$F$20001,"RTO"))</f>
        <v/>
      </c>
      <c r="G88" s="18" t="str">
        <f aca="false">IF($A88="","",IFERROR(F88/E88,0))</f>
        <v/>
      </c>
      <c r="H88" s="19" t="str">
        <f aca="false">IF($A88="","",C88*Settings!$B$11)</f>
        <v/>
      </c>
      <c r="I88" s="20" t="str">
        <f aca="false">IF($A88="","",IF(N(H88)=0,"",RANK(H88,$H$5:$H$2004)))</f>
        <v/>
      </c>
      <c r="J88" s="21" t="str">
        <f aca="false">IF($A88="","",IF(B88=0,"No COD orders",IF(B88&lt;Settings!$B$8,"Too few orders",IF(D88&gt;=Settings!$B$9,"Restrict COD or verify","Keep COD"))))</f>
        <v/>
      </c>
    </row>
    <row r="89" customFormat="false" ht="15" hidden="false" customHeight="false" outlineLevel="0" collapsed="false">
      <c r="A89" s="27"/>
      <c r="B89" s="17" t="str">
        <f aca="false">IF($A89="","",COUNTIFS(Orders!$C$2:$C$20001,$A89,Orders!$E$2:$E$20001,"COD",Orders!$F$2:$F$20001,"Delivered")+COUNTIFS(Orders!$C$2:$C$20001,$A89,Orders!$E$2:$E$20001,"COD",Orders!$F$2:$F$20001,"RTO"))</f>
        <v/>
      </c>
      <c r="C89" s="17" t="str">
        <f aca="false">IF($A89="","",COUNTIFS(Orders!$C$2:$C$20001,$A89,Orders!$E$2:$E$20001,"COD",Orders!$F$2:$F$20001,"RTO"))</f>
        <v/>
      </c>
      <c r="D89" s="18" t="str">
        <f aca="false">IF($A89="","",IFERROR(C89/B89,0))</f>
        <v/>
      </c>
      <c r="E89" s="17" t="str">
        <f aca="false">IF($A89="","",COUNTIFS(Orders!$C$2:$C$20001,$A89,Orders!$E$2:$E$20001,"Prepaid",Orders!$F$2:$F$20001,"Delivered")+COUNTIFS(Orders!$C$2:$C$20001,$A89,Orders!$E$2:$E$20001,"Prepaid",Orders!$F$2:$F$20001,"RTO"))</f>
        <v/>
      </c>
      <c r="F89" s="17" t="str">
        <f aca="false">IF($A89="","",COUNTIFS(Orders!$C$2:$C$20001,$A89,Orders!$E$2:$E$20001,"Prepaid",Orders!$F$2:$F$20001,"RTO"))</f>
        <v/>
      </c>
      <c r="G89" s="18" t="str">
        <f aca="false">IF($A89="","",IFERROR(F89/E89,0))</f>
        <v/>
      </c>
      <c r="H89" s="19" t="str">
        <f aca="false">IF($A89="","",C89*Settings!$B$11)</f>
        <v/>
      </c>
      <c r="I89" s="20" t="str">
        <f aca="false">IF($A89="","",IF(N(H89)=0,"",RANK(H89,$H$5:$H$2004)))</f>
        <v/>
      </c>
      <c r="J89" s="21" t="str">
        <f aca="false">IF($A89="","",IF(B89=0,"No COD orders",IF(B89&lt;Settings!$B$8,"Too few orders",IF(D89&gt;=Settings!$B$9,"Restrict COD or verify","Keep COD"))))</f>
        <v/>
      </c>
    </row>
    <row r="90" customFormat="false" ht="15" hidden="false" customHeight="false" outlineLevel="0" collapsed="false">
      <c r="A90" s="27"/>
      <c r="B90" s="17" t="str">
        <f aca="false">IF($A90="","",COUNTIFS(Orders!$C$2:$C$20001,$A90,Orders!$E$2:$E$20001,"COD",Orders!$F$2:$F$20001,"Delivered")+COUNTIFS(Orders!$C$2:$C$20001,$A90,Orders!$E$2:$E$20001,"COD",Orders!$F$2:$F$20001,"RTO"))</f>
        <v/>
      </c>
      <c r="C90" s="17" t="str">
        <f aca="false">IF($A90="","",COUNTIFS(Orders!$C$2:$C$20001,$A90,Orders!$E$2:$E$20001,"COD",Orders!$F$2:$F$20001,"RTO"))</f>
        <v/>
      </c>
      <c r="D90" s="18" t="str">
        <f aca="false">IF($A90="","",IFERROR(C90/B90,0))</f>
        <v/>
      </c>
      <c r="E90" s="17" t="str">
        <f aca="false">IF($A90="","",COUNTIFS(Orders!$C$2:$C$20001,$A90,Orders!$E$2:$E$20001,"Prepaid",Orders!$F$2:$F$20001,"Delivered")+COUNTIFS(Orders!$C$2:$C$20001,$A90,Orders!$E$2:$E$20001,"Prepaid",Orders!$F$2:$F$20001,"RTO"))</f>
        <v/>
      </c>
      <c r="F90" s="17" t="str">
        <f aca="false">IF($A90="","",COUNTIFS(Orders!$C$2:$C$20001,$A90,Orders!$E$2:$E$20001,"Prepaid",Orders!$F$2:$F$20001,"RTO"))</f>
        <v/>
      </c>
      <c r="G90" s="18" t="str">
        <f aca="false">IF($A90="","",IFERROR(F90/E90,0))</f>
        <v/>
      </c>
      <c r="H90" s="19" t="str">
        <f aca="false">IF($A90="","",C90*Settings!$B$11)</f>
        <v/>
      </c>
      <c r="I90" s="20" t="str">
        <f aca="false">IF($A90="","",IF(N(H90)=0,"",RANK(H90,$H$5:$H$2004)))</f>
        <v/>
      </c>
      <c r="J90" s="21" t="str">
        <f aca="false">IF($A90="","",IF(B90=0,"No COD orders",IF(B90&lt;Settings!$B$8,"Too few orders",IF(D90&gt;=Settings!$B$9,"Restrict COD or verify","Keep COD"))))</f>
        <v/>
      </c>
    </row>
    <row r="91" customFormat="false" ht="15" hidden="false" customHeight="false" outlineLevel="0" collapsed="false">
      <c r="A91" s="27"/>
      <c r="B91" s="17" t="str">
        <f aca="false">IF($A91="","",COUNTIFS(Orders!$C$2:$C$20001,$A91,Orders!$E$2:$E$20001,"COD",Orders!$F$2:$F$20001,"Delivered")+COUNTIFS(Orders!$C$2:$C$20001,$A91,Orders!$E$2:$E$20001,"COD",Orders!$F$2:$F$20001,"RTO"))</f>
        <v/>
      </c>
      <c r="C91" s="17" t="str">
        <f aca="false">IF($A91="","",COUNTIFS(Orders!$C$2:$C$20001,$A91,Orders!$E$2:$E$20001,"COD",Orders!$F$2:$F$20001,"RTO"))</f>
        <v/>
      </c>
      <c r="D91" s="18" t="str">
        <f aca="false">IF($A91="","",IFERROR(C91/B91,0))</f>
        <v/>
      </c>
      <c r="E91" s="17" t="str">
        <f aca="false">IF($A91="","",COUNTIFS(Orders!$C$2:$C$20001,$A91,Orders!$E$2:$E$20001,"Prepaid",Orders!$F$2:$F$20001,"Delivered")+COUNTIFS(Orders!$C$2:$C$20001,$A91,Orders!$E$2:$E$20001,"Prepaid",Orders!$F$2:$F$20001,"RTO"))</f>
        <v/>
      </c>
      <c r="F91" s="17" t="str">
        <f aca="false">IF($A91="","",COUNTIFS(Orders!$C$2:$C$20001,$A91,Orders!$E$2:$E$20001,"Prepaid",Orders!$F$2:$F$20001,"RTO"))</f>
        <v/>
      </c>
      <c r="G91" s="18" t="str">
        <f aca="false">IF($A91="","",IFERROR(F91/E91,0))</f>
        <v/>
      </c>
      <c r="H91" s="19" t="str">
        <f aca="false">IF($A91="","",C91*Settings!$B$11)</f>
        <v/>
      </c>
      <c r="I91" s="20" t="str">
        <f aca="false">IF($A91="","",IF(N(H91)=0,"",RANK(H91,$H$5:$H$2004)))</f>
        <v/>
      </c>
      <c r="J91" s="21" t="str">
        <f aca="false">IF($A91="","",IF(B91=0,"No COD orders",IF(B91&lt;Settings!$B$8,"Too few orders",IF(D91&gt;=Settings!$B$9,"Restrict COD or verify","Keep COD"))))</f>
        <v/>
      </c>
    </row>
    <row r="92" customFormat="false" ht="15" hidden="false" customHeight="false" outlineLevel="0" collapsed="false">
      <c r="A92" s="27"/>
      <c r="B92" s="17" t="str">
        <f aca="false">IF($A92="","",COUNTIFS(Orders!$C$2:$C$20001,$A92,Orders!$E$2:$E$20001,"COD",Orders!$F$2:$F$20001,"Delivered")+COUNTIFS(Orders!$C$2:$C$20001,$A92,Orders!$E$2:$E$20001,"COD",Orders!$F$2:$F$20001,"RTO"))</f>
        <v/>
      </c>
      <c r="C92" s="17" t="str">
        <f aca="false">IF($A92="","",COUNTIFS(Orders!$C$2:$C$20001,$A92,Orders!$E$2:$E$20001,"COD",Orders!$F$2:$F$20001,"RTO"))</f>
        <v/>
      </c>
      <c r="D92" s="18" t="str">
        <f aca="false">IF($A92="","",IFERROR(C92/B92,0))</f>
        <v/>
      </c>
      <c r="E92" s="17" t="str">
        <f aca="false">IF($A92="","",COUNTIFS(Orders!$C$2:$C$20001,$A92,Orders!$E$2:$E$20001,"Prepaid",Orders!$F$2:$F$20001,"Delivered")+COUNTIFS(Orders!$C$2:$C$20001,$A92,Orders!$E$2:$E$20001,"Prepaid",Orders!$F$2:$F$20001,"RTO"))</f>
        <v/>
      </c>
      <c r="F92" s="17" t="str">
        <f aca="false">IF($A92="","",COUNTIFS(Orders!$C$2:$C$20001,$A92,Orders!$E$2:$E$20001,"Prepaid",Orders!$F$2:$F$20001,"RTO"))</f>
        <v/>
      </c>
      <c r="G92" s="18" t="str">
        <f aca="false">IF($A92="","",IFERROR(F92/E92,0))</f>
        <v/>
      </c>
      <c r="H92" s="19" t="str">
        <f aca="false">IF($A92="","",C92*Settings!$B$11)</f>
        <v/>
      </c>
      <c r="I92" s="20" t="str">
        <f aca="false">IF($A92="","",IF(N(H92)=0,"",RANK(H92,$H$5:$H$2004)))</f>
        <v/>
      </c>
      <c r="J92" s="21" t="str">
        <f aca="false">IF($A92="","",IF(B92=0,"No COD orders",IF(B92&lt;Settings!$B$8,"Too few orders",IF(D92&gt;=Settings!$B$9,"Restrict COD or verify","Keep COD"))))</f>
        <v/>
      </c>
    </row>
    <row r="93" customFormat="false" ht="15" hidden="false" customHeight="false" outlineLevel="0" collapsed="false">
      <c r="A93" s="27"/>
      <c r="B93" s="17" t="str">
        <f aca="false">IF($A93="","",COUNTIFS(Orders!$C$2:$C$20001,$A93,Orders!$E$2:$E$20001,"COD",Orders!$F$2:$F$20001,"Delivered")+COUNTIFS(Orders!$C$2:$C$20001,$A93,Orders!$E$2:$E$20001,"COD",Orders!$F$2:$F$20001,"RTO"))</f>
        <v/>
      </c>
      <c r="C93" s="17" t="str">
        <f aca="false">IF($A93="","",COUNTIFS(Orders!$C$2:$C$20001,$A93,Orders!$E$2:$E$20001,"COD",Orders!$F$2:$F$20001,"RTO"))</f>
        <v/>
      </c>
      <c r="D93" s="18" t="str">
        <f aca="false">IF($A93="","",IFERROR(C93/B93,0))</f>
        <v/>
      </c>
      <c r="E93" s="17" t="str">
        <f aca="false">IF($A93="","",COUNTIFS(Orders!$C$2:$C$20001,$A93,Orders!$E$2:$E$20001,"Prepaid",Orders!$F$2:$F$20001,"Delivered")+COUNTIFS(Orders!$C$2:$C$20001,$A93,Orders!$E$2:$E$20001,"Prepaid",Orders!$F$2:$F$20001,"RTO"))</f>
        <v/>
      </c>
      <c r="F93" s="17" t="str">
        <f aca="false">IF($A93="","",COUNTIFS(Orders!$C$2:$C$20001,$A93,Orders!$E$2:$E$20001,"Prepaid",Orders!$F$2:$F$20001,"RTO"))</f>
        <v/>
      </c>
      <c r="G93" s="18" t="str">
        <f aca="false">IF($A93="","",IFERROR(F93/E93,0))</f>
        <v/>
      </c>
      <c r="H93" s="19" t="str">
        <f aca="false">IF($A93="","",C93*Settings!$B$11)</f>
        <v/>
      </c>
      <c r="I93" s="20" t="str">
        <f aca="false">IF($A93="","",IF(N(H93)=0,"",RANK(H93,$H$5:$H$2004)))</f>
        <v/>
      </c>
      <c r="J93" s="21" t="str">
        <f aca="false">IF($A93="","",IF(B93=0,"No COD orders",IF(B93&lt;Settings!$B$8,"Too few orders",IF(D93&gt;=Settings!$B$9,"Restrict COD or verify","Keep COD"))))</f>
        <v/>
      </c>
    </row>
    <row r="94" customFormat="false" ht="15" hidden="false" customHeight="false" outlineLevel="0" collapsed="false">
      <c r="A94" s="27"/>
      <c r="B94" s="17" t="str">
        <f aca="false">IF($A94="","",COUNTIFS(Orders!$C$2:$C$20001,$A94,Orders!$E$2:$E$20001,"COD",Orders!$F$2:$F$20001,"Delivered")+COUNTIFS(Orders!$C$2:$C$20001,$A94,Orders!$E$2:$E$20001,"COD",Orders!$F$2:$F$20001,"RTO"))</f>
        <v/>
      </c>
      <c r="C94" s="17" t="str">
        <f aca="false">IF($A94="","",COUNTIFS(Orders!$C$2:$C$20001,$A94,Orders!$E$2:$E$20001,"COD",Orders!$F$2:$F$20001,"RTO"))</f>
        <v/>
      </c>
      <c r="D94" s="18" t="str">
        <f aca="false">IF($A94="","",IFERROR(C94/B94,0))</f>
        <v/>
      </c>
      <c r="E94" s="17" t="str">
        <f aca="false">IF($A94="","",COUNTIFS(Orders!$C$2:$C$20001,$A94,Orders!$E$2:$E$20001,"Prepaid",Orders!$F$2:$F$20001,"Delivered")+COUNTIFS(Orders!$C$2:$C$20001,$A94,Orders!$E$2:$E$20001,"Prepaid",Orders!$F$2:$F$20001,"RTO"))</f>
        <v/>
      </c>
      <c r="F94" s="17" t="str">
        <f aca="false">IF($A94="","",COUNTIFS(Orders!$C$2:$C$20001,$A94,Orders!$E$2:$E$20001,"Prepaid",Orders!$F$2:$F$20001,"RTO"))</f>
        <v/>
      </c>
      <c r="G94" s="18" t="str">
        <f aca="false">IF($A94="","",IFERROR(F94/E94,0))</f>
        <v/>
      </c>
      <c r="H94" s="19" t="str">
        <f aca="false">IF($A94="","",C94*Settings!$B$11)</f>
        <v/>
      </c>
      <c r="I94" s="20" t="str">
        <f aca="false">IF($A94="","",IF(N(H94)=0,"",RANK(H94,$H$5:$H$2004)))</f>
        <v/>
      </c>
      <c r="J94" s="21" t="str">
        <f aca="false">IF($A94="","",IF(B94=0,"No COD orders",IF(B94&lt;Settings!$B$8,"Too few orders",IF(D94&gt;=Settings!$B$9,"Restrict COD or verify","Keep COD"))))</f>
        <v/>
      </c>
    </row>
    <row r="95" customFormat="false" ht="15" hidden="false" customHeight="false" outlineLevel="0" collapsed="false">
      <c r="A95" s="27"/>
      <c r="B95" s="17" t="str">
        <f aca="false">IF($A95="","",COUNTIFS(Orders!$C$2:$C$20001,$A95,Orders!$E$2:$E$20001,"COD",Orders!$F$2:$F$20001,"Delivered")+COUNTIFS(Orders!$C$2:$C$20001,$A95,Orders!$E$2:$E$20001,"COD",Orders!$F$2:$F$20001,"RTO"))</f>
        <v/>
      </c>
      <c r="C95" s="17" t="str">
        <f aca="false">IF($A95="","",COUNTIFS(Orders!$C$2:$C$20001,$A95,Orders!$E$2:$E$20001,"COD",Orders!$F$2:$F$20001,"RTO"))</f>
        <v/>
      </c>
      <c r="D95" s="18" t="str">
        <f aca="false">IF($A95="","",IFERROR(C95/B95,0))</f>
        <v/>
      </c>
      <c r="E95" s="17" t="str">
        <f aca="false">IF($A95="","",COUNTIFS(Orders!$C$2:$C$20001,$A95,Orders!$E$2:$E$20001,"Prepaid",Orders!$F$2:$F$20001,"Delivered")+COUNTIFS(Orders!$C$2:$C$20001,$A95,Orders!$E$2:$E$20001,"Prepaid",Orders!$F$2:$F$20001,"RTO"))</f>
        <v/>
      </c>
      <c r="F95" s="17" t="str">
        <f aca="false">IF($A95="","",COUNTIFS(Orders!$C$2:$C$20001,$A95,Orders!$E$2:$E$20001,"Prepaid",Orders!$F$2:$F$20001,"RTO"))</f>
        <v/>
      </c>
      <c r="G95" s="18" t="str">
        <f aca="false">IF($A95="","",IFERROR(F95/E95,0))</f>
        <v/>
      </c>
      <c r="H95" s="19" t="str">
        <f aca="false">IF($A95="","",C95*Settings!$B$11)</f>
        <v/>
      </c>
      <c r="I95" s="20" t="str">
        <f aca="false">IF($A95="","",IF(N(H95)=0,"",RANK(H95,$H$5:$H$2004)))</f>
        <v/>
      </c>
      <c r="J95" s="21" t="str">
        <f aca="false">IF($A95="","",IF(B95=0,"No COD orders",IF(B95&lt;Settings!$B$8,"Too few orders",IF(D95&gt;=Settings!$B$9,"Restrict COD or verify","Keep COD"))))</f>
        <v/>
      </c>
    </row>
    <row r="96" customFormat="false" ht="15" hidden="false" customHeight="false" outlineLevel="0" collapsed="false">
      <c r="A96" s="27"/>
      <c r="B96" s="17" t="str">
        <f aca="false">IF($A96="","",COUNTIFS(Orders!$C$2:$C$20001,$A96,Orders!$E$2:$E$20001,"COD",Orders!$F$2:$F$20001,"Delivered")+COUNTIFS(Orders!$C$2:$C$20001,$A96,Orders!$E$2:$E$20001,"COD",Orders!$F$2:$F$20001,"RTO"))</f>
        <v/>
      </c>
      <c r="C96" s="17" t="str">
        <f aca="false">IF($A96="","",COUNTIFS(Orders!$C$2:$C$20001,$A96,Orders!$E$2:$E$20001,"COD",Orders!$F$2:$F$20001,"RTO"))</f>
        <v/>
      </c>
      <c r="D96" s="18" t="str">
        <f aca="false">IF($A96="","",IFERROR(C96/B96,0))</f>
        <v/>
      </c>
      <c r="E96" s="17" t="str">
        <f aca="false">IF($A96="","",COUNTIFS(Orders!$C$2:$C$20001,$A96,Orders!$E$2:$E$20001,"Prepaid",Orders!$F$2:$F$20001,"Delivered")+COUNTIFS(Orders!$C$2:$C$20001,$A96,Orders!$E$2:$E$20001,"Prepaid",Orders!$F$2:$F$20001,"RTO"))</f>
        <v/>
      </c>
      <c r="F96" s="17" t="str">
        <f aca="false">IF($A96="","",COUNTIFS(Orders!$C$2:$C$20001,$A96,Orders!$E$2:$E$20001,"Prepaid",Orders!$F$2:$F$20001,"RTO"))</f>
        <v/>
      </c>
      <c r="G96" s="18" t="str">
        <f aca="false">IF($A96="","",IFERROR(F96/E96,0))</f>
        <v/>
      </c>
      <c r="H96" s="19" t="str">
        <f aca="false">IF($A96="","",C96*Settings!$B$11)</f>
        <v/>
      </c>
      <c r="I96" s="20" t="str">
        <f aca="false">IF($A96="","",IF(N(H96)=0,"",RANK(H96,$H$5:$H$2004)))</f>
        <v/>
      </c>
      <c r="J96" s="21" t="str">
        <f aca="false">IF($A96="","",IF(B96=0,"No COD orders",IF(B96&lt;Settings!$B$8,"Too few orders",IF(D96&gt;=Settings!$B$9,"Restrict COD or verify","Keep COD"))))</f>
        <v/>
      </c>
    </row>
    <row r="97" customFormat="false" ht="15" hidden="false" customHeight="false" outlineLevel="0" collapsed="false">
      <c r="A97" s="27"/>
      <c r="B97" s="17" t="str">
        <f aca="false">IF($A97="","",COUNTIFS(Orders!$C$2:$C$20001,$A97,Orders!$E$2:$E$20001,"COD",Orders!$F$2:$F$20001,"Delivered")+COUNTIFS(Orders!$C$2:$C$20001,$A97,Orders!$E$2:$E$20001,"COD",Orders!$F$2:$F$20001,"RTO"))</f>
        <v/>
      </c>
      <c r="C97" s="17" t="str">
        <f aca="false">IF($A97="","",COUNTIFS(Orders!$C$2:$C$20001,$A97,Orders!$E$2:$E$20001,"COD",Orders!$F$2:$F$20001,"RTO"))</f>
        <v/>
      </c>
      <c r="D97" s="18" t="str">
        <f aca="false">IF($A97="","",IFERROR(C97/B97,0))</f>
        <v/>
      </c>
      <c r="E97" s="17" t="str">
        <f aca="false">IF($A97="","",COUNTIFS(Orders!$C$2:$C$20001,$A97,Orders!$E$2:$E$20001,"Prepaid",Orders!$F$2:$F$20001,"Delivered")+COUNTIFS(Orders!$C$2:$C$20001,$A97,Orders!$E$2:$E$20001,"Prepaid",Orders!$F$2:$F$20001,"RTO"))</f>
        <v/>
      </c>
      <c r="F97" s="17" t="str">
        <f aca="false">IF($A97="","",COUNTIFS(Orders!$C$2:$C$20001,$A97,Orders!$E$2:$E$20001,"Prepaid",Orders!$F$2:$F$20001,"RTO"))</f>
        <v/>
      </c>
      <c r="G97" s="18" t="str">
        <f aca="false">IF($A97="","",IFERROR(F97/E97,0))</f>
        <v/>
      </c>
      <c r="H97" s="19" t="str">
        <f aca="false">IF($A97="","",C97*Settings!$B$11)</f>
        <v/>
      </c>
      <c r="I97" s="20" t="str">
        <f aca="false">IF($A97="","",IF(N(H97)=0,"",RANK(H97,$H$5:$H$2004)))</f>
        <v/>
      </c>
      <c r="J97" s="21" t="str">
        <f aca="false">IF($A97="","",IF(B97=0,"No COD orders",IF(B97&lt;Settings!$B$8,"Too few orders",IF(D97&gt;=Settings!$B$9,"Restrict COD or verify","Keep COD"))))</f>
        <v/>
      </c>
    </row>
    <row r="98" customFormat="false" ht="15" hidden="false" customHeight="false" outlineLevel="0" collapsed="false">
      <c r="A98" s="27"/>
      <c r="B98" s="17" t="str">
        <f aca="false">IF($A98="","",COUNTIFS(Orders!$C$2:$C$20001,$A98,Orders!$E$2:$E$20001,"COD",Orders!$F$2:$F$20001,"Delivered")+COUNTIFS(Orders!$C$2:$C$20001,$A98,Orders!$E$2:$E$20001,"COD",Orders!$F$2:$F$20001,"RTO"))</f>
        <v/>
      </c>
      <c r="C98" s="17" t="str">
        <f aca="false">IF($A98="","",COUNTIFS(Orders!$C$2:$C$20001,$A98,Orders!$E$2:$E$20001,"COD",Orders!$F$2:$F$20001,"RTO"))</f>
        <v/>
      </c>
      <c r="D98" s="18" t="str">
        <f aca="false">IF($A98="","",IFERROR(C98/B98,0))</f>
        <v/>
      </c>
      <c r="E98" s="17" t="str">
        <f aca="false">IF($A98="","",COUNTIFS(Orders!$C$2:$C$20001,$A98,Orders!$E$2:$E$20001,"Prepaid",Orders!$F$2:$F$20001,"Delivered")+COUNTIFS(Orders!$C$2:$C$20001,$A98,Orders!$E$2:$E$20001,"Prepaid",Orders!$F$2:$F$20001,"RTO"))</f>
        <v/>
      </c>
      <c r="F98" s="17" t="str">
        <f aca="false">IF($A98="","",COUNTIFS(Orders!$C$2:$C$20001,$A98,Orders!$E$2:$E$20001,"Prepaid",Orders!$F$2:$F$20001,"RTO"))</f>
        <v/>
      </c>
      <c r="G98" s="18" t="str">
        <f aca="false">IF($A98="","",IFERROR(F98/E98,0))</f>
        <v/>
      </c>
      <c r="H98" s="19" t="str">
        <f aca="false">IF($A98="","",C98*Settings!$B$11)</f>
        <v/>
      </c>
      <c r="I98" s="20" t="str">
        <f aca="false">IF($A98="","",IF(N(H98)=0,"",RANK(H98,$H$5:$H$2004)))</f>
        <v/>
      </c>
      <c r="J98" s="21" t="str">
        <f aca="false">IF($A98="","",IF(B98=0,"No COD orders",IF(B98&lt;Settings!$B$8,"Too few orders",IF(D98&gt;=Settings!$B$9,"Restrict COD or verify","Keep COD"))))</f>
        <v/>
      </c>
    </row>
    <row r="99" customFormat="false" ht="15" hidden="false" customHeight="false" outlineLevel="0" collapsed="false">
      <c r="A99" s="27"/>
      <c r="B99" s="17" t="str">
        <f aca="false">IF($A99="","",COUNTIFS(Orders!$C$2:$C$20001,$A99,Orders!$E$2:$E$20001,"COD",Orders!$F$2:$F$20001,"Delivered")+COUNTIFS(Orders!$C$2:$C$20001,$A99,Orders!$E$2:$E$20001,"COD",Orders!$F$2:$F$20001,"RTO"))</f>
        <v/>
      </c>
      <c r="C99" s="17" t="str">
        <f aca="false">IF($A99="","",COUNTIFS(Orders!$C$2:$C$20001,$A99,Orders!$E$2:$E$20001,"COD",Orders!$F$2:$F$20001,"RTO"))</f>
        <v/>
      </c>
      <c r="D99" s="18" t="str">
        <f aca="false">IF($A99="","",IFERROR(C99/B99,0))</f>
        <v/>
      </c>
      <c r="E99" s="17" t="str">
        <f aca="false">IF($A99="","",COUNTIFS(Orders!$C$2:$C$20001,$A99,Orders!$E$2:$E$20001,"Prepaid",Orders!$F$2:$F$20001,"Delivered")+COUNTIFS(Orders!$C$2:$C$20001,$A99,Orders!$E$2:$E$20001,"Prepaid",Orders!$F$2:$F$20001,"RTO"))</f>
        <v/>
      </c>
      <c r="F99" s="17" t="str">
        <f aca="false">IF($A99="","",COUNTIFS(Orders!$C$2:$C$20001,$A99,Orders!$E$2:$E$20001,"Prepaid",Orders!$F$2:$F$20001,"RTO"))</f>
        <v/>
      </c>
      <c r="G99" s="18" t="str">
        <f aca="false">IF($A99="","",IFERROR(F99/E99,0))</f>
        <v/>
      </c>
      <c r="H99" s="19" t="str">
        <f aca="false">IF($A99="","",C99*Settings!$B$11)</f>
        <v/>
      </c>
      <c r="I99" s="20" t="str">
        <f aca="false">IF($A99="","",IF(N(H99)=0,"",RANK(H99,$H$5:$H$2004)))</f>
        <v/>
      </c>
      <c r="J99" s="21" t="str">
        <f aca="false">IF($A99="","",IF(B99=0,"No COD orders",IF(B99&lt;Settings!$B$8,"Too few orders",IF(D99&gt;=Settings!$B$9,"Restrict COD or verify","Keep COD"))))</f>
        <v/>
      </c>
    </row>
    <row r="100" customFormat="false" ht="15" hidden="false" customHeight="false" outlineLevel="0" collapsed="false">
      <c r="A100" s="27"/>
      <c r="B100" s="17" t="str">
        <f aca="false">IF($A100="","",COUNTIFS(Orders!$C$2:$C$20001,$A100,Orders!$E$2:$E$20001,"COD",Orders!$F$2:$F$20001,"Delivered")+COUNTIFS(Orders!$C$2:$C$20001,$A100,Orders!$E$2:$E$20001,"COD",Orders!$F$2:$F$20001,"RTO"))</f>
        <v/>
      </c>
      <c r="C100" s="17" t="str">
        <f aca="false">IF($A100="","",COUNTIFS(Orders!$C$2:$C$20001,$A100,Orders!$E$2:$E$20001,"COD",Orders!$F$2:$F$20001,"RTO"))</f>
        <v/>
      </c>
      <c r="D100" s="18" t="str">
        <f aca="false">IF($A100="","",IFERROR(C100/B100,0))</f>
        <v/>
      </c>
      <c r="E100" s="17" t="str">
        <f aca="false">IF($A100="","",COUNTIFS(Orders!$C$2:$C$20001,$A100,Orders!$E$2:$E$20001,"Prepaid",Orders!$F$2:$F$20001,"Delivered")+COUNTIFS(Orders!$C$2:$C$20001,$A100,Orders!$E$2:$E$20001,"Prepaid",Orders!$F$2:$F$20001,"RTO"))</f>
        <v/>
      </c>
      <c r="F100" s="17" t="str">
        <f aca="false">IF($A100="","",COUNTIFS(Orders!$C$2:$C$20001,$A100,Orders!$E$2:$E$20001,"Prepaid",Orders!$F$2:$F$20001,"RTO"))</f>
        <v/>
      </c>
      <c r="G100" s="18" t="str">
        <f aca="false">IF($A100="","",IFERROR(F100/E100,0))</f>
        <v/>
      </c>
      <c r="H100" s="19" t="str">
        <f aca="false">IF($A100="","",C100*Settings!$B$11)</f>
        <v/>
      </c>
      <c r="I100" s="20" t="str">
        <f aca="false">IF($A100="","",IF(N(H100)=0,"",RANK(H100,$H$5:$H$2004)))</f>
        <v/>
      </c>
      <c r="J100" s="21" t="str">
        <f aca="false">IF($A100="","",IF(B100=0,"No COD orders",IF(B100&lt;Settings!$B$8,"Too few orders",IF(D100&gt;=Settings!$B$9,"Restrict COD or verify","Keep COD"))))</f>
        <v/>
      </c>
    </row>
    <row r="101" customFormat="false" ht="15" hidden="false" customHeight="false" outlineLevel="0" collapsed="false">
      <c r="A101" s="27"/>
      <c r="B101" s="17" t="str">
        <f aca="false">IF($A101="","",COUNTIFS(Orders!$C$2:$C$20001,$A101,Orders!$E$2:$E$20001,"COD",Orders!$F$2:$F$20001,"Delivered")+COUNTIFS(Orders!$C$2:$C$20001,$A101,Orders!$E$2:$E$20001,"COD",Orders!$F$2:$F$20001,"RTO"))</f>
        <v/>
      </c>
      <c r="C101" s="17" t="str">
        <f aca="false">IF($A101="","",COUNTIFS(Orders!$C$2:$C$20001,$A101,Orders!$E$2:$E$20001,"COD",Orders!$F$2:$F$20001,"RTO"))</f>
        <v/>
      </c>
      <c r="D101" s="18" t="str">
        <f aca="false">IF($A101="","",IFERROR(C101/B101,0))</f>
        <v/>
      </c>
      <c r="E101" s="17" t="str">
        <f aca="false">IF($A101="","",COUNTIFS(Orders!$C$2:$C$20001,$A101,Orders!$E$2:$E$20001,"Prepaid",Orders!$F$2:$F$20001,"Delivered")+COUNTIFS(Orders!$C$2:$C$20001,$A101,Orders!$E$2:$E$20001,"Prepaid",Orders!$F$2:$F$20001,"RTO"))</f>
        <v/>
      </c>
      <c r="F101" s="17" t="str">
        <f aca="false">IF($A101="","",COUNTIFS(Orders!$C$2:$C$20001,$A101,Orders!$E$2:$E$20001,"Prepaid",Orders!$F$2:$F$20001,"RTO"))</f>
        <v/>
      </c>
      <c r="G101" s="18" t="str">
        <f aca="false">IF($A101="","",IFERROR(F101/E101,0))</f>
        <v/>
      </c>
      <c r="H101" s="19" t="str">
        <f aca="false">IF($A101="","",C101*Settings!$B$11)</f>
        <v/>
      </c>
      <c r="I101" s="20" t="str">
        <f aca="false">IF($A101="","",IF(N(H101)=0,"",RANK(H101,$H$5:$H$2004)))</f>
        <v/>
      </c>
      <c r="J101" s="21" t="str">
        <f aca="false">IF($A101="","",IF(B101=0,"No COD orders",IF(B101&lt;Settings!$B$8,"Too few orders",IF(D101&gt;=Settings!$B$9,"Restrict COD or verify","Keep COD"))))</f>
        <v/>
      </c>
    </row>
    <row r="102" customFormat="false" ht="15" hidden="false" customHeight="false" outlineLevel="0" collapsed="false">
      <c r="A102" s="27"/>
      <c r="B102" s="17" t="str">
        <f aca="false">IF($A102="","",COUNTIFS(Orders!$C$2:$C$20001,$A102,Orders!$E$2:$E$20001,"COD",Orders!$F$2:$F$20001,"Delivered")+COUNTIFS(Orders!$C$2:$C$20001,$A102,Orders!$E$2:$E$20001,"COD",Orders!$F$2:$F$20001,"RTO"))</f>
        <v/>
      </c>
      <c r="C102" s="17" t="str">
        <f aca="false">IF($A102="","",COUNTIFS(Orders!$C$2:$C$20001,$A102,Orders!$E$2:$E$20001,"COD",Orders!$F$2:$F$20001,"RTO"))</f>
        <v/>
      </c>
      <c r="D102" s="18" t="str">
        <f aca="false">IF($A102="","",IFERROR(C102/B102,0))</f>
        <v/>
      </c>
      <c r="E102" s="17" t="str">
        <f aca="false">IF($A102="","",COUNTIFS(Orders!$C$2:$C$20001,$A102,Orders!$E$2:$E$20001,"Prepaid",Orders!$F$2:$F$20001,"Delivered")+COUNTIFS(Orders!$C$2:$C$20001,$A102,Orders!$E$2:$E$20001,"Prepaid",Orders!$F$2:$F$20001,"RTO"))</f>
        <v/>
      </c>
      <c r="F102" s="17" t="str">
        <f aca="false">IF($A102="","",COUNTIFS(Orders!$C$2:$C$20001,$A102,Orders!$E$2:$E$20001,"Prepaid",Orders!$F$2:$F$20001,"RTO"))</f>
        <v/>
      </c>
      <c r="G102" s="18" t="str">
        <f aca="false">IF($A102="","",IFERROR(F102/E102,0))</f>
        <v/>
      </c>
      <c r="H102" s="19" t="str">
        <f aca="false">IF($A102="","",C102*Settings!$B$11)</f>
        <v/>
      </c>
      <c r="I102" s="20" t="str">
        <f aca="false">IF($A102="","",IF(N(H102)=0,"",RANK(H102,$H$5:$H$2004)))</f>
        <v/>
      </c>
      <c r="J102" s="21" t="str">
        <f aca="false">IF($A102="","",IF(B102=0,"No COD orders",IF(B102&lt;Settings!$B$8,"Too few orders",IF(D102&gt;=Settings!$B$9,"Restrict COD or verify","Keep COD"))))</f>
        <v/>
      </c>
    </row>
    <row r="103" customFormat="false" ht="15" hidden="false" customHeight="false" outlineLevel="0" collapsed="false">
      <c r="A103" s="27"/>
      <c r="B103" s="17" t="str">
        <f aca="false">IF($A103="","",COUNTIFS(Orders!$C$2:$C$20001,$A103,Orders!$E$2:$E$20001,"COD",Orders!$F$2:$F$20001,"Delivered")+COUNTIFS(Orders!$C$2:$C$20001,$A103,Orders!$E$2:$E$20001,"COD",Orders!$F$2:$F$20001,"RTO"))</f>
        <v/>
      </c>
      <c r="C103" s="17" t="str">
        <f aca="false">IF($A103="","",COUNTIFS(Orders!$C$2:$C$20001,$A103,Orders!$E$2:$E$20001,"COD",Orders!$F$2:$F$20001,"RTO"))</f>
        <v/>
      </c>
      <c r="D103" s="18" t="str">
        <f aca="false">IF($A103="","",IFERROR(C103/B103,0))</f>
        <v/>
      </c>
      <c r="E103" s="17" t="str">
        <f aca="false">IF($A103="","",COUNTIFS(Orders!$C$2:$C$20001,$A103,Orders!$E$2:$E$20001,"Prepaid",Orders!$F$2:$F$20001,"Delivered")+COUNTIFS(Orders!$C$2:$C$20001,$A103,Orders!$E$2:$E$20001,"Prepaid",Orders!$F$2:$F$20001,"RTO"))</f>
        <v/>
      </c>
      <c r="F103" s="17" t="str">
        <f aca="false">IF($A103="","",COUNTIFS(Orders!$C$2:$C$20001,$A103,Orders!$E$2:$E$20001,"Prepaid",Orders!$F$2:$F$20001,"RTO"))</f>
        <v/>
      </c>
      <c r="G103" s="18" t="str">
        <f aca="false">IF($A103="","",IFERROR(F103/E103,0))</f>
        <v/>
      </c>
      <c r="H103" s="19" t="str">
        <f aca="false">IF($A103="","",C103*Settings!$B$11)</f>
        <v/>
      </c>
      <c r="I103" s="20" t="str">
        <f aca="false">IF($A103="","",IF(N(H103)=0,"",RANK(H103,$H$5:$H$2004)))</f>
        <v/>
      </c>
      <c r="J103" s="21" t="str">
        <f aca="false">IF($A103="","",IF(B103=0,"No COD orders",IF(B103&lt;Settings!$B$8,"Too few orders",IF(D103&gt;=Settings!$B$9,"Restrict COD or verify","Keep COD"))))</f>
        <v/>
      </c>
    </row>
    <row r="104" customFormat="false" ht="15" hidden="false" customHeight="false" outlineLevel="0" collapsed="false">
      <c r="A104" s="27"/>
      <c r="B104" s="17" t="str">
        <f aca="false">IF($A104="","",COUNTIFS(Orders!$C$2:$C$20001,$A104,Orders!$E$2:$E$20001,"COD",Orders!$F$2:$F$20001,"Delivered")+COUNTIFS(Orders!$C$2:$C$20001,$A104,Orders!$E$2:$E$20001,"COD",Orders!$F$2:$F$20001,"RTO"))</f>
        <v/>
      </c>
      <c r="C104" s="17" t="str">
        <f aca="false">IF($A104="","",COUNTIFS(Orders!$C$2:$C$20001,$A104,Orders!$E$2:$E$20001,"COD",Orders!$F$2:$F$20001,"RTO"))</f>
        <v/>
      </c>
      <c r="D104" s="18" t="str">
        <f aca="false">IF($A104="","",IFERROR(C104/B104,0))</f>
        <v/>
      </c>
      <c r="E104" s="17" t="str">
        <f aca="false">IF($A104="","",COUNTIFS(Orders!$C$2:$C$20001,$A104,Orders!$E$2:$E$20001,"Prepaid",Orders!$F$2:$F$20001,"Delivered")+COUNTIFS(Orders!$C$2:$C$20001,$A104,Orders!$E$2:$E$20001,"Prepaid",Orders!$F$2:$F$20001,"RTO"))</f>
        <v/>
      </c>
      <c r="F104" s="17" t="str">
        <f aca="false">IF($A104="","",COUNTIFS(Orders!$C$2:$C$20001,$A104,Orders!$E$2:$E$20001,"Prepaid",Orders!$F$2:$F$20001,"RTO"))</f>
        <v/>
      </c>
      <c r="G104" s="18" t="str">
        <f aca="false">IF($A104="","",IFERROR(F104/E104,0))</f>
        <v/>
      </c>
      <c r="H104" s="19" t="str">
        <f aca="false">IF($A104="","",C104*Settings!$B$11)</f>
        <v/>
      </c>
      <c r="I104" s="20" t="str">
        <f aca="false">IF($A104="","",IF(N(H104)=0,"",RANK(H104,$H$5:$H$2004)))</f>
        <v/>
      </c>
      <c r="J104" s="21" t="str">
        <f aca="false">IF($A104="","",IF(B104=0,"No COD orders",IF(B104&lt;Settings!$B$8,"Too few orders",IF(D104&gt;=Settings!$B$9,"Restrict COD or verify","Keep COD"))))</f>
        <v/>
      </c>
    </row>
    <row r="105" customFormat="false" ht="15" hidden="false" customHeight="false" outlineLevel="0" collapsed="false">
      <c r="A105" s="27"/>
      <c r="B105" s="17" t="str">
        <f aca="false">IF($A105="","",COUNTIFS(Orders!$C$2:$C$20001,$A105,Orders!$E$2:$E$20001,"COD",Orders!$F$2:$F$20001,"Delivered")+COUNTIFS(Orders!$C$2:$C$20001,$A105,Orders!$E$2:$E$20001,"COD",Orders!$F$2:$F$20001,"RTO"))</f>
        <v/>
      </c>
      <c r="C105" s="17" t="str">
        <f aca="false">IF($A105="","",COUNTIFS(Orders!$C$2:$C$20001,$A105,Orders!$E$2:$E$20001,"COD",Orders!$F$2:$F$20001,"RTO"))</f>
        <v/>
      </c>
      <c r="D105" s="18" t="str">
        <f aca="false">IF($A105="","",IFERROR(C105/B105,0))</f>
        <v/>
      </c>
      <c r="E105" s="17" t="str">
        <f aca="false">IF($A105="","",COUNTIFS(Orders!$C$2:$C$20001,$A105,Orders!$E$2:$E$20001,"Prepaid",Orders!$F$2:$F$20001,"Delivered")+COUNTIFS(Orders!$C$2:$C$20001,$A105,Orders!$E$2:$E$20001,"Prepaid",Orders!$F$2:$F$20001,"RTO"))</f>
        <v/>
      </c>
      <c r="F105" s="17" t="str">
        <f aca="false">IF($A105="","",COUNTIFS(Orders!$C$2:$C$20001,$A105,Orders!$E$2:$E$20001,"Prepaid",Orders!$F$2:$F$20001,"RTO"))</f>
        <v/>
      </c>
      <c r="G105" s="18" t="str">
        <f aca="false">IF($A105="","",IFERROR(F105/E105,0))</f>
        <v/>
      </c>
      <c r="H105" s="19" t="str">
        <f aca="false">IF($A105="","",C105*Settings!$B$11)</f>
        <v/>
      </c>
      <c r="I105" s="20" t="str">
        <f aca="false">IF($A105="","",IF(N(H105)=0,"",RANK(H105,$H$5:$H$2004)))</f>
        <v/>
      </c>
      <c r="J105" s="21" t="str">
        <f aca="false">IF($A105="","",IF(B105=0,"No COD orders",IF(B105&lt;Settings!$B$8,"Too few orders",IF(D105&gt;=Settings!$B$9,"Restrict COD or verify","Keep COD"))))</f>
        <v/>
      </c>
    </row>
    <row r="106" customFormat="false" ht="15" hidden="false" customHeight="false" outlineLevel="0" collapsed="false">
      <c r="A106" s="27"/>
      <c r="B106" s="17" t="str">
        <f aca="false">IF($A106="","",COUNTIFS(Orders!$C$2:$C$20001,$A106,Orders!$E$2:$E$20001,"COD",Orders!$F$2:$F$20001,"Delivered")+COUNTIFS(Orders!$C$2:$C$20001,$A106,Orders!$E$2:$E$20001,"COD",Orders!$F$2:$F$20001,"RTO"))</f>
        <v/>
      </c>
      <c r="C106" s="17" t="str">
        <f aca="false">IF($A106="","",COUNTIFS(Orders!$C$2:$C$20001,$A106,Orders!$E$2:$E$20001,"COD",Orders!$F$2:$F$20001,"RTO"))</f>
        <v/>
      </c>
      <c r="D106" s="18" t="str">
        <f aca="false">IF($A106="","",IFERROR(C106/B106,0))</f>
        <v/>
      </c>
      <c r="E106" s="17" t="str">
        <f aca="false">IF($A106="","",COUNTIFS(Orders!$C$2:$C$20001,$A106,Orders!$E$2:$E$20001,"Prepaid",Orders!$F$2:$F$20001,"Delivered")+COUNTIFS(Orders!$C$2:$C$20001,$A106,Orders!$E$2:$E$20001,"Prepaid",Orders!$F$2:$F$20001,"RTO"))</f>
        <v/>
      </c>
      <c r="F106" s="17" t="str">
        <f aca="false">IF($A106="","",COUNTIFS(Orders!$C$2:$C$20001,$A106,Orders!$E$2:$E$20001,"Prepaid",Orders!$F$2:$F$20001,"RTO"))</f>
        <v/>
      </c>
      <c r="G106" s="18" t="str">
        <f aca="false">IF($A106="","",IFERROR(F106/E106,0))</f>
        <v/>
      </c>
      <c r="H106" s="19" t="str">
        <f aca="false">IF($A106="","",C106*Settings!$B$11)</f>
        <v/>
      </c>
      <c r="I106" s="20" t="str">
        <f aca="false">IF($A106="","",IF(N(H106)=0,"",RANK(H106,$H$5:$H$2004)))</f>
        <v/>
      </c>
      <c r="J106" s="21" t="str">
        <f aca="false">IF($A106="","",IF(B106=0,"No COD orders",IF(B106&lt;Settings!$B$8,"Too few orders",IF(D106&gt;=Settings!$B$9,"Restrict COD or verify","Keep COD"))))</f>
        <v/>
      </c>
    </row>
    <row r="107" customFormat="false" ht="15" hidden="false" customHeight="false" outlineLevel="0" collapsed="false">
      <c r="A107" s="27"/>
      <c r="B107" s="17" t="str">
        <f aca="false">IF($A107="","",COUNTIFS(Orders!$C$2:$C$20001,$A107,Orders!$E$2:$E$20001,"COD",Orders!$F$2:$F$20001,"Delivered")+COUNTIFS(Orders!$C$2:$C$20001,$A107,Orders!$E$2:$E$20001,"COD",Orders!$F$2:$F$20001,"RTO"))</f>
        <v/>
      </c>
      <c r="C107" s="17" t="str">
        <f aca="false">IF($A107="","",COUNTIFS(Orders!$C$2:$C$20001,$A107,Orders!$E$2:$E$20001,"COD",Orders!$F$2:$F$20001,"RTO"))</f>
        <v/>
      </c>
      <c r="D107" s="18" t="str">
        <f aca="false">IF($A107="","",IFERROR(C107/B107,0))</f>
        <v/>
      </c>
      <c r="E107" s="17" t="str">
        <f aca="false">IF($A107="","",COUNTIFS(Orders!$C$2:$C$20001,$A107,Orders!$E$2:$E$20001,"Prepaid",Orders!$F$2:$F$20001,"Delivered")+COUNTIFS(Orders!$C$2:$C$20001,$A107,Orders!$E$2:$E$20001,"Prepaid",Orders!$F$2:$F$20001,"RTO"))</f>
        <v/>
      </c>
      <c r="F107" s="17" t="str">
        <f aca="false">IF($A107="","",COUNTIFS(Orders!$C$2:$C$20001,$A107,Orders!$E$2:$E$20001,"Prepaid",Orders!$F$2:$F$20001,"RTO"))</f>
        <v/>
      </c>
      <c r="G107" s="18" t="str">
        <f aca="false">IF($A107="","",IFERROR(F107/E107,0))</f>
        <v/>
      </c>
      <c r="H107" s="19" t="str">
        <f aca="false">IF($A107="","",C107*Settings!$B$11)</f>
        <v/>
      </c>
      <c r="I107" s="20" t="str">
        <f aca="false">IF($A107="","",IF(N(H107)=0,"",RANK(H107,$H$5:$H$2004)))</f>
        <v/>
      </c>
      <c r="J107" s="21" t="str">
        <f aca="false">IF($A107="","",IF(B107=0,"No COD orders",IF(B107&lt;Settings!$B$8,"Too few orders",IF(D107&gt;=Settings!$B$9,"Restrict COD or verify","Keep COD"))))</f>
        <v/>
      </c>
    </row>
    <row r="108" customFormat="false" ht="15" hidden="false" customHeight="false" outlineLevel="0" collapsed="false">
      <c r="A108" s="27"/>
      <c r="B108" s="17" t="str">
        <f aca="false">IF($A108="","",COUNTIFS(Orders!$C$2:$C$20001,$A108,Orders!$E$2:$E$20001,"COD",Orders!$F$2:$F$20001,"Delivered")+COUNTIFS(Orders!$C$2:$C$20001,$A108,Orders!$E$2:$E$20001,"COD",Orders!$F$2:$F$20001,"RTO"))</f>
        <v/>
      </c>
      <c r="C108" s="17" t="str">
        <f aca="false">IF($A108="","",COUNTIFS(Orders!$C$2:$C$20001,$A108,Orders!$E$2:$E$20001,"COD",Orders!$F$2:$F$20001,"RTO"))</f>
        <v/>
      </c>
      <c r="D108" s="18" t="str">
        <f aca="false">IF($A108="","",IFERROR(C108/B108,0))</f>
        <v/>
      </c>
      <c r="E108" s="17" t="str">
        <f aca="false">IF($A108="","",COUNTIFS(Orders!$C$2:$C$20001,$A108,Orders!$E$2:$E$20001,"Prepaid",Orders!$F$2:$F$20001,"Delivered")+COUNTIFS(Orders!$C$2:$C$20001,$A108,Orders!$E$2:$E$20001,"Prepaid",Orders!$F$2:$F$20001,"RTO"))</f>
        <v/>
      </c>
      <c r="F108" s="17" t="str">
        <f aca="false">IF($A108="","",COUNTIFS(Orders!$C$2:$C$20001,$A108,Orders!$E$2:$E$20001,"Prepaid",Orders!$F$2:$F$20001,"RTO"))</f>
        <v/>
      </c>
      <c r="G108" s="18" t="str">
        <f aca="false">IF($A108="","",IFERROR(F108/E108,0))</f>
        <v/>
      </c>
      <c r="H108" s="19" t="str">
        <f aca="false">IF($A108="","",C108*Settings!$B$11)</f>
        <v/>
      </c>
      <c r="I108" s="20" t="str">
        <f aca="false">IF($A108="","",IF(N(H108)=0,"",RANK(H108,$H$5:$H$2004)))</f>
        <v/>
      </c>
      <c r="J108" s="21" t="str">
        <f aca="false">IF($A108="","",IF(B108=0,"No COD orders",IF(B108&lt;Settings!$B$8,"Too few orders",IF(D108&gt;=Settings!$B$9,"Restrict COD or verify","Keep COD"))))</f>
        <v/>
      </c>
    </row>
    <row r="109" customFormat="false" ht="15" hidden="false" customHeight="false" outlineLevel="0" collapsed="false">
      <c r="A109" s="27"/>
      <c r="B109" s="17" t="str">
        <f aca="false">IF($A109="","",COUNTIFS(Orders!$C$2:$C$20001,$A109,Orders!$E$2:$E$20001,"COD",Orders!$F$2:$F$20001,"Delivered")+COUNTIFS(Orders!$C$2:$C$20001,$A109,Orders!$E$2:$E$20001,"COD",Orders!$F$2:$F$20001,"RTO"))</f>
        <v/>
      </c>
      <c r="C109" s="17" t="str">
        <f aca="false">IF($A109="","",COUNTIFS(Orders!$C$2:$C$20001,$A109,Orders!$E$2:$E$20001,"COD",Orders!$F$2:$F$20001,"RTO"))</f>
        <v/>
      </c>
      <c r="D109" s="18" t="str">
        <f aca="false">IF($A109="","",IFERROR(C109/B109,0))</f>
        <v/>
      </c>
      <c r="E109" s="17" t="str">
        <f aca="false">IF($A109="","",COUNTIFS(Orders!$C$2:$C$20001,$A109,Orders!$E$2:$E$20001,"Prepaid",Orders!$F$2:$F$20001,"Delivered")+COUNTIFS(Orders!$C$2:$C$20001,$A109,Orders!$E$2:$E$20001,"Prepaid",Orders!$F$2:$F$20001,"RTO"))</f>
        <v/>
      </c>
      <c r="F109" s="17" t="str">
        <f aca="false">IF($A109="","",COUNTIFS(Orders!$C$2:$C$20001,$A109,Orders!$E$2:$E$20001,"Prepaid",Orders!$F$2:$F$20001,"RTO"))</f>
        <v/>
      </c>
      <c r="G109" s="18" t="str">
        <f aca="false">IF($A109="","",IFERROR(F109/E109,0))</f>
        <v/>
      </c>
      <c r="H109" s="19" t="str">
        <f aca="false">IF($A109="","",C109*Settings!$B$11)</f>
        <v/>
      </c>
      <c r="I109" s="20" t="str">
        <f aca="false">IF($A109="","",IF(N(H109)=0,"",RANK(H109,$H$5:$H$2004)))</f>
        <v/>
      </c>
      <c r="J109" s="21" t="str">
        <f aca="false">IF($A109="","",IF(B109=0,"No COD orders",IF(B109&lt;Settings!$B$8,"Too few orders",IF(D109&gt;=Settings!$B$9,"Restrict COD or verify","Keep COD"))))</f>
        <v/>
      </c>
    </row>
    <row r="110" customFormat="false" ht="15" hidden="false" customHeight="false" outlineLevel="0" collapsed="false">
      <c r="A110" s="27"/>
      <c r="B110" s="17" t="str">
        <f aca="false">IF($A110="","",COUNTIFS(Orders!$C$2:$C$20001,$A110,Orders!$E$2:$E$20001,"COD",Orders!$F$2:$F$20001,"Delivered")+COUNTIFS(Orders!$C$2:$C$20001,$A110,Orders!$E$2:$E$20001,"COD",Orders!$F$2:$F$20001,"RTO"))</f>
        <v/>
      </c>
      <c r="C110" s="17" t="str">
        <f aca="false">IF($A110="","",COUNTIFS(Orders!$C$2:$C$20001,$A110,Orders!$E$2:$E$20001,"COD",Orders!$F$2:$F$20001,"RTO"))</f>
        <v/>
      </c>
      <c r="D110" s="18" t="str">
        <f aca="false">IF($A110="","",IFERROR(C110/B110,0))</f>
        <v/>
      </c>
      <c r="E110" s="17" t="str">
        <f aca="false">IF($A110="","",COUNTIFS(Orders!$C$2:$C$20001,$A110,Orders!$E$2:$E$20001,"Prepaid",Orders!$F$2:$F$20001,"Delivered")+COUNTIFS(Orders!$C$2:$C$20001,$A110,Orders!$E$2:$E$20001,"Prepaid",Orders!$F$2:$F$20001,"RTO"))</f>
        <v/>
      </c>
      <c r="F110" s="17" t="str">
        <f aca="false">IF($A110="","",COUNTIFS(Orders!$C$2:$C$20001,$A110,Orders!$E$2:$E$20001,"Prepaid",Orders!$F$2:$F$20001,"RTO"))</f>
        <v/>
      </c>
      <c r="G110" s="18" t="str">
        <f aca="false">IF($A110="","",IFERROR(F110/E110,0))</f>
        <v/>
      </c>
      <c r="H110" s="19" t="str">
        <f aca="false">IF($A110="","",C110*Settings!$B$11)</f>
        <v/>
      </c>
      <c r="I110" s="20" t="str">
        <f aca="false">IF($A110="","",IF(N(H110)=0,"",RANK(H110,$H$5:$H$2004)))</f>
        <v/>
      </c>
      <c r="J110" s="21" t="str">
        <f aca="false">IF($A110="","",IF(B110=0,"No COD orders",IF(B110&lt;Settings!$B$8,"Too few orders",IF(D110&gt;=Settings!$B$9,"Restrict COD or verify","Keep COD"))))</f>
        <v/>
      </c>
    </row>
    <row r="111" customFormat="false" ht="15" hidden="false" customHeight="false" outlineLevel="0" collapsed="false">
      <c r="A111" s="27"/>
      <c r="B111" s="17" t="str">
        <f aca="false">IF($A111="","",COUNTIFS(Orders!$C$2:$C$20001,$A111,Orders!$E$2:$E$20001,"COD",Orders!$F$2:$F$20001,"Delivered")+COUNTIFS(Orders!$C$2:$C$20001,$A111,Orders!$E$2:$E$20001,"COD",Orders!$F$2:$F$20001,"RTO"))</f>
        <v/>
      </c>
      <c r="C111" s="17" t="str">
        <f aca="false">IF($A111="","",COUNTIFS(Orders!$C$2:$C$20001,$A111,Orders!$E$2:$E$20001,"COD",Orders!$F$2:$F$20001,"RTO"))</f>
        <v/>
      </c>
      <c r="D111" s="18" t="str">
        <f aca="false">IF($A111="","",IFERROR(C111/B111,0))</f>
        <v/>
      </c>
      <c r="E111" s="17" t="str">
        <f aca="false">IF($A111="","",COUNTIFS(Orders!$C$2:$C$20001,$A111,Orders!$E$2:$E$20001,"Prepaid",Orders!$F$2:$F$20001,"Delivered")+COUNTIFS(Orders!$C$2:$C$20001,$A111,Orders!$E$2:$E$20001,"Prepaid",Orders!$F$2:$F$20001,"RTO"))</f>
        <v/>
      </c>
      <c r="F111" s="17" t="str">
        <f aca="false">IF($A111="","",COUNTIFS(Orders!$C$2:$C$20001,$A111,Orders!$E$2:$E$20001,"Prepaid",Orders!$F$2:$F$20001,"RTO"))</f>
        <v/>
      </c>
      <c r="G111" s="18" t="str">
        <f aca="false">IF($A111="","",IFERROR(F111/E111,0))</f>
        <v/>
      </c>
      <c r="H111" s="19" t="str">
        <f aca="false">IF($A111="","",C111*Settings!$B$11)</f>
        <v/>
      </c>
      <c r="I111" s="20" t="str">
        <f aca="false">IF($A111="","",IF(N(H111)=0,"",RANK(H111,$H$5:$H$2004)))</f>
        <v/>
      </c>
      <c r="J111" s="21" t="str">
        <f aca="false">IF($A111="","",IF(B111=0,"No COD orders",IF(B111&lt;Settings!$B$8,"Too few orders",IF(D111&gt;=Settings!$B$9,"Restrict COD or verify","Keep COD"))))</f>
        <v/>
      </c>
    </row>
    <row r="112" customFormat="false" ht="15" hidden="false" customHeight="false" outlineLevel="0" collapsed="false">
      <c r="A112" s="27"/>
      <c r="B112" s="17" t="str">
        <f aca="false">IF($A112="","",COUNTIFS(Orders!$C$2:$C$20001,$A112,Orders!$E$2:$E$20001,"COD",Orders!$F$2:$F$20001,"Delivered")+COUNTIFS(Orders!$C$2:$C$20001,$A112,Orders!$E$2:$E$20001,"COD",Orders!$F$2:$F$20001,"RTO"))</f>
        <v/>
      </c>
      <c r="C112" s="17" t="str">
        <f aca="false">IF($A112="","",COUNTIFS(Orders!$C$2:$C$20001,$A112,Orders!$E$2:$E$20001,"COD",Orders!$F$2:$F$20001,"RTO"))</f>
        <v/>
      </c>
      <c r="D112" s="18" t="str">
        <f aca="false">IF($A112="","",IFERROR(C112/B112,0))</f>
        <v/>
      </c>
      <c r="E112" s="17" t="str">
        <f aca="false">IF($A112="","",COUNTIFS(Orders!$C$2:$C$20001,$A112,Orders!$E$2:$E$20001,"Prepaid",Orders!$F$2:$F$20001,"Delivered")+COUNTIFS(Orders!$C$2:$C$20001,$A112,Orders!$E$2:$E$20001,"Prepaid",Orders!$F$2:$F$20001,"RTO"))</f>
        <v/>
      </c>
      <c r="F112" s="17" t="str">
        <f aca="false">IF($A112="","",COUNTIFS(Orders!$C$2:$C$20001,$A112,Orders!$E$2:$E$20001,"Prepaid",Orders!$F$2:$F$20001,"RTO"))</f>
        <v/>
      </c>
      <c r="G112" s="18" t="str">
        <f aca="false">IF($A112="","",IFERROR(F112/E112,0))</f>
        <v/>
      </c>
      <c r="H112" s="19" t="str">
        <f aca="false">IF($A112="","",C112*Settings!$B$11)</f>
        <v/>
      </c>
      <c r="I112" s="20" t="str">
        <f aca="false">IF($A112="","",IF(N(H112)=0,"",RANK(H112,$H$5:$H$2004)))</f>
        <v/>
      </c>
      <c r="J112" s="21" t="str">
        <f aca="false">IF($A112="","",IF(B112=0,"No COD orders",IF(B112&lt;Settings!$B$8,"Too few orders",IF(D112&gt;=Settings!$B$9,"Restrict COD or verify","Keep COD"))))</f>
        <v/>
      </c>
    </row>
    <row r="113" customFormat="false" ht="15" hidden="false" customHeight="false" outlineLevel="0" collapsed="false">
      <c r="A113" s="27"/>
      <c r="B113" s="17" t="str">
        <f aca="false">IF($A113="","",COUNTIFS(Orders!$C$2:$C$20001,$A113,Orders!$E$2:$E$20001,"COD",Orders!$F$2:$F$20001,"Delivered")+COUNTIFS(Orders!$C$2:$C$20001,$A113,Orders!$E$2:$E$20001,"COD",Orders!$F$2:$F$20001,"RTO"))</f>
        <v/>
      </c>
      <c r="C113" s="17" t="str">
        <f aca="false">IF($A113="","",COUNTIFS(Orders!$C$2:$C$20001,$A113,Orders!$E$2:$E$20001,"COD",Orders!$F$2:$F$20001,"RTO"))</f>
        <v/>
      </c>
      <c r="D113" s="18" t="str">
        <f aca="false">IF($A113="","",IFERROR(C113/B113,0))</f>
        <v/>
      </c>
      <c r="E113" s="17" t="str">
        <f aca="false">IF($A113="","",COUNTIFS(Orders!$C$2:$C$20001,$A113,Orders!$E$2:$E$20001,"Prepaid",Orders!$F$2:$F$20001,"Delivered")+COUNTIFS(Orders!$C$2:$C$20001,$A113,Orders!$E$2:$E$20001,"Prepaid",Orders!$F$2:$F$20001,"RTO"))</f>
        <v/>
      </c>
      <c r="F113" s="17" t="str">
        <f aca="false">IF($A113="","",COUNTIFS(Orders!$C$2:$C$20001,$A113,Orders!$E$2:$E$20001,"Prepaid",Orders!$F$2:$F$20001,"RTO"))</f>
        <v/>
      </c>
      <c r="G113" s="18" t="str">
        <f aca="false">IF($A113="","",IFERROR(F113/E113,0))</f>
        <v/>
      </c>
      <c r="H113" s="19" t="str">
        <f aca="false">IF($A113="","",C113*Settings!$B$11)</f>
        <v/>
      </c>
      <c r="I113" s="20" t="str">
        <f aca="false">IF($A113="","",IF(N(H113)=0,"",RANK(H113,$H$5:$H$2004)))</f>
        <v/>
      </c>
      <c r="J113" s="21" t="str">
        <f aca="false">IF($A113="","",IF(B113=0,"No COD orders",IF(B113&lt;Settings!$B$8,"Too few orders",IF(D113&gt;=Settings!$B$9,"Restrict COD or verify","Keep COD"))))</f>
        <v/>
      </c>
    </row>
    <row r="114" customFormat="false" ht="15" hidden="false" customHeight="false" outlineLevel="0" collapsed="false">
      <c r="A114" s="27"/>
      <c r="B114" s="17" t="str">
        <f aca="false">IF($A114="","",COUNTIFS(Orders!$C$2:$C$20001,$A114,Orders!$E$2:$E$20001,"COD",Orders!$F$2:$F$20001,"Delivered")+COUNTIFS(Orders!$C$2:$C$20001,$A114,Orders!$E$2:$E$20001,"COD",Orders!$F$2:$F$20001,"RTO"))</f>
        <v/>
      </c>
      <c r="C114" s="17" t="str">
        <f aca="false">IF($A114="","",COUNTIFS(Orders!$C$2:$C$20001,$A114,Orders!$E$2:$E$20001,"COD",Orders!$F$2:$F$20001,"RTO"))</f>
        <v/>
      </c>
      <c r="D114" s="18" t="str">
        <f aca="false">IF($A114="","",IFERROR(C114/B114,0))</f>
        <v/>
      </c>
      <c r="E114" s="17" t="str">
        <f aca="false">IF($A114="","",COUNTIFS(Orders!$C$2:$C$20001,$A114,Orders!$E$2:$E$20001,"Prepaid",Orders!$F$2:$F$20001,"Delivered")+COUNTIFS(Orders!$C$2:$C$20001,$A114,Orders!$E$2:$E$20001,"Prepaid",Orders!$F$2:$F$20001,"RTO"))</f>
        <v/>
      </c>
      <c r="F114" s="17" t="str">
        <f aca="false">IF($A114="","",COUNTIFS(Orders!$C$2:$C$20001,$A114,Orders!$E$2:$E$20001,"Prepaid",Orders!$F$2:$F$20001,"RTO"))</f>
        <v/>
      </c>
      <c r="G114" s="18" t="str">
        <f aca="false">IF($A114="","",IFERROR(F114/E114,0))</f>
        <v/>
      </c>
      <c r="H114" s="19" t="str">
        <f aca="false">IF($A114="","",C114*Settings!$B$11)</f>
        <v/>
      </c>
      <c r="I114" s="20" t="str">
        <f aca="false">IF($A114="","",IF(N(H114)=0,"",RANK(H114,$H$5:$H$2004)))</f>
        <v/>
      </c>
      <c r="J114" s="21" t="str">
        <f aca="false">IF($A114="","",IF(B114=0,"No COD orders",IF(B114&lt;Settings!$B$8,"Too few orders",IF(D114&gt;=Settings!$B$9,"Restrict COD or verify","Keep COD"))))</f>
        <v/>
      </c>
    </row>
    <row r="115" customFormat="false" ht="15" hidden="false" customHeight="false" outlineLevel="0" collapsed="false">
      <c r="A115" s="27"/>
      <c r="B115" s="17" t="str">
        <f aca="false">IF($A115="","",COUNTIFS(Orders!$C$2:$C$20001,$A115,Orders!$E$2:$E$20001,"COD",Orders!$F$2:$F$20001,"Delivered")+COUNTIFS(Orders!$C$2:$C$20001,$A115,Orders!$E$2:$E$20001,"COD",Orders!$F$2:$F$20001,"RTO"))</f>
        <v/>
      </c>
      <c r="C115" s="17" t="str">
        <f aca="false">IF($A115="","",COUNTIFS(Orders!$C$2:$C$20001,$A115,Orders!$E$2:$E$20001,"COD",Orders!$F$2:$F$20001,"RTO"))</f>
        <v/>
      </c>
      <c r="D115" s="18" t="str">
        <f aca="false">IF($A115="","",IFERROR(C115/B115,0))</f>
        <v/>
      </c>
      <c r="E115" s="17" t="str">
        <f aca="false">IF($A115="","",COUNTIFS(Orders!$C$2:$C$20001,$A115,Orders!$E$2:$E$20001,"Prepaid",Orders!$F$2:$F$20001,"Delivered")+COUNTIFS(Orders!$C$2:$C$20001,$A115,Orders!$E$2:$E$20001,"Prepaid",Orders!$F$2:$F$20001,"RTO"))</f>
        <v/>
      </c>
      <c r="F115" s="17" t="str">
        <f aca="false">IF($A115="","",COUNTIFS(Orders!$C$2:$C$20001,$A115,Orders!$E$2:$E$20001,"Prepaid",Orders!$F$2:$F$20001,"RTO"))</f>
        <v/>
      </c>
      <c r="G115" s="18" t="str">
        <f aca="false">IF($A115="","",IFERROR(F115/E115,0))</f>
        <v/>
      </c>
      <c r="H115" s="19" t="str">
        <f aca="false">IF($A115="","",C115*Settings!$B$11)</f>
        <v/>
      </c>
      <c r="I115" s="20" t="str">
        <f aca="false">IF($A115="","",IF(N(H115)=0,"",RANK(H115,$H$5:$H$2004)))</f>
        <v/>
      </c>
      <c r="J115" s="21" t="str">
        <f aca="false">IF($A115="","",IF(B115=0,"No COD orders",IF(B115&lt;Settings!$B$8,"Too few orders",IF(D115&gt;=Settings!$B$9,"Restrict COD or verify","Keep COD"))))</f>
        <v/>
      </c>
    </row>
    <row r="116" customFormat="false" ht="15" hidden="false" customHeight="false" outlineLevel="0" collapsed="false">
      <c r="A116" s="27"/>
      <c r="B116" s="17" t="str">
        <f aca="false">IF($A116="","",COUNTIFS(Orders!$C$2:$C$20001,$A116,Orders!$E$2:$E$20001,"COD",Orders!$F$2:$F$20001,"Delivered")+COUNTIFS(Orders!$C$2:$C$20001,$A116,Orders!$E$2:$E$20001,"COD",Orders!$F$2:$F$20001,"RTO"))</f>
        <v/>
      </c>
      <c r="C116" s="17" t="str">
        <f aca="false">IF($A116="","",COUNTIFS(Orders!$C$2:$C$20001,$A116,Orders!$E$2:$E$20001,"COD",Orders!$F$2:$F$20001,"RTO"))</f>
        <v/>
      </c>
      <c r="D116" s="18" t="str">
        <f aca="false">IF($A116="","",IFERROR(C116/B116,0))</f>
        <v/>
      </c>
      <c r="E116" s="17" t="str">
        <f aca="false">IF($A116="","",COUNTIFS(Orders!$C$2:$C$20001,$A116,Orders!$E$2:$E$20001,"Prepaid",Orders!$F$2:$F$20001,"Delivered")+COUNTIFS(Orders!$C$2:$C$20001,$A116,Orders!$E$2:$E$20001,"Prepaid",Orders!$F$2:$F$20001,"RTO"))</f>
        <v/>
      </c>
      <c r="F116" s="17" t="str">
        <f aca="false">IF($A116="","",COUNTIFS(Orders!$C$2:$C$20001,$A116,Orders!$E$2:$E$20001,"Prepaid",Orders!$F$2:$F$20001,"RTO"))</f>
        <v/>
      </c>
      <c r="G116" s="18" t="str">
        <f aca="false">IF($A116="","",IFERROR(F116/E116,0))</f>
        <v/>
      </c>
      <c r="H116" s="19" t="str">
        <f aca="false">IF($A116="","",C116*Settings!$B$11)</f>
        <v/>
      </c>
      <c r="I116" s="20" t="str">
        <f aca="false">IF($A116="","",IF(N(H116)=0,"",RANK(H116,$H$5:$H$2004)))</f>
        <v/>
      </c>
      <c r="J116" s="21" t="str">
        <f aca="false">IF($A116="","",IF(B116=0,"No COD orders",IF(B116&lt;Settings!$B$8,"Too few orders",IF(D116&gt;=Settings!$B$9,"Restrict COD or verify","Keep COD"))))</f>
        <v/>
      </c>
    </row>
    <row r="117" customFormat="false" ht="15" hidden="false" customHeight="false" outlineLevel="0" collapsed="false">
      <c r="A117" s="27"/>
      <c r="B117" s="17" t="str">
        <f aca="false">IF($A117="","",COUNTIFS(Orders!$C$2:$C$20001,$A117,Orders!$E$2:$E$20001,"COD",Orders!$F$2:$F$20001,"Delivered")+COUNTIFS(Orders!$C$2:$C$20001,$A117,Orders!$E$2:$E$20001,"COD",Orders!$F$2:$F$20001,"RTO"))</f>
        <v/>
      </c>
      <c r="C117" s="17" t="str">
        <f aca="false">IF($A117="","",COUNTIFS(Orders!$C$2:$C$20001,$A117,Orders!$E$2:$E$20001,"COD",Orders!$F$2:$F$20001,"RTO"))</f>
        <v/>
      </c>
      <c r="D117" s="18" t="str">
        <f aca="false">IF($A117="","",IFERROR(C117/B117,0))</f>
        <v/>
      </c>
      <c r="E117" s="17" t="str">
        <f aca="false">IF($A117="","",COUNTIFS(Orders!$C$2:$C$20001,$A117,Orders!$E$2:$E$20001,"Prepaid",Orders!$F$2:$F$20001,"Delivered")+COUNTIFS(Orders!$C$2:$C$20001,$A117,Orders!$E$2:$E$20001,"Prepaid",Orders!$F$2:$F$20001,"RTO"))</f>
        <v/>
      </c>
      <c r="F117" s="17" t="str">
        <f aca="false">IF($A117="","",COUNTIFS(Orders!$C$2:$C$20001,$A117,Orders!$E$2:$E$20001,"Prepaid",Orders!$F$2:$F$20001,"RTO"))</f>
        <v/>
      </c>
      <c r="G117" s="18" t="str">
        <f aca="false">IF($A117="","",IFERROR(F117/E117,0))</f>
        <v/>
      </c>
      <c r="H117" s="19" t="str">
        <f aca="false">IF($A117="","",C117*Settings!$B$11)</f>
        <v/>
      </c>
      <c r="I117" s="20" t="str">
        <f aca="false">IF($A117="","",IF(N(H117)=0,"",RANK(H117,$H$5:$H$2004)))</f>
        <v/>
      </c>
      <c r="J117" s="21" t="str">
        <f aca="false">IF($A117="","",IF(B117=0,"No COD orders",IF(B117&lt;Settings!$B$8,"Too few orders",IF(D117&gt;=Settings!$B$9,"Restrict COD or verify","Keep COD"))))</f>
        <v/>
      </c>
    </row>
    <row r="118" customFormat="false" ht="15" hidden="false" customHeight="false" outlineLevel="0" collapsed="false">
      <c r="A118" s="27"/>
      <c r="B118" s="17" t="str">
        <f aca="false">IF($A118="","",COUNTIFS(Orders!$C$2:$C$20001,$A118,Orders!$E$2:$E$20001,"COD",Orders!$F$2:$F$20001,"Delivered")+COUNTIFS(Orders!$C$2:$C$20001,$A118,Orders!$E$2:$E$20001,"COD",Orders!$F$2:$F$20001,"RTO"))</f>
        <v/>
      </c>
      <c r="C118" s="17" t="str">
        <f aca="false">IF($A118="","",COUNTIFS(Orders!$C$2:$C$20001,$A118,Orders!$E$2:$E$20001,"COD",Orders!$F$2:$F$20001,"RTO"))</f>
        <v/>
      </c>
      <c r="D118" s="18" t="str">
        <f aca="false">IF($A118="","",IFERROR(C118/B118,0))</f>
        <v/>
      </c>
      <c r="E118" s="17" t="str">
        <f aca="false">IF($A118="","",COUNTIFS(Orders!$C$2:$C$20001,$A118,Orders!$E$2:$E$20001,"Prepaid",Orders!$F$2:$F$20001,"Delivered")+COUNTIFS(Orders!$C$2:$C$20001,$A118,Orders!$E$2:$E$20001,"Prepaid",Orders!$F$2:$F$20001,"RTO"))</f>
        <v/>
      </c>
      <c r="F118" s="17" t="str">
        <f aca="false">IF($A118="","",COUNTIFS(Orders!$C$2:$C$20001,$A118,Orders!$E$2:$E$20001,"Prepaid",Orders!$F$2:$F$20001,"RTO"))</f>
        <v/>
      </c>
      <c r="G118" s="18" t="str">
        <f aca="false">IF($A118="","",IFERROR(F118/E118,0))</f>
        <v/>
      </c>
      <c r="H118" s="19" t="str">
        <f aca="false">IF($A118="","",C118*Settings!$B$11)</f>
        <v/>
      </c>
      <c r="I118" s="20" t="str">
        <f aca="false">IF($A118="","",IF(N(H118)=0,"",RANK(H118,$H$5:$H$2004)))</f>
        <v/>
      </c>
      <c r="J118" s="21" t="str">
        <f aca="false">IF($A118="","",IF(B118=0,"No COD orders",IF(B118&lt;Settings!$B$8,"Too few orders",IF(D118&gt;=Settings!$B$9,"Restrict COD or verify","Keep COD"))))</f>
        <v/>
      </c>
    </row>
    <row r="119" customFormat="false" ht="15" hidden="false" customHeight="false" outlineLevel="0" collapsed="false">
      <c r="A119" s="27"/>
      <c r="B119" s="17" t="str">
        <f aca="false">IF($A119="","",COUNTIFS(Orders!$C$2:$C$20001,$A119,Orders!$E$2:$E$20001,"COD",Orders!$F$2:$F$20001,"Delivered")+COUNTIFS(Orders!$C$2:$C$20001,$A119,Orders!$E$2:$E$20001,"COD",Orders!$F$2:$F$20001,"RTO"))</f>
        <v/>
      </c>
      <c r="C119" s="17" t="str">
        <f aca="false">IF($A119="","",COUNTIFS(Orders!$C$2:$C$20001,$A119,Orders!$E$2:$E$20001,"COD",Orders!$F$2:$F$20001,"RTO"))</f>
        <v/>
      </c>
      <c r="D119" s="18" t="str">
        <f aca="false">IF($A119="","",IFERROR(C119/B119,0))</f>
        <v/>
      </c>
      <c r="E119" s="17" t="str">
        <f aca="false">IF($A119="","",COUNTIFS(Orders!$C$2:$C$20001,$A119,Orders!$E$2:$E$20001,"Prepaid",Orders!$F$2:$F$20001,"Delivered")+COUNTIFS(Orders!$C$2:$C$20001,$A119,Orders!$E$2:$E$20001,"Prepaid",Orders!$F$2:$F$20001,"RTO"))</f>
        <v/>
      </c>
      <c r="F119" s="17" t="str">
        <f aca="false">IF($A119="","",COUNTIFS(Orders!$C$2:$C$20001,$A119,Orders!$E$2:$E$20001,"Prepaid",Orders!$F$2:$F$20001,"RTO"))</f>
        <v/>
      </c>
      <c r="G119" s="18" t="str">
        <f aca="false">IF($A119="","",IFERROR(F119/E119,0))</f>
        <v/>
      </c>
      <c r="H119" s="19" t="str">
        <f aca="false">IF($A119="","",C119*Settings!$B$11)</f>
        <v/>
      </c>
      <c r="I119" s="20" t="str">
        <f aca="false">IF($A119="","",IF(N(H119)=0,"",RANK(H119,$H$5:$H$2004)))</f>
        <v/>
      </c>
      <c r="J119" s="21" t="str">
        <f aca="false">IF($A119="","",IF(B119=0,"No COD orders",IF(B119&lt;Settings!$B$8,"Too few orders",IF(D119&gt;=Settings!$B$9,"Restrict COD or verify","Keep COD"))))</f>
        <v/>
      </c>
    </row>
    <row r="120" customFormat="false" ht="15" hidden="false" customHeight="false" outlineLevel="0" collapsed="false">
      <c r="A120" s="27"/>
      <c r="B120" s="17" t="str">
        <f aca="false">IF($A120="","",COUNTIFS(Orders!$C$2:$C$20001,$A120,Orders!$E$2:$E$20001,"COD",Orders!$F$2:$F$20001,"Delivered")+COUNTIFS(Orders!$C$2:$C$20001,$A120,Orders!$E$2:$E$20001,"COD",Orders!$F$2:$F$20001,"RTO"))</f>
        <v/>
      </c>
      <c r="C120" s="17" t="str">
        <f aca="false">IF($A120="","",COUNTIFS(Orders!$C$2:$C$20001,$A120,Orders!$E$2:$E$20001,"COD",Orders!$F$2:$F$20001,"RTO"))</f>
        <v/>
      </c>
      <c r="D120" s="18" t="str">
        <f aca="false">IF($A120="","",IFERROR(C120/B120,0))</f>
        <v/>
      </c>
      <c r="E120" s="17" t="str">
        <f aca="false">IF($A120="","",COUNTIFS(Orders!$C$2:$C$20001,$A120,Orders!$E$2:$E$20001,"Prepaid",Orders!$F$2:$F$20001,"Delivered")+COUNTIFS(Orders!$C$2:$C$20001,$A120,Orders!$E$2:$E$20001,"Prepaid",Orders!$F$2:$F$20001,"RTO"))</f>
        <v/>
      </c>
      <c r="F120" s="17" t="str">
        <f aca="false">IF($A120="","",COUNTIFS(Orders!$C$2:$C$20001,$A120,Orders!$E$2:$E$20001,"Prepaid",Orders!$F$2:$F$20001,"RTO"))</f>
        <v/>
      </c>
      <c r="G120" s="18" t="str">
        <f aca="false">IF($A120="","",IFERROR(F120/E120,0))</f>
        <v/>
      </c>
      <c r="H120" s="19" t="str">
        <f aca="false">IF($A120="","",C120*Settings!$B$11)</f>
        <v/>
      </c>
      <c r="I120" s="20" t="str">
        <f aca="false">IF($A120="","",IF(N(H120)=0,"",RANK(H120,$H$5:$H$2004)))</f>
        <v/>
      </c>
      <c r="J120" s="21" t="str">
        <f aca="false">IF($A120="","",IF(B120=0,"No COD orders",IF(B120&lt;Settings!$B$8,"Too few orders",IF(D120&gt;=Settings!$B$9,"Restrict COD or verify","Keep COD"))))</f>
        <v/>
      </c>
    </row>
    <row r="121" customFormat="false" ht="15" hidden="false" customHeight="false" outlineLevel="0" collapsed="false">
      <c r="A121" s="27"/>
      <c r="B121" s="17" t="str">
        <f aca="false">IF($A121="","",COUNTIFS(Orders!$C$2:$C$20001,$A121,Orders!$E$2:$E$20001,"COD",Orders!$F$2:$F$20001,"Delivered")+COUNTIFS(Orders!$C$2:$C$20001,$A121,Orders!$E$2:$E$20001,"COD",Orders!$F$2:$F$20001,"RTO"))</f>
        <v/>
      </c>
      <c r="C121" s="17" t="str">
        <f aca="false">IF($A121="","",COUNTIFS(Orders!$C$2:$C$20001,$A121,Orders!$E$2:$E$20001,"COD",Orders!$F$2:$F$20001,"RTO"))</f>
        <v/>
      </c>
      <c r="D121" s="18" t="str">
        <f aca="false">IF($A121="","",IFERROR(C121/B121,0))</f>
        <v/>
      </c>
      <c r="E121" s="17" t="str">
        <f aca="false">IF($A121="","",COUNTIFS(Orders!$C$2:$C$20001,$A121,Orders!$E$2:$E$20001,"Prepaid",Orders!$F$2:$F$20001,"Delivered")+COUNTIFS(Orders!$C$2:$C$20001,$A121,Orders!$E$2:$E$20001,"Prepaid",Orders!$F$2:$F$20001,"RTO"))</f>
        <v/>
      </c>
      <c r="F121" s="17" t="str">
        <f aca="false">IF($A121="","",COUNTIFS(Orders!$C$2:$C$20001,$A121,Orders!$E$2:$E$20001,"Prepaid",Orders!$F$2:$F$20001,"RTO"))</f>
        <v/>
      </c>
      <c r="G121" s="18" t="str">
        <f aca="false">IF($A121="","",IFERROR(F121/E121,0))</f>
        <v/>
      </c>
      <c r="H121" s="19" t="str">
        <f aca="false">IF($A121="","",C121*Settings!$B$11)</f>
        <v/>
      </c>
      <c r="I121" s="20" t="str">
        <f aca="false">IF($A121="","",IF(N(H121)=0,"",RANK(H121,$H$5:$H$2004)))</f>
        <v/>
      </c>
      <c r="J121" s="21" t="str">
        <f aca="false">IF($A121="","",IF(B121=0,"No COD orders",IF(B121&lt;Settings!$B$8,"Too few orders",IF(D121&gt;=Settings!$B$9,"Restrict COD or verify","Keep COD"))))</f>
        <v/>
      </c>
    </row>
    <row r="122" customFormat="false" ht="15" hidden="false" customHeight="false" outlineLevel="0" collapsed="false">
      <c r="A122" s="27"/>
      <c r="B122" s="17" t="str">
        <f aca="false">IF($A122="","",COUNTIFS(Orders!$C$2:$C$20001,$A122,Orders!$E$2:$E$20001,"COD",Orders!$F$2:$F$20001,"Delivered")+COUNTIFS(Orders!$C$2:$C$20001,$A122,Orders!$E$2:$E$20001,"COD",Orders!$F$2:$F$20001,"RTO"))</f>
        <v/>
      </c>
      <c r="C122" s="17" t="str">
        <f aca="false">IF($A122="","",COUNTIFS(Orders!$C$2:$C$20001,$A122,Orders!$E$2:$E$20001,"COD",Orders!$F$2:$F$20001,"RTO"))</f>
        <v/>
      </c>
      <c r="D122" s="18" t="str">
        <f aca="false">IF($A122="","",IFERROR(C122/B122,0))</f>
        <v/>
      </c>
      <c r="E122" s="17" t="str">
        <f aca="false">IF($A122="","",COUNTIFS(Orders!$C$2:$C$20001,$A122,Orders!$E$2:$E$20001,"Prepaid",Orders!$F$2:$F$20001,"Delivered")+COUNTIFS(Orders!$C$2:$C$20001,$A122,Orders!$E$2:$E$20001,"Prepaid",Orders!$F$2:$F$20001,"RTO"))</f>
        <v/>
      </c>
      <c r="F122" s="17" t="str">
        <f aca="false">IF($A122="","",COUNTIFS(Orders!$C$2:$C$20001,$A122,Orders!$E$2:$E$20001,"Prepaid",Orders!$F$2:$F$20001,"RTO"))</f>
        <v/>
      </c>
      <c r="G122" s="18" t="str">
        <f aca="false">IF($A122="","",IFERROR(F122/E122,0))</f>
        <v/>
      </c>
      <c r="H122" s="19" t="str">
        <f aca="false">IF($A122="","",C122*Settings!$B$11)</f>
        <v/>
      </c>
      <c r="I122" s="20" t="str">
        <f aca="false">IF($A122="","",IF(N(H122)=0,"",RANK(H122,$H$5:$H$2004)))</f>
        <v/>
      </c>
      <c r="J122" s="21" t="str">
        <f aca="false">IF($A122="","",IF(B122=0,"No COD orders",IF(B122&lt;Settings!$B$8,"Too few orders",IF(D122&gt;=Settings!$B$9,"Restrict COD or verify","Keep COD"))))</f>
        <v/>
      </c>
    </row>
    <row r="123" customFormat="false" ht="15" hidden="false" customHeight="false" outlineLevel="0" collapsed="false">
      <c r="A123" s="27"/>
      <c r="B123" s="17" t="str">
        <f aca="false">IF($A123="","",COUNTIFS(Orders!$C$2:$C$20001,$A123,Orders!$E$2:$E$20001,"COD",Orders!$F$2:$F$20001,"Delivered")+COUNTIFS(Orders!$C$2:$C$20001,$A123,Orders!$E$2:$E$20001,"COD",Orders!$F$2:$F$20001,"RTO"))</f>
        <v/>
      </c>
      <c r="C123" s="17" t="str">
        <f aca="false">IF($A123="","",COUNTIFS(Orders!$C$2:$C$20001,$A123,Orders!$E$2:$E$20001,"COD",Orders!$F$2:$F$20001,"RTO"))</f>
        <v/>
      </c>
      <c r="D123" s="18" t="str">
        <f aca="false">IF($A123="","",IFERROR(C123/B123,0))</f>
        <v/>
      </c>
      <c r="E123" s="17" t="str">
        <f aca="false">IF($A123="","",COUNTIFS(Orders!$C$2:$C$20001,$A123,Orders!$E$2:$E$20001,"Prepaid",Orders!$F$2:$F$20001,"Delivered")+COUNTIFS(Orders!$C$2:$C$20001,$A123,Orders!$E$2:$E$20001,"Prepaid",Orders!$F$2:$F$20001,"RTO"))</f>
        <v/>
      </c>
      <c r="F123" s="17" t="str">
        <f aca="false">IF($A123="","",COUNTIFS(Orders!$C$2:$C$20001,$A123,Orders!$E$2:$E$20001,"Prepaid",Orders!$F$2:$F$20001,"RTO"))</f>
        <v/>
      </c>
      <c r="G123" s="18" t="str">
        <f aca="false">IF($A123="","",IFERROR(F123/E123,0))</f>
        <v/>
      </c>
      <c r="H123" s="19" t="str">
        <f aca="false">IF($A123="","",C123*Settings!$B$11)</f>
        <v/>
      </c>
      <c r="I123" s="20" t="str">
        <f aca="false">IF($A123="","",IF(N(H123)=0,"",RANK(H123,$H$5:$H$2004)))</f>
        <v/>
      </c>
      <c r="J123" s="21" t="str">
        <f aca="false">IF($A123="","",IF(B123=0,"No COD orders",IF(B123&lt;Settings!$B$8,"Too few orders",IF(D123&gt;=Settings!$B$9,"Restrict COD or verify","Keep COD"))))</f>
        <v/>
      </c>
    </row>
    <row r="124" customFormat="false" ht="15" hidden="false" customHeight="false" outlineLevel="0" collapsed="false">
      <c r="A124" s="27"/>
      <c r="B124" s="17" t="str">
        <f aca="false">IF($A124="","",COUNTIFS(Orders!$C$2:$C$20001,$A124,Orders!$E$2:$E$20001,"COD",Orders!$F$2:$F$20001,"Delivered")+COUNTIFS(Orders!$C$2:$C$20001,$A124,Orders!$E$2:$E$20001,"COD",Orders!$F$2:$F$20001,"RTO"))</f>
        <v/>
      </c>
      <c r="C124" s="17" t="str">
        <f aca="false">IF($A124="","",COUNTIFS(Orders!$C$2:$C$20001,$A124,Orders!$E$2:$E$20001,"COD",Orders!$F$2:$F$20001,"RTO"))</f>
        <v/>
      </c>
      <c r="D124" s="18" t="str">
        <f aca="false">IF($A124="","",IFERROR(C124/B124,0))</f>
        <v/>
      </c>
      <c r="E124" s="17" t="str">
        <f aca="false">IF($A124="","",COUNTIFS(Orders!$C$2:$C$20001,$A124,Orders!$E$2:$E$20001,"Prepaid",Orders!$F$2:$F$20001,"Delivered")+COUNTIFS(Orders!$C$2:$C$20001,$A124,Orders!$E$2:$E$20001,"Prepaid",Orders!$F$2:$F$20001,"RTO"))</f>
        <v/>
      </c>
      <c r="F124" s="17" t="str">
        <f aca="false">IF($A124="","",COUNTIFS(Orders!$C$2:$C$20001,$A124,Orders!$E$2:$E$20001,"Prepaid",Orders!$F$2:$F$20001,"RTO"))</f>
        <v/>
      </c>
      <c r="G124" s="18" t="str">
        <f aca="false">IF($A124="","",IFERROR(F124/E124,0))</f>
        <v/>
      </c>
      <c r="H124" s="19" t="str">
        <f aca="false">IF($A124="","",C124*Settings!$B$11)</f>
        <v/>
      </c>
      <c r="I124" s="20" t="str">
        <f aca="false">IF($A124="","",IF(N(H124)=0,"",RANK(H124,$H$5:$H$2004)))</f>
        <v/>
      </c>
      <c r="J124" s="21" t="str">
        <f aca="false">IF($A124="","",IF(B124=0,"No COD orders",IF(B124&lt;Settings!$B$8,"Too few orders",IF(D124&gt;=Settings!$B$9,"Restrict COD or verify","Keep COD"))))</f>
        <v/>
      </c>
    </row>
    <row r="125" customFormat="false" ht="15" hidden="false" customHeight="false" outlineLevel="0" collapsed="false">
      <c r="A125" s="27"/>
      <c r="B125" s="17" t="str">
        <f aca="false">IF($A125="","",COUNTIFS(Orders!$C$2:$C$20001,$A125,Orders!$E$2:$E$20001,"COD",Orders!$F$2:$F$20001,"Delivered")+COUNTIFS(Orders!$C$2:$C$20001,$A125,Orders!$E$2:$E$20001,"COD",Orders!$F$2:$F$20001,"RTO"))</f>
        <v/>
      </c>
      <c r="C125" s="17" t="str">
        <f aca="false">IF($A125="","",COUNTIFS(Orders!$C$2:$C$20001,$A125,Orders!$E$2:$E$20001,"COD",Orders!$F$2:$F$20001,"RTO"))</f>
        <v/>
      </c>
      <c r="D125" s="18" t="str">
        <f aca="false">IF($A125="","",IFERROR(C125/B125,0))</f>
        <v/>
      </c>
      <c r="E125" s="17" t="str">
        <f aca="false">IF($A125="","",COUNTIFS(Orders!$C$2:$C$20001,$A125,Orders!$E$2:$E$20001,"Prepaid",Orders!$F$2:$F$20001,"Delivered")+COUNTIFS(Orders!$C$2:$C$20001,$A125,Orders!$E$2:$E$20001,"Prepaid",Orders!$F$2:$F$20001,"RTO"))</f>
        <v/>
      </c>
      <c r="F125" s="17" t="str">
        <f aca="false">IF($A125="","",COUNTIFS(Orders!$C$2:$C$20001,$A125,Orders!$E$2:$E$20001,"Prepaid",Orders!$F$2:$F$20001,"RTO"))</f>
        <v/>
      </c>
      <c r="G125" s="18" t="str">
        <f aca="false">IF($A125="","",IFERROR(F125/E125,0))</f>
        <v/>
      </c>
      <c r="H125" s="19" t="str">
        <f aca="false">IF($A125="","",C125*Settings!$B$11)</f>
        <v/>
      </c>
      <c r="I125" s="20" t="str">
        <f aca="false">IF($A125="","",IF(N(H125)=0,"",RANK(H125,$H$5:$H$2004)))</f>
        <v/>
      </c>
      <c r="J125" s="21" t="str">
        <f aca="false">IF($A125="","",IF(B125=0,"No COD orders",IF(B125&lt;Settings!$B$8,"Too few orders",IF(D125&gt;=Settings!$B$9,"Restrict COD or verify","Keep COD"))))</f>
        <v/>
      </c>
    </row>
    <row r="126" customFormat="false" ht="15" hidden="false" customHeight="false" outlineLevel="0" collapsed="false">
      <c r="A126" s="27"/>
      <c r="B126" s="17" t="str">
        <f aca="false">IF($A126="","",COUNTIFS(Orders!$C$2:$C$20001,$A126,Orders!$E$2:$E$20001,"COD",Orders!$F$2:$F$20001,"Delivered")+COUNTIFS(Orders!$C$2:$C$20001,$A126,Orders!$E$2:$E$20001,"COD",Orders!$F$2:$F$20001,"RTO"))</f>
        <v/>
      </c>
      <c r="C126" s="17" t="str">
        <f aca="false">IF($A126="","",COUNTIFS(Orders!$C$2:$C$20001,$A126,Orders!$E$2:$E$20001,"COD",Orders!$F$2:$F$20001,"RTO"))</f>
        <v/>
      </c>
      <c r="D126" s="18" t="str">
        <f aca="false">IF($A126="","",IFERROR(C126/B126,0))</f>
        <v/>
      </c>
      <c r="E126" s="17" t="str">
        <f aca="false">IF($A126="","",COUNTIFS(Orders!$C$2:$C$20001,$A126,Orders!$E$2:$E$20001,"Prepaid",Orders!$F$2:$F$20001,"Delivered")+COUNTIFS(Orders!$C$2:$C$20001,$A126,Orders!$E$2:$E$20001,"Prepaid",Orders!$F$2:$F$20001,"RTO"))</f>
        <v/>
      </c>
      <c r="F126" s="17" t="str">
        <f aca="false">IF($A126="","",COUNTIFS(Orders!$C$2:$C$20001,$A126,Orders!$E$2:$E$20001,"Prepaid",Orders!$F$2:$F$20001,"RTO"))</f>
        <v/>
      </c>
      <c r="G126" s="18" t="str">
        <f aca="false">IF($A126="","",IFERROR(F126/E126,0))</f>
        <v/>
      </c>
      <c r="H126" s="19" t="str">
        <f aca="false">IF($A126="","",C126*Settings!$B$11)</f>
        <v/>
      </c>
      <c r="I126" s="20" t="str">
        <f aca="false">IF($A126="","",IF(N(H126)=0,"",RANK(H126,$H$5:$H$2004)))</f>
        <v/>
      </c>
      <c r="J126" s="21" t="str">
        <f aca="false">IF($A126="","",IF(B126=0,"No COD orders",IF(B126&lt;Settings!$B$8,"Too few orders",IF(D126&gt;=Settings!$B$9,"Restrict COD or verify","Keep COD"))))</f>
        <v/>
      </c>
    </row>
    <row r="127" customFormat="false" ht="15" hidden="false" customHeight="false" outlineLevel="0" collapsed="false">
      <c r="A127" s="27"/>
      <c r="B127" s="17" t="str">
        <f aca="false">IF($A127="","",COUNTIFS(Orders!$C$2:$C$20001,$A127,Orders!$E$2:$E$20001,"COD",Orders!$F$2:$F$20001,"Delivered")+COUNTIFS(Orders!$C$2:$C$20001,$A127,Orders!$E$2:$E$20001,"COD",Orders!$F$2:$F$20001,"RTO"))</f>
        <v/>
      </c>
      <c r="C127" s="17" t="str">
        <f aca="false">IF($A127="","",COUNTIFS(Orders!$C$2:$C$20001,$A127,Orders!$E$2:$E$20001,"COD",Orders!$F$2:$F$20001,"RTO"))</f>
        <v/>
      </c>
      <c r="D127" s="18" t="str">
        <f aca="false">IF($A127="","",IFERROR(C127/B127,0))</f>
        <v/>
      </c>
      <c r="E127" s="17" t="str">
        <f aca="false">IF($A127="","",COUNTIFS(Orders!$C$2:$C$20001,$A127,Orders!$E$2:$E$20001,"Prepaid",Orders!$F$2:$F$20001,"Delivered")+COUNTIFS(Orders!$C$2:$C$20001,$A127,Orders!$E$2:$E$20001,"Prepaid",Orders!$F$2:$F$20001,"RTO"))</f>
        <v/>
      </c>
      <c r="F127" s="17" t="str">
        <f aca="false">IF($A127="","",COUNTIFS(Orders!$C$2:$C$20001,$A127,Orders!$E$2:$E$20001,"Prepaid",Orders!$F$2:$F$20001,"RTO"))</f>
        <v/>
      </c>
      <c r="G127" s="18" t="str">
        <f aca="false">IF($A127="","",IFERROR(F127/E127,0))</f>
        <v/>
      </c>
      <c r="H127" s="19" t="str">
        <f aca="false">IF($A127="","",C127*Settings!$B$11)</f>
        <v/>
      </c>
      <c r="I127" s="20" t="str">
        <f aca="false">IF($A127="","",IF(N(H127)=0,"",RANK(H127,$H$5:$H$2004)))</f>
        <v/>
      </c>
      <c r="J127" s="21" t="str">
        <f aca="false">IF($A127="","",IF(B127=0,"No COD orders",IF(B127&lt;Settings!$B$8,"Too few orders",IF(D127&gt;=Settings!$B$9,"Restrict COD or verify","Keep COD"))))</f>
        <v/>
      </c>
    </row>
    <row r="128" customFormat="false" ht="15" hidden="false" customHeight="false" outlineLevel="0" collapsed="false">
      <c r="A128" s="27"/>
      <c r="B128" s="17" t="str">
        <f aca="false">IF($A128="","",COUNTIFS(Orders!$C$2:$C$20001,$A128,Orders!$E$2:$E$20001,"COD",Orders!$F$2:$F$20001,"Delivered")+COUNTIFS(Orders!$C$2:$C$20001,$A128,Orders!$E$2:$E$20001,"COD",Orders!$F$2:$F$20001,"RTO"))</f>
        <v/>
      </c>
      <c r="C128" s="17" t="str">
        <f aca="false">IF($A128="","",COUNTIFS(Orders!$C$2:$C$20001,$A128,Orders!$E$2:$E$20001,"COD",Orders!$F$2:$F$20001,"RTO"))</f>
        <v/>
      </c>
      <c r="D128" s="18" t="str">
        <f aca="false">IF($A128="","",IFERROR(C128/B128,0))</f>
        <v/>
      </c>
      <c r="E128" s="17" t="str">
        <f aca="false">IF($A128="","",COUNTIFS(Orders!$C$2:$C$20001,$A128,Orders!$E$2:$E$20001,"Prepaid",Orders!$F$2:$F$20001,"Delivered")+COUNTIFS(Orders!$C$2:$C$20001,$A128,Orders!$E$2:$E$20001,"Prepaid",Orders!$F$2:$F$20001,"RTO"))</f>
        <v/>
      </c>
      <c r="F128" s="17" t="str">
        <f aca="false">IF($A128="","",COUNTIFS(Orders!$C$2:$C$20001,$A128,Orders!$E$2:$E$20001,"Prepaid",Orders!$F$2:$F$20001,"RTO"))</f>
        <v/>
      </c>
      <c r="G128" s="18" t="str">
        <f aca="false">IF($A128="","",IFERROR(F128/E128,0))</f>
        <v/>
      </c>
      <c r="H128" s="19" t="str">
        <f aca="false">IF($A128="","",C128*Settings!$B$11)</f>
        <v/>
      </c>
      <c r="I128" s="20" t="str">
        <f aca="false">IF($A128="","",IF(N(H128)=0,"",RANK(H128,$H$5:$H$2004)))</f>
        <v/>
      </c>
      <c r="J128" s="21" t="str">
        <f aca="false">IF($A128="","",IF(B128=0,"No COD orders",IF(B128&lt;Settings!$B$8,"Too few orders",IF(D128&gt;=Settings!$B$9,"Restrict COD or verify","Keep COD"))))</f>
        <v/>
      </c>
    </row>
    <row r="129" customFormat="false" ht="15" hidden="false" customHeight="false" outlineLevel="0" collapsed="false">
      <c r="A129" s="27"/>
      <c r="B129" s="17" t="str">
        <f aca="false">IF($A129="","",COUNTIFS(Orders!$C$2:$C$20001,$A129,Orders!$E$2:$E$20001,"COD",Orders!$F$2:$F$20001,"Delivered")+COUNTIFS(Orders!$C$2:$C$20001,$A129,Orders!$E$2:$E$20001,"COD",Orders!$F$2:$F$20001,"RTO"))</f>
        <v/>
      </c>
      <c r="C129" s="17" t="str">
        <f aca="false">IF($A129="","",COUNTIFS(Orders!$C$2:$C$20001,$A129,Orders!$E$2:$E$20001,"COD",Orders!$F$2:$F$20001,"RTO"))</f>
        <v/>
      </c>
      <c r="D129" s="18" t="str">
        <f aca="false">IF($A129="","",IFERROR(C129/B129,0))</f>
        <v/>
      </c>
      <c r="E129" s="17" t="str">
        <f aca="false">IF($A129="","",COUNTIFS(Orders!$C$2:$C$20001,$A129,Orders!$E$2:$E$20001,"Prepaid",Orders!$F$2:$F$20001,"Delivered")+COUNTIFS(Orders!$C$2:$C$20001,$A129,Orders!$E$2:$E$20001,"Prepaid",Orders!$F$2:$F$20001,"RTO"))</f>
        <v/>
      </c>
      <c r="F129" s="17" t="str">
        <f aca="false">IF($A129="","",COUNTIFS(Orders!$C$2:$C$20001,$A129,Orders!$E$2:$E$20001,"Prepaid",Orders!$F$2:$F$20001,"RTO"))</f>
        <v/>
      </c>
      <c r="G129" s="18" t="str">
        <f aca="false">IF($A129="","",IFERROR(F129/E129,0))</f>
        <v/>
      </c>
      <c r="H129" s="19" t="str">
        <f aca="false">IF($A129="","",C129*Settings!$B$11)</f>
        <v/>
      </c>
      <c r="I129" s="20" t="str">
        <f aca="false">IF($A129="","",IF(N(H129)=0,"",RANK(H129,$H$5:$H$2004)))</f>
        <v/>
      </c>
      <c r="J129" s="21" t="str">
        <f aca="false">IF($A129="","",IF(B129=0,"No COD orders",IF(B129&lt;Settings!$B$8,"Too few orders",IF(D129&gt;=Settings!$B$9,"Restrict COD or verify","Keep COD"))))</f>
        <v/>
      </c>
    </row>
    <row r="130" customFormat="false" ht="15" hidden="false" customHeight="false" outlineLevel="0" collapsed="false">
      <c r="A130" s="27"/>
      <c r="B130" s="17" t="str">
        <f aca="false">IF($A130="","",COUNTIFS(Orders!$C$2:$C$20001,$A130,Orders!$E$2:$E$20001,"COD",Orders!$F$2:$F$20001,"Delivered")+COUNTIFS(Orders!$C$2:$C$20001,$A130,Orders!$E$2:$E$20001,"COD",Orders!$F$2:$F$20001,"RTO"))</f>
        <v/>
      </c>
      <c r="C130" s="17" t="str">
        <f aca="false">IF($A130="","",COUNTIFS(Orders!$C$2:$C$20001,$A130,Orders!$E$2:$E$20001,"COD",Orders!$F$2:$F$20001,"RTO"))</f>
        <v/>
      </c>
      <c r="D130" s="18" t="str">
        <f aca="false">IF($A130="","",IFERROR(C130/B130,0))</f>
        <v/>
      </c>
      <c r="E130" s="17" t="str">
        <f aca="false">IF($A130="","",COUNTIFS(Orders!$C$2:$C$20001,$A130,Orders!$E$2:$E$20001,"Prepaid",Orders!$F$2:$F$20001,"Delivered")+COUNTIFS(Orders!$C$2:$C$20001,$A130,Orders!$E$2:$E$20001,"Prepaid",Orders!$F$2:$F$20001,"RTO"))</f>
        <v/>
      </c>
      <c r="F130" s="17" t="str">
        <f aca="false">IF($A130="","",COUNTIFS(Orders!$C$2:$C$20001,$A130,Orders!$E$2:$E$20001,"Prepaid",Orders!$F$2:$F$20001,"RTO"))</f>
        <v/>
      </c>
      <c r="G130" s="18" t="str">
        <f aca="false">IF($A130="","",IFERROR(F130/E130,0))</f>
        <v/>
      </c>
      <c r="H130" s="19" t="str">
        <f aca="false">IF($A130="","",C130*Settings!$B$11)</f>
        <v/>
      </c>
      <c r="I130" s="20" t="str">
        <f aca="false">IF($A130="","",IF(N(H130)=0,"",RANK(H130,$H$5:$H$2004)))</f>
        <v/>
      </c>
      <c r="J130" s="21" t="str">
        <f aca="false">IF($A130="","",IF(B130=0,"No COD orders",IF(B130&lt;Settings!$B$8,"Too few orders",IF(D130&gt;=Settings!$B$9,"Restrict COD or verify","Keep COD"))))</f>
        <v/>
      </c>
    </row>
    <row r="131" customFormat="false" ht="15" hidden="false" customHeight="false" outlineLevel="0" collapsed="false">
      <c r="A131" s="27"/>
      <c r="B131" s="17" t="str">
        <f aca="false">IF($A131="","",COUNTIFS(Orders!$C$2:$C$20001,$A131,Orders!$E$2:$E$20001,"COD",Orders!$F$2:$F$20001,"Delivered")+COUNTIFS(Orders!$C$2:$C$20001,$A131,Orders!$E$2:$E$20001,"COD",Orders!$F$2:$F$20001,"RTO"))</f>
        <v/>
      </c>
      <c r="C131" s="17" t="str">
        <f aca="false">IF($A131="","",COUNTIFS(Orders!$C$2:$C$20001,$A131,Orders!$E$2:$E$20001,"COD",Orders!$F$2:$F$20001,"RTO"))</f>
        <v/>
      </c>
      <c r="D131" s="18" t="str">
        <f aca="false">IF($A131="","",IFERROR(C131/B131,0))</f>
        <v/>
      </c>
      <c r="E131" s="17" t="str">
        <f aca="false">IF($A131="","",COUNTIFS(Orders!$C$2:$C$20001,$A131,Orders!$E$2:$E$20001,"Prepaid",Orders!$F$2:$F$20001,"Delivered")+COUNTIFS(Orders!$C$2:$C$20001,$A131,Orders!$E$2:$E$20001,"Prepaid",Orders!$F$2:$F$20001,"RTO"))</f>
        <v/>
      </c>
      <c r="F131" s="17" t="str">
        <f aca="false">IF($A131="","",COUNTIFS(Orders!$C$2:$C$20001,$A131,Orders!$E$2:$E$20001,"Prepaid",Orders!$F$2:$F$20001,"RTO"))</f>
        <v/>
      </c>
      <c r="G131" s="18" t="str">
        <f aca="false">IF($A131="","",IFERROR(F131/E131,0))</f>
        <v/>
      </c>
      <c r="H131" s="19" t="str">
        <f aca="false">IF($A131="","",C131*Settings!$B$11)</f>
        <v/>
      </c>
      <c r="I131" s="20" t="str">
        <f aca="false">IF($A131="","",IF(N(H131)=0,"",RANK(H131,$H$5:$H$2004)))</f>
        <v/>
      </c>
      <c r="J131" s="21" t="str">
        <f aca="false">IF($A131="","",IF(B131=0,"No COD orders",IF(B131&lt;Settings!$B$8,"Too few orders",IF(D131&gt;=Settings!$B$9,"Restrict COD or verify","Keep COD"))))</f>
        <v/>
      </c>
    </row>
    <row r="132" customFormat="false" ht="15" hidden="false" customHeight="false" outlineLevel="0" collapsed="false">
      <c r="A132" s="27"/>
      <c r="B132" s="17" t="str">
        <f aca="false">IF($A132="","",COUNTIFS(Orders!$C$2:$C$20001,$A132,Orders!$E$2:$E$20001,"COD",Orders!$F$2:$F$20001,"Delivered")+COUNTIFS(Orders!$C$2:$C$20001,$A132,Orders!$E$2:$E$20001,"COD",Orders!$F$2:$F$20001,"RTO"))</f>
        <v/>
      </c>
      <c r="C132" s="17" t="str">
        <f aca="false">IF($A132="","",COUNTIFS(Orders!$C$2:$C$20001,$A132,Orders!$E$2:$E$20001,"COD",Orders!$F$2:$F$20001,"RTO"))</f>
        <v/>
      </c>
      <c r="D132" s="18" t="str">
        <f aca="false">IF($A132="","",IFERROR(C132/B132,0))</f>
        <v/>
      </c>
      <c r="E132" s="17" t="str">
        <f aca="false">IF($A132="","",COUNTIFS(Orders!$C$2:$C$20001,$A132,Orders!$E$2:$E$20001,"Prepaid",Orders!$F$2:$F$20001,"Delivered")+COUNTIFS(Orders!$C$2:$C$20001,$A132,Orders!$E$2:$E$20001,"Prepaid",Orders!$F$2:$F$20001,"RTO"))</f>
        <v/>
      </c>
      <c r="F132" s="17" t="str">
        <f aca="false">IF($A132="","",COUNTIFS(Orders!$C$2:$C$20001,$A132,Orders!$E$2:$E$20001,"Prepaid",Orders!$F$2:$F$20001,"RTO"))</f>
        <v/>
      </c>
      <c r="G132" s="18" t="str">
        <f aca="false">IF($A132="","",IFERROR(F132/E132,0))</f>
        <v/>
      </c>
      <c r="H132" s="19" t="str">
        <f aca="false">IF($A132="","",C132*Settings!$B$11)</f>
        <v/>
      </c>
      <c r="I132" s="20" t="str">
        <f aca="false">IF($A132="","",IF(N(H132)=0,"",RANK(H132,$H$5:$H$2004)))</f>
        <v/>
      </c>
      <c r="J132" s="21" t="str">
        <f aca="false">IF($A132="","",IF(B132=0,"No COD orders",IF(B132&lt;Settings!$B$8,"Too few orders",IF(D132&gt;=Settings!$B$9,"Restrict COD or verify","Keep COD"))))</f>
        <v/>
      </c>
    </row>
    <row r="133" customFormat="false" ht="15" hidden="false" customHeight="false" outlineLevel="0" collapsed="false">
      <c r="A133" s="27"/>
      <c r="B133" s="17" t="str">
        <f aca="false">IF($A133="","",COUNTIFS(Orders!$C$2:$C$20001,$A133,Orders!$E$2:$E$20001,"COD",Orders!$F$2:$F$20001,"Delivered")+COUNTIFS(Orders!$C$2:$C$20001,$A133,Orders!$E$2:$E$20001,"COD",Orders!$F$2:$F$20001,"RTO"))</f>
        <v/>
      </c>
      <c r="C133" s="17" t="str">
        <f aca="false">IF($A133="","",COUNTIFS(Orders!$C$2:$C$20001,$A133,Orders!$E$2:$E$20001,"COD",Orders!$F$2:$F$20001,"RTO"))</f>
        <v/>
      </c>
      <c r="D133" s="18" t="str">
        <f aca="false">IF($A133="","",IFERROR(C133/B133,0))</f>
        <v/>
      </c>
      <c r="E133" s="17" t="str">
        <f aca="false">IF($A133="","",COUNTIFS(Orders!$C$2:$C$20001,$A133,Orders!$E$2:$E$20001,"Prepaid",Orders!$F$2:$F$20001,"Delivered")+COUNTIFS(Orders!$C$2:$C$20001,$A133,Orders!$E$2:$E$20001,"Prepaid",Orders!$F$2:$F$20001,"RTO"))</f>
        <v/>
      </c>
      <c r="F133" s="17" t="str">
        <f aca="false">IF($A133="","",COUNTIFS(Orders!$C$2:$C$20001,$A133,Orders!$E$2:$E$20001,"Prepaid",Orders!$F$2:$F$20001,"RTO"))</f>
        <v/>
      </c>
      <c r="G133" s="18" t="str">
        <f aca="false">IF($A133="","",IFERROR(F133/E133,0))</f>
        <v/>
      </c>
      <c r="H133" s="19" t="str">
        <f aca="false">IF($A133="","",C133*Settings!$B$11)</f>
        <v/>
      </c>
      <c r="I133" s="20" t="str">
        <f aca="false">IF($A133="","",IF(N(H133)=0,"",RANK(H133,$H$5:$H$2004)))</f>
        <v/>
      </c>
      <c r="J133" s="21" t="str">
        <f aca="false">IF($A133="","",IF(B133=0,"No COD orders",IF(B133&lt;Settings!$B$8,"Too few orders",IF(D133&gt;=Settings!$B$9,"Restrict COD or verify","Keep COD"))))</f>
        <v/>
      </c>
    </row>
    <row r="134" customFormat="false" ht="15" hidden="false" customHeight="false" outlineLevel="0" collapsed="false">
      <c r="A134" s="27"/>
      <c r="B134" s="17" t="str">
        <f aca="false">IF($A134="","",COUNTIFS(Orders!$C$2:$C$20001,$A134,Orders!$E$2:$E$20001,"COD",Orders!$F$2:$F$20001,"Delivered")+COUNTIFS(Orders!$C$2:$C$20001,$A134,Orders!$E$2:$E$20001,"COD",Orders!$F$2:$F$20001,"RTO"))</f>
        <v/>
      </c>
      <c r="C134" s="17" t="str">
        <f aca="false">IF($A134="","",COUNTIFS(Orders!$C$2:$C$20001,$A134,Orders!$E$2:$E$20001,"COD",Orders!$F$2:$F$20001,"RTO"))</f>
        <v/>
      </c>
      <c r="D134" s="18" t="str">
        <f aca="false">IF($A134="","",IFERROR(C134/B134,0))</f>
        <v/>
      </c>
      <c r="E134" s="17" t="str">
        <f aca="false">IF($A134="","",COUNTIFS(Orders!$C$2:$C$20001,$A134,Orders!$E$2:$E$20001,"Prepaid",Orders!$F$2:$F$20001,"Delivered")+COUNTIFS(Orders!$C$2:$C$20001,$A134,Orders!$E$2:$E$20001,"Prepaid",Orders!$F$2:$F$20001,"RTO"))</f>
        <v/>
      </c>
      <c r="F134" s="17" t="str">
        <f aca="false">IF($A134="","",COUNTIFS(Orders!$C$2:$C$20001,$A134,Orders!$E$2:$E$20001,"Prepaid",Orders!$F$2:$F$20001,"RTO"))</f>
        <v/>
      </c>
      <c r="G134" s="18" t="str">
        <f aca="false">IF($A134="","",IFERROR(F134/E134,0))</f>
        <v/>
      </c>
      <c r="H134" s="19" t="str">
        <f aca="false">IF($A134="","",C134*Settings!$B$11)</f>
        <v/>
      </c>
      <c r="I134" s="20" t="str">
        <f aca="false">IF($A134="","",IF(N(H134)=0,"",RANK(H134,$H$5:$H$2004)))</f>
        <v/>
      </c>
      <c r="J134" s="21" t="str">
        <f aca="false">IF($A134="","",IF(B134=0,"No COD orders",IF(B134&lt;Settings!$B$8,"Too few orders",IF(D134&gt;=Settings!$B$9,"Restrict COD or verify","Keep COD"))))</f>
        <v/>
      </c>
    </row>
    <row r="135" customFormat="false" ht="15" hidden="false" customHeight="false" outlineLevel="0" collapsed="false">
      <c r="A135" s="27"/>
      <c r="B135" s="17" t="str">
        <f aca="false">IF($A135="","",COUNTIFS(Orders!$C$2:$C$20001,$A135,Orders!$E$2:$E$20001,"COD",Orders!$F$2:$F$20001,"Delivered")+COUNTIFS(Orders!$C$2:$C$20001,$A135,Orders!$E$2:$E$20001,"COD",Orders!$F$2:$F$20001,"RTO"))</f>
        <v/>
      </c>
      <c r="C135" s="17" t="str">
        <f aca="false">IF($A135="","",COUNTIFS(Orders!$C$2:$C$20001,$A135,Orders!$E$2:$E$20001,"COD",Orders!$F$2:$F$20001,"RTO"))</f>
        <v/>
      </c>
      <c r="D135" s="18" t="str">
        <f aca="false">IF($A135="","",IFERROR(C135/B135,0))</f>
        <v/>
      </c>
      <c r="E135" s="17" t="str">
        <f aca="false">IF($A135="","",COUNTIFS(Orders!$C$2:$C$20001,$A135,Orders!$E$2:$E$20001,"Prepaid",Orders!$F$2:$F$20001,"Delivered")+COUNTIFS(Orders!$C$2:$C$20001,$A135,Orders!$E$2:$E$20001,"Prepaid",Orders!$F$2:$F$20001,"RTO"))</f>
        <v/>
      </c>
      <c r="F135" s="17" t="str">
        <f aca="false">IF($A135="","",COUNTIFS(Orders!$C$2:$C$20001,$A135,Orders!$E$2:$E$20001,"Prepaid",Orders!$F$2:$F$20001,"RTO"))</f>
        <v/>
      </c>
      <c r="G135" s="18" t="str">
        <f aca="false">IF($A135="","",IFERROR(F135/E135,0))</f>
        <v/>
      </c>
      <c r="H135" s="19" t="str">
        <f aca="false">IF($A135="","",C135*Settings!$B$11)</f>
        <v/>
      </c>
      <c r="I135" s="20" t="str">
        <f aca="false">IF($A135="","",IF(N(H135)=0,"",RANK(H135,$H$5:$H$2004)))</f>
        <v/>
      </c>
      <c r="J135" s="21" t="str">
        <f aca="false">IF($A135="","",IF(B135=0,"No COD orders",IF(B135&lt;Settings!$B$8,"Too few orders",IF(D135&gt;=Settings!$B$9,"Restrict COD or verify","Keep COD"))))</f>
        <v/>
      </c>
    </row>
    <row r="136" customFormat="false" ht="15" hidden="false" customHeight="false" outlineLevel="0" collapsed="false">
      <c r="A136" s="27"/>
      <c r="B136" s="17" t="str">
        <f aca="false">IF($A136="","",COUNTIFS(Orders!$C$2:$C$20001,$A136,Orders!$E$2:$E$20001,"COD",Orders!$F$2:$F$20001,"Delivered")+COUNTIFS(Orders!$C$2:$C$20001,$A136,Orders!$E$2:$E$20001,"COD",Orders!$F$2:$F$20001,"RTO"))</f>
        <v/>
      </c>
      <c r="C136" s="17" t="str">
        <f aca="false">IF($A136="","",COUNTIFS(Orders!$C$2:$C$20001,$A136,Orders!$E$2:$E$20001,"COD",Orders!$F$2:$F$20001,"RTO"))</f>
        <v/>
      </c>
      <c r="D136" s="18" t="str">
        <f aca="false">IF($A136="","",IFERROR(C136/B136,0))</f>
        <v/>
      </c>
      <c r="E136" s="17" t="str">
        <f aca="false">IF($A136="","",COUNTIFS(Orders!$C$2:$C$20001,$A136,Orders!$E$2:$E$20001,"Prepaid",Orders!$F$2:$F$20001,"Delivered")+COUNTIFS(Orders!$C$2:$C$20001,$A136,Orders!$E$2:$E$20001,"Prepaid",Orders!$F$2:$F$20001,"RTO"))</f>
        <v/>
      </c>
      <c r="F136" s="17" t="str">
        <f aca="false">IF($A136="","",COUNTIFS(Orders!$C$2:$C$20001,$A136,Orders!$E$2:$E$20001,"Prepaid",Orders!$F$2:$F$20001,"RTO"))</f>
        <v/>
      </c>
      <c r="G136" s="18" t="str">
        <f aca="false">IF($A136="","",IFERROR(F136/E136,0))</f>
        <v/>
      </c>
      <c r="H136" s="19" t="str">
        <f aca="false">IF($A136="","",C136*Settings!$B$11)</f>
        <v/>
      </c>
      <c r="I136" s="20" t="str">
        <f aca="false">IF($A136="","",IF(N(H136)=0,"",RANK(H136,$H$5:$H$2004)))</f>
        <v/>
      </c>
      <c r="J136" s="21" t="str">
        <f aca="false">IF($A136="","",IF(B136=0,"No COD orders",IF(B136&lt;Settings!$B$8,"Too few orders",IF(D136&gt;=Settings!$B$9,"Restrict COD or verify","Keep COD"))))</f>
        <v/>
      </c>
    </row>
    <row r="137" customFormat="false" ht="15" hidden="false" customHeight="false" outlineLevel="0" collapsed="false">
      <c r="A137" s="27"/>
      <c r="B137" s="17" t="str">
        <f aca="false">IF($A137="","",COUNTIFS(Orders!$C$2:$C$20001,$A137,Orders!$E$2:$E$20001,"COD",Orders!$F$2:$F$20001,"Delivered")+COUNTIFS(Orders!$C$2:$C$20001,$A137,Orders!$E$2:$E$20001,"COD",Orders!$F$2:$F$20001,"RTO"))</f>
        <v/>
      </c>
      <c r="C137" s="17" t="str">
        <f aca="false">IF($A137="","",COUNTIFS(Orders!$C$2:$C$20001,$A137,Orders!$E$2:$E$20001,"COD",Orders!$F$2:$F$20001,"RTO"))</f>
        <v/>
      </c>
      <c r="D137" s="18" t="str">
        <f aca="false">IF($A137="","",IFERROR(C137/B137,0))</f>
        <v/>
      </c>
      <c r="E137" s="17" t="str">
        <f aca="false">IF($A137="","",COUNTIFS(Orders!$C$2:$C$20001,$A137,Orders!$E$2:$E$20001,"Prepaid",Orders!$F$2:$F$20001,"Delivered")+COUNTIFS(Orders!$C$2:$C$20001,$A137,Orders!$E$2:$E$20001,"Prepaid",Orders!$F$2:$F$20001,"RTO"))</f>
        <v/>
      </c>
      <c r="F137" s="17" t="str">
        <f aca="false">IF($A137="","",COUNTIFS(Orders!$C$2:$C$20001,$A137,Orders!$E$2:$E$20001,"Prepaid",Orders!$F$2:$F$20001,"RTO"))</f>
        <v/>
      </c>
      <c r="G137" s="18" t="str">
        <f aca="false">IF($A137="","",IFERROR(F137/E137,0))</f>
        <v/>
      </c>
      <c r="H137" s="19" t="str">
        <f aca="false">IF($A137="","",C137*Settings!$B$11)</f>
        <v/>
      </c>
      <c r="I137" s="20" t="str">
        <f aca="false">IF($A137="","",IF(N(H137)=0,"",RANK(H137,$H$5:$H$2004)))</f>
        <v/>
      </c>
      <c r="J137" s="21" t="str">
        <f aca="false">IF($A137="","",IF(B137=0,"No COD orders",IF(B137&lt;Settings!$B$8,"Too few orders",IF(D137&gt;=Settings!$B$9,"Restrict COD or verify","Keep COD"))))</f>
        <v/>
      </c>
    </row>
    <row r="138" customFormat="false" ht="15" hidden="false" customHeight="false" outlineLevel="0" collapsed="false">
      <c r="A138" s="27"/>
      <c r="B138" s="17" t="str">
        <f aca="false">IF($A138="","",COUNTIFS(Orders!$C$2:$C$20001,$A138,Orders!$E$2:$E$20001,"COD",Orders!$F$2:$F$20001,"Delivered")+COUNTIFS(Orders!$C$2:$C$20001,$A138,Orders!$E$2:$E$20001,"COD",Orders!$F$2:$F$20001,"RTO"))</f>
        <v/>
      </c>
      <c r="C138" s="17" t="str">
        <f aca="false">IF($A138="","",COUNTIFS(Orders!$C$2:$C$20001,$A138,Orders!$E$2:$E$20001,"COD",Orders!$F$2:$F$20001,"RTO"))</f>
        <v/>
      </c>
      <c r="D138" s="18" t="str">
        <f aca="false">IF($A138="","",IFERROR(C138/B138,0))</f>
        <v/>
      </c>
      <c r="E138" s="17" t="str">
        <f aca="false">IF($A138="","",COUNTIFS(Orders!$C$2:$C$20001,$A138,Orders!$E$2:$E$20001,"Prepaid",Orders!$F$2:$F$20001,"Delivered")+COUNTIFS(Orders!$C$2:$C$20001,$A138,Orders!$E$2:$E$20001,"Prepaid",Orders!$F$2:$F$20001,"RTO"))</f>
        <v/>
      </c>
      <c r="F138" s="17" t="str">
        <f aca="false">IF($A138="","",COUNTIFS(Orders!$C$2:$C$20001,$A138,Orders!$E$2:$E$20001,"Prepaid",Orders!$F$2:$F$20001,"RTO"))</f>
        <v/>
      </c>
      <c r="G138" s="18" t="str">
        <f aca="false">IF($A138="","",IFERROR(F138/E138,0))</f>
        <v/>
      </c>
      <c r="H138" s="19" t="str">
        <f aca="false">IF($A138="","",C138*Settings!$B$11)</f>
        <v/>
      </c>
      <c r="I138" s="20" t="str">
        <f aca="false">IF($A138="","",IF(N(H138)=0,"",RANK(H138,$H$5:$H$2004)))</f>
        <v/>
      </c>
      <c r="J138" s="21" t="str">
        <f aca="false">IF($A138="","",IF(B138=0,"No COD orders",IF(B138&lt;Settings!$B$8,"Too few orders",IF(D138&gt;=Settings!$B$9,"Restrict COD or verify","Keep COD"))))</f>
        <v/>
      </c>
    </row>
    <row r="139" customFormat="false" ht="15" hidden="false" customHeight="false" outlineLevel="0" collapsed="false">
      <c r="A139" s="27"/>
      <c r="B139" s="17" t="str">
        <f aca="false">IF($A139="","",COUNTIFS(Orders!$C$2:$C$20001,$A139,Orders!$E$2:$E$20001,"COD",Orders!$F$2:$F$20001,"Delivered")+COUNTIFS(Orders!$C$2:$C$20001,$A139,Orders!$E$2:$E$20001,"COD",Orders!$F$2:$F$20001,"RTO"))</f>
        <v/>
      </c>
      <c r="C139" s="17" t="str">
        <f aca="false">IF($A139="","",COUNTIFS(Orders!$C$2:$C$20001,$A139,Orders!$E$2:$E$20001,"COD",Orders!$F$2:$F$20001,"RTO"))</f>
        <v/>
      </c>
      <c r="D139" s="18" t="str">
        <f aca="false">IF($A139="","",IFERROR(C139/B139,0))</f>
        <v/>
      </c>
      <c r="E139" s="17" t="str">
        <f aca="false">IF($A139="","",COUNTIFS(Orders!$C$2:$C$20001,$A139,Orders!$E$2:$E$20001,"Prepaid",Orders!$F$2:$F$20001,"Delivered")+COUNTIFS(Orders!$C$2:$C$20001,$A139,Orders!$E$2:$E$20001,"Prepaid",Orders!$F$2:$F$20001,"RTO"))</f>
        <v/>
      </c>
      <c r="F139" s="17" t="str">
        <f aca="false">IF($A139="","",COUNTIFS(Orders!$C$2:$C$20001,$A139,Orders!$E$2:$E$20001,"Prepaid",Orders!$F$2:$F$20001,"RTO"))</f>
        <v/>
      </c>
      <c r="G139" s="18" t="str">
        <f aca="false">IF($A139="","",IFERROR(F139/E139,0))</f>
        <v/>
      </c>
      <c r="H139" s="19" t="str">
        <f aca="false">IF($A139="","",C139*Settings!$B$11)</f>
        <v/>
      </c>
      <c r="I139" s="20" t="str">
        <f aca="false">IF($A139="","",IF(N(H139)=0,"",RANK(H139,$H$5:$H$2004)))</f>
        <v/>
      </c>
      <c r="J139" s="21" t="str">
        <f aca="false">IF($A139="","",IF(B139=0,"No COD orders",IF(B139&lt;Settings!$B$8,"Too few orders",IF(D139&gt;=Settings!$B$9,"Restrict COD or verify","Keep COD"))))</f>
        <v/>
      </c>
    </row>
    <row r="140" customFormat="false" ht="15" hidden="false" customHeight="false" outlineLevel="0" collapsed="false">
      <c r="A140" s="27"/>
      <c r="B140" s="17" t="str">
        <f aca="false">IF($A140="","",COUNTIFS(Orders!$C$2:$C$20001,$A140,Orders!$E$2:$E$20001,"COD",Orders!$F$2:$F$20001,"Delivered")+COUNTIFS(Orders!$C$2:$C$20001,$A140,Orders!$E$2:$E$20001,"COD",Orders!$F$2:$F$20001,"RTO"))</f>
        <v/>
      </c>
      <c r="C140" s="17" t="str">
        <f aca="false">IF($A140="","",COUNTIFS(Orders!$C$2:$C$20001,$A140,Orders!$E$2:$E$20001,"COD",Orders!$F$2:$F$20001,"RTO"))</f>
        <v/>
      </c>
      <c r="D140" s="18" t="str">
        <f aca="false">IF($A140="","",IFERROR(C140/B140,0))</f>
        <v/>
      </c>
      <c r="E140" s="17" t="str">
        <f aca="false">IF($A140="","",COUNTIFS(Orders!$C$2:$C$20001,$A140,Orders!$E$2:$E$20001,"Prepaid",Orders!$F$2:$F$20001,"Delivered")+COUNTIFS(Orders!$C$2:$C$20001,$A140,Orders!$E$2:$E$20001,"Prepaid",Orders!$F$2:$F$20001,"RTO"))</f>
        <v/>
      </c>
      <c r="F140" s="17" t="str">
        <f aca="false">IF($A140="","",COUNTIFS(Orders!$C$2:$C$20001,$A140,Orders!$E$2:$E$20001,"Prepaid",Orders!$F$2:$F$20001,"RTO"))</f>
        <v/>
      </c>
      <c r="G140" s="18" t="str">
        <f aca="false">IF($A140="","",IFERROR(F140/E140,0))</f>
        <v/>
      </c>
      <c r="H140" s="19" t="str">
        <f aca="false">IF($A140="","",C140*Settings!$B$11)</f>
        <v/>
      </c>
      <c r="I140" s="20" t="str">
        <f aca="false">IF($A140="","",IF(N(H140)=0,"",RANK(H140,$H$5:$H$2004)))</f>
        <v/>
      </c>
      <c r="J140" s="21" t="str">
        <f aca="false">IF($A140="","",IF(B140=0,"No COD orders",IF(B140&lt;Settings!$B$8,"Too few orders",IF(D140&gt;=Settings!$B$9,"Restrict COD or verify","Keep COD"))))</f>
        <v/>
      </c>
    </row>
    <row r="141" customFormat="false" ht="15" hidden="false" customHeight="false" outlineLevel="0" collapsed="false">
      <c r="A141" s="27"/>
      <c r="B141" s="17" t="str">
        <f aca="false">IF($A141="","",COUNTIFS(Orders!$C$2:$C$20001,$A141,Orders!$E$2:$E$20001,"COD",Orders!$F$2:$F$20001,"Delivered")+COUNTIFS(Orders!$C$2:$C$20001,$A141,Orders!$E$2:$E$20001,"COD",Orders!$F$2:$F$20001,"RTO"))</f>
        <v/>
      </c>
      <c r="C141" s="17" t="str">
        <f aca="false">IF($A141="","",COUNTIFS(Orders!$C$2:$C$20001,$A141,Orders!$E$2:$E$20001,"COD",Orders!$F$2:$F$20001,"RTO"))</f>
        <v/>
      </c>
      <c r="D141" s="18" t="str">
        <f aca="false">IF($A141="","",IFERROR(C141/B141,0))</f>
        <v/>
      </c>
      <c r="E141" s="17" t="str">
        <f aca="false">IF($A141="","",COUNTIFS(Orders!$C$2:$C$20001,$A141,Orders!$E$2:$E$20001,"Prepaid",Orders!$F$2:$F$20001,"Delivered")+COUNTIFS(Orders!$C$2:$C$20001,$A141,Orders!$E$2:$E$20001,"Prepaid",Orders!$F$2:$F$20001,"RTO"))</f>
        <v/>
      </c>
      <c r="F141" s="17" t="str">
        <f aca="false">IF($A141="","",COUNTIFS(Orders!$C$2:$C$20001,$A141,Orders!$E$2:$E$20001,"Prepaid",Orders!$F$2:$F$20001,"RTO"))</f>
        <v/>
      </c>
      <c r="G141" s="18" t="str">
        <f aca="false">IF($A141="","",IFERROR(F141/E141,0))</f>
        <v/>
      </c>
      <c r="H141" s="19" t="str">
        <f aca="false">IF($A141="","",C141*Settings!$B$11)</f>
        <v/>
      </c>
      <c r="I141" s="20" t="str">
        <f aca="false">IF($A141="","",IF(N(H141)=0,"",RANK(H141,$H$5:$H$2004)))</f>
        <v/>
      </c>
      <c r="J141" s="21" t="str">
        <f aca="false">IF($A141="","",IF(B141=0,"No COD orders",IF(B141&lt;Settings!$B$8,"Too few orders",IF(D141&gt;=Settings!$B$9,"Restrict COD or verify","Keep COD"))))</f>
        <v/>
      </c>
    </row>
    <row r="142" customFormat="false" ht="15" hidden="false" customHeight="false" outlineLevel="0" collapsed="false">
      <c r="A142" s="27"/>
      <c r="B142" s="17" t="str">
        <f aca="false">IF($A142="","",COUNTIFS(Orders!$C$2:$C$20001,$A142,Orders!$E$2:$E$20001,"COD",Orders!$F$2:$F$20001,"Delivered")+COUNTIFS(Orders!$C$2:$C$20001,$A142,Orders!$E$2:$E$20001,"COD",Orders!$F$2:$F$20001,"RTO"))</f>
        <v/>
      </c>
      <c r="C142" s="17" t="str">
        <f aca="false">IF($A142="","",COUNTIFS(Orders!$C$2:$C$20001,$A142,Orders!$E$2:$E$20001,"COD",Orders!$F$2:$F$20001,"RTO"))</f>
        <v/>
      </c>
      <c r="D142" s="18" t="str">
        <f aca="false">IF($A142="","",IFERROR(C142/B142,0))</f>
        <v/>
      </c>
      <c r="E142" s="17" t="str">
        <f aca="false">IF($A142="","",COUNTIFS(Orders!$C$2:$C$20001,$A142,Orders!$E$2:$E$20001,"Prepaid",Orders!$F$2:$F$20001,"Delivered")+COUNTIFS(Orders!$C$2:$C$20001,$A142,Orders!$E$2:$E$20001,"Prepaid",Orders!$F$2:$F$20001,"RTO"))</f>
        <v/>
      </c>
      <c r="F142" s="17" t="str">
        <f aca="false">IF($A142="","",COUNTIFS(Orders!$C$2:$C$20001,$A142,Orders!$E$2:$E$20001,"Prepaid",Orders!$F$2:$F$20001,"RTO"))</f>
        <v/>
      </c>
      <c r="G142" s="18" t="str">
        <f aca="false">IF($A142="","",IFERROR(F142/E142,0))</f>
        <v/>
      </c>
      <c r="H142" s="19" t="str">
        <f aca="false">IF($A142="","",C142*Settings!$B$11)</f>
        <v/>
      </c>
      <c r="I142" s="20" t="str">
        <f aca="false">IF($A142="","",IF(N(H142)=0,"",RANK(H142,$H$5:$H$2004)))</f>
        <v/>
      </c>
      <c r="J142" s="21" t="str">
        <f aca="false">IF($A142="","",IF(B142=0,"No COD orders",IF(B142&lt;Settings!$B$8,"Too few orders",IF(D142&gt;=Settings!$B$9,"Restrict COD or verify","Keep COD"))))</f>
        <v/>
      </c>
    </row>
    <row r="143" customFormat="false" ht="15" hidden="false" customHeight="false" outlineLevel="0" collapsed="false">
      <c r="A143" s="27"/>
      <c r="B143" s="17" t="str">
        <f aca="false">IF($A143="","",COUNTIFS(Orders!$C$2:$C$20001,$A143,Orders!$E$2:$E$20001,"COD",Orders!$F$2:$F$20001,"Delivered")+COUNTIFS(Orders!$C$2:$C$20001,$A143,Orders!$E$2:$E$20001,"COD",Orders!$F$2:$F$20001,"RTO"))</f>
        <v/>
      </c>
      <c r="C143" s="17" t="str">
        <f aca="false">IF($A143="","",COUNTIFS(Orders!$C$2:$C$20001,$A143,Orders!$E$2:$E$20001,"COD",Orders!$F$2:$F$20001,"RTO"))</f>
        <v/>
      </c>
      <c r="D143" s="18" t="str">
        <f aca="false">IF($A143="","",IFERROR(C143/B143,0))</f>
        <v/>
      </c>
      <c r="E143" s="17" t="str">
        <f aca="false">IF($A143="","",COUNTIFS(Orders!$C$2:$C$20001,$A143,Orders!$E$2:$E$20001,"Prepaid",Orders!$F$2:$F$20001,"Delivered")+COUNTIFS(Orders!$C$2:$C$20001,$A143,Orders!$E$2:$E$20001,"Prepaid",Orders!$F$2:$F$20001,"RTO"))</f>
        <v/>
      </c>
      <c r="F143" s="17" t="str">
        <f aca="false">IF($A143="","",COUNTIFS(Orders!$C$2:$C$20001,$A143,Orders!$E$2:$E$20001,"Prepaid",Orders!$F$2:$F$20001,"RTO"))</f>
        <v/>
      </c>
      <c r="G143" s="18" t="str">
        <f aca="false">IF($A143="","",IFERROR(F143/E143,0))</f>
        <v/>
      </c>
      <c r="H143" s="19" t="str">
        <f aca="false">IF($A143="","",C143*Settings!$B$11)</f>
        <v/>
      </c>
      <c r="I143" s="20" t="str">
        <f aca="false">IF($A143="","",IF(N(H143)=0,"",RANK(H143,$H$5:$H$2004)))</f>
        <v/>
      </c>
      <c r="J143" s="21" t="str">
        <f aca="false">IF($A143="","",IF(B143=0,"No COD orders",IF(B143&lt;Settings!$B$8,"Too few orders",IF(D143&gt;=Settings!$B$9,"Restrict COD or verify","Keep COD"))))</f>
        <v/>
      </c>
    </row>
    <row r="144" customFormat="false" ht="15" hidden="false" customHeight="false" outlineLevel="0" collapsed="false">
      <c r="A144" s="27"/>
      <c r="B144" s="17" t="str">
        <f aca="false">IF($A144="","",COUNTIFS(Orders!$C$2:$C$20001,$A144,Orders!$E$2:$E$20001,"COD",Orders!$F$2:$F$20001,"Delivered")+COUNTIFS(Orders!$C$2:$C$20001,$A144,Orders!$E$2:$E$20001,"COD",Orders!$F$2:$F$20001,"RTO"))</f>
        <v/>
      </c>
      <c r="C144" s="17" t="str">
        <f aca="false">IF($A144="","",COUNTIFS(Orders!$C$2:$C$20001,$A144,Orders!$E$2:$E$20001,"COD",Orders!$F$2:$F$20001,"RTO"))</f>
        <v/>
      </c>
      <c r="D144" s="18" t="str">
        <f aca="false">IF($A144="","",IFERROR(C144/B144,0))</f>
        <v/>
      </c>
      <c r="E144" s="17" t="str">
        <f aca="false">IF($A144="","",COUNTIFS(Orders!$C$2:$C$20001,$A144,Orders!$E$2:$E$20001,"Prepaid",Orders!$F$2:$F$20001,"Delivered")+COUNTIFS(Orders!$C$2:$C$20001,$A144,Orders!$E$2:$E$20001,"Prepaid",Orders!$F$2:$F$20001,"RTO"))</f>
        <v/>
      </c>
      <c r="F144" s="17" t="str">
        <f aca="false">IF($A144="","",COUNTIFS(Orders!$C$2:$C$20001,$A144,Orders!$E$2:$E$20001,"Prepaid",Orders!$F$2:$F$20001,"RTO"))</f>
        <v/>
      </c>
      <c r="G144" s="18" t="str">
        <f aca="false">IF($A144="","",IFERROR(F144/E144,0))</f>
        <v/>
      </c>
      <c r="H144" s="19" t="str">
        <f aca="false">IF($A144="","",C144*Settings!$B$11)</f>
        <v/>
      </c>
      <c r="I144" s="20" t="str">
        <f aca="false">IF($A144="","",IF(N(H144)=0,"",RANK(H144,$H$5:$H$2004)))</f>
        <v/>
      </c>
      <c r="J144" s="21" t="str">
        <f aca="false">IF($A144="","",IF(B144=0,"No COD orders",IF(B144&lt;Settings!$B$8,"Too few orders",IF(D144&gt;=Settings!$B$9,"Restrict COD or verify","Keep COD"))))</f>
        <v/>
      </c>
    </row>
    <row r="145" customFormat="false" ht="15" hidden="false" customHeight="false" outlineLevel="0" collapsed="false">
      <c r="A145" s="27"/>
      <c r="B145" s="17" t="str">
        <f aca="false">IF($A145="","",COUNTIFS(Orders!$C$2:$C$20001,$A145,Orders!$E$2:$E$20001,"COD",Orders!$F$2:$F$20001,"Delivered")+COUNTIFS(Orders!$C$2:$C$20001,$A145,Orders!$E$2:$E$20001,"COD",Orders!$F$2:$F$20001,"RTO"))</f>
        <v/>
      </c>
      <c r="C145" s="17" t="str">
        <f aca="false">IF($A145="","",COUNTIFS(Orders!$C$2:$C$20001,$A145,Orders!$E$2:$E$20001,"COD",Orders!$F$2:$F$20001,"RTO"))</f>
        <v/>
      </c>
      <c r="D145" s="18" t="str">
        <f aca="false">IF($A145="","",IFERROR(C145/B145,0))</f>
        <v/>
      </c>
      <c r="E145" s="17" t="str">
        <f aca="false">IF($A145="","",COUNTIFS(Orders!$C$2:$C$20001,$A145,Orders!$E$2:$E$20001,"Prepaid",Orders!$F$2:$F$20001,"Delivered")+COUNTIFS(Orders!$C$2:$C$20001,$A145,Orders!$E$2:$E$20001,"Prepaid",Orders!$F$2:$F$20001,"RTO"))</f>
        <v/>
      </c>
      <c r="F145" s="17" t="str">
        <f aca="false">IF($A145="","",COUNTIFS(Orders!$C$2:$C$20001,$A145,Orders!$E$2:$E$20001,"Prepaid",Orders!$F$2:$F$20001,"RTO"))</f>
        <v/>
      </c>
      <c r="G145" s="18" t="str">
        <f aca="false">IF($A145="","",IFERROR(F145/E145,0))</f>
        <v/>
      </c>
      <c r="H145" s="19" t="str">
        <f aca="false">IF($A145="","",C145*Settings!$B$11)</f>
        <v/>
      </c>
      <c r="I145" s="20" t="str">
        <f aca="false">IF($A145="","",IF(N(H145)=0,"",RANK(H145,$H$5:$H$2004)))</f>
        <v/>
      </c>
      <c r="J145" s="21" t="str">
        <f aca="false">IF($A145="","",IF(B145=0,"No COD orders",IF(B145&lt;Settings!$B$8,"Too few orders",IF(D145&gt;=Settings!$B$9,"Restrict COD or verify","Keep COD"))))</f>
        <v/>
      </c>
    </row>
    <row r="146" customFormat="false" ht="15" hidden="false" customHeight="false" outlineLevel="0" collapsed="false">
      <c r="A146" s="27"/>
      <c r="B146" s="17" t="str">
        <f aca="false">IF($A146="","",COUNTIFS(Orders!$C$2:$C$20001,$A146,Orders!$E$2:$E$20001,"COD",Orders!$F$2:$F$20001,"Delivered")+COUNTIFS(Orders!$C$2:$C$20001,$A146,Orders!$E$2:$E$20001,"COD",Orders!$F$2:$F$20001,"RTO"))</f>
        <v/>
      </c>
      <c r="C146" s="17" t="str">
        <f aca="false">IF($A146="","",COUNTIFS(Orders!$C$2:$C$20001,$A146,Orders!$E$2:$E$20001,"COD",Orders!$F$2:$F$20001,"RTO"))</f>
        <v/>
      </c>
      <c r="D146" s="18" t="str">
        <f aca="false">IF($A146="","",IFERROR(C146/B146,0))</f>
        <v/>
      </c>
      <c r="E146" s="17" t="str">
        <f aca="false">IF($A146="","",COUNTIFS(Orders!$C$2:$C$20001,$A146,Orders!$E$2:$E$20001,"Prepaid",Orders!$F$2:$F$20001,"Delivered")+COUNTIFS(Orders!$C$2:$C$20001,$A146,Orders!$E$2:$E$20001,"Prepaid",Orders!$F$2:$F$20001,"RTO"))</f>
        <v/>
      </c>
      <c r="F146" s="17" t="str">
        <f aca="false">IF($A146="","",COUNTIFS(Orders!$C$2:$C$20001,$A146,Orders!$E$2:$E$20001,"Prepaid",Orders!$F$2:$F$20001,"RTO"))</f>
        <v/>
      </c>
      <c r="G146" s="18" t="str">
        <f aca="false">IF($A146="","",IFERROR(F146/E146,0))</f>
        <v/>
      </c>
      <c r="H146" s="19" t="str">
        <f aca="false">IF($A146="","",C146*Settings!$B$11)</f>
        <v/>
      </c>
      <c r="I146" s="20" t="str">
        <f aca="false">IF($A146="","",IF(N(H146)=0,"",RANK(H146,$H$5:$H$2004)))</f>
        <v/>
      </c>
      <c r="J146" s="21" t="str">
        <f aca="false">IF($A146="","",IF(B146=0,"No COD orders",IF(B146&lt;Settings!$B$8,"Too few orders",IF(D146&gt;=Settings!$B$9,"Restrict COD or verify","Keep COD"))))</f>
        <v/>
      </c>
    </row>
    <row r="147" customFormat="false" ht="15" hidden="false" customHeight="false" outlineLevel="0" collapsed="false">
      <c r="A147" s="27"/>
      <c r="B147" s="17" t="str">
        <f aca="false">IF($A147="","",COUNTIFS(Orders!$C$2:$C$20001,$A147,Orders!$E$2:$E$20001,"COD",Orders!$F$2:$F$20001,"Delivered")+COUNTIFS(Orders!$C$2:$C$20001,$A147,Orders!$E$2:$E$20001,"COD",Orders!$F$2:$F$20001,"RTO"))</f>
        <v/>
      </c>
      <c r="C147" s="17" t="str">
        <f aca="false">IF($A147="","",COUNTIFS(Orders!$C$2:$C$20001,$A147,Orders!$E$2:$E$20001,"COD",Orders!$F$2:$F$20001,"RTO"))</f>
        <v/>
      </c>
      <c r="D147" s="18" t="str">
        <f aca="false">IF($A147="","",IFERROR(C147/B147,0))</f>
        <v/>
      </c>
      <c r="E147" s="17" t="str">
        <f aca="false">IF($A147="","",COUNTIFS(Orders!$C$2:$C$20001,$A147,Orders!$E$2:$E$20001,"Prepaid",Orders!$F$2:$F$20001,"Delivered")+COUNTIFS(Orders!$C$2:$C$20001,$A147,Orders!$E$2:$E$20001,"Prepaid",Orders!$F$2:$F$20001,"RTO"))</f>
        <v/>
      </c>
      <c r="F147" s="17" t="str">
        <f aca="false">IF($A147="","",COUNTIFS(Orders!$C$2:$C$20001,$A147,Orders!$E$2:$E$20001,"Prepaid",Orders!$F$2:$F$20001,"RTO"))</f>
        <v/>
      </c>
      <c r="G147" s="18" t="str">
        <f aca="false">IF($A147="","",IFERROR(F147/E147,0))</f>
        <v/>
      </c>
      <c r="H147" s="19" t="str">
        <f aca="false">IF($A147="","",C147*Settings!$B$11)</f>
        <v/>
      </c>
      <c r="I147" s="20" t="str">
        <f aca="false">IF($A147="","",IF(N(H147)=0,"",RANK(H147,$H$5:$H$2004)))</f>
        <v/>
      </c>
      <c r="J147" s="21" t="str">
        <f aca="false">IF($A147="","",IF(B147=0,"No COD orders",IF(B147&lt;Settings!$B$8,"Too few orders",IF(D147&gt;=Settings!$B$9,"Restrict COD or verify","Keep COD"))))</f>
        <v/>
      </c>
    </row>
    <row r="148" customFormat="false" ht="15" hidden="false" customHeight="false" outlineLevel="0" collapsed="false">
      <c r="A148" s="27"/>
      <c r="B148" s="17" t="str">
        <f aca="false">IF($A148="","",COUNTIFS(Orders!$C$2:$C$20001,$A148,Orders!$E$2:$E$20001,"COD",Orders!$F$2:$F$20001,"Delivered")+COUNTIFS(Orders!$C$2:$C$20001,$A148,Orders!$E$2:$E$20001,"COD",Orders!$F$2:$F$20001,"RTO"))</f>
        <v/>
      </c>
      <c r="C148" s="17" t="str">
        <f aca="false">IF($A148="","",COUNTIFS(Orders!$C$2:$C$20001,$A148,Orders!$E$2:$E$20001,"COD",Orders!$F$2:$F$20001,"RTO"))</f>
        <v/>
      </c>
      <c r="D148" s="18" t="str">
        <f aca="false">IF($A148="","",IFERROR(C148/B148,0))</f>
        <v/>
      </c>
      <c r="E148" s="17" t="str">
        <f aca="false">IF($A148="","",COUNTIFS(Orders!$C$2:$C$20001,$A148,Orders!$E$2:$E$20001,"Prepaid",Orders!$F$2:$F$20001,"Delivered")+COUNTIFS(Orders!$C$2:$C$20001,$A148,Orders!$E$2:$E$20001,"Prepaid",Orders!$F$2:$F$20001,"RTO"))</f>
        <v/>
      </c>
      <c r="F148" s="17" t="str">
        <f aca="false">IF($A148="","",COUNTIFS(Orders!$C$2:$C$20001,$A148,Orders!$E$2:$E$20001,"Prepaid",Orders!$F$2:$F$20001,"RTO"))</f>
        <v/>
      </c>
      <c r="G148" s="18" t="str">
        <f aca="false">IF($A148="","",IFERROR(F148/E148,0))</f>
        <v/>
      </c>
      <c r="H148" s="19" t="str">
        <f aca="false">IF($A148="","",C148*Settings!$B$11)</f>
        <v/>
      </c>
      <c r="I148" s="20" t="str">
        <f aca="false">IF($A148="","",IF(N(H148)=0,"",RANK(H148,$H$5:$H$2004)))</f>
        <v/>
      </c>
      <c r="J148" s="21" t="str">
        <f aca="false">IF($A148="","",IF(B148=0,"No COD orders",IF(B148&lt;Settings!$B$8,"Too few orders",IF(D148&gt;=Settings!$B$9,"Restrict COD or verify","Keep COD"))))</f>
        <v/>
      </c>
    </row>
    <row r="149" customFormat="false" ht="15" hidden="false" customHeight="false" outlineLevel="0" collapsed="false">
      <c r="A149" s="27"/>
      <c r="B149" s="17" t="str">
        <f aca="false">IF($A149="","",COUNTIFS(Orders!$C$2:$C$20001,$A149,Orders!$E$2:$E$20001,"COD",Orders!$F$2:$F$20001,"Delivered")+COUNTIFS(Orders!$C$2:$C$20001,$A149,Orders!$E$2:$E$20001,"COD",Orders!$F$2:$F$20001,"RTO"))</f>
        <v/>
      </c>
      <c r="C149" s="17" t="str">
        <f aca="false">IF($A149="","",COUNTIFS(Orders!$C$2:$C$20001,$A149,Orders!$E$2:$E$20001,"COD",Orders!$F$2:$F$20001,"RTO"))</f>
        <v/>
      </c>
      <c r="D149" s="18" t="str">
        <f aca="false">IF($A149="","",IFERROR(C149/B149,0))</f>
        <v/>
      </c>
      <c r="E149" s="17" t="str">
        <f aca="false">IF($A149="","",COUNTIFS(Orders!$C$2:$C$20001,$A149,Orders!$E$2:$E$20001,"Prepaid",Orders!$F$2:$F$20001,"Delivered")+COUNTIFS(Orders!$C$2:$C$20001,$A149,Orders!$E$2:$E$20001,"Prepaid",Orders!$F$2:$F$20001,"RTO"))</f>
        <v/>
      </c>
      <c r="F149" s="17" t="str">
        <f aca="false">IF($A149="","",COUNTIFS(Orders!$C$2:$C$20001,$A149,Orders!$E$2:$E$20001,"Prepaid",Orders!$F$2:$F$20001,"RTO"))</f>
        <v/>
      </c>
      <c r="G149" s="18" t="str">
        <f aca="false">IF($A149="","",IFERROR(F149/E149,0))</f>
        <v/>
      </c>
      <c r="H149" s="19" t="str">
        <f aca="false">IF($A149="","",C149*Settings!$B$11)</f>
        <v/>
      </c>
      <c r="I149" s="20" t="str">
        <f aca="false">IF($A149="","",IF(N(H149)=0,"",RANK(H149,$H$5:$H$2004)))</f>
        <v/>
      </c>
      <c r="J149" s="21" t="str">
        <f aca="false">IF($A149="","",IF(B149=0,"No COD orders",IF(B149&lt;Settings!$B$8,"Too few orders",IF(D149&gt;=Settings!$B$9,"Restrict COD or verify","Keep COD"))))</f>
        <v/>
      </c>
    </row>
    <row r="150" customFormat="false" ht="15" hidden="false" customHeight="false" outlineLevel="0" collapsed="false">
      <c r="A150" s="27"/>
      <c r="B150" s="17" t="str">
        <f aca="false">IF($A150="","",COUNTIFS(Orders!$C$2:$C$20001,$A150,Orders!$E$2:$E$20001,"COD",Orders!$F$2:$F$20001,"Delivered")+COUNTIFS(Orders!$C$2:$C$20001,$A150,Orders!$E$2:$E$20001,"COD",Orders!$F$2:$F$20001,"RTO"))</f>
        <v/>
      </c>
      <c r="C150" s="17" t="str">
        <f aca="false">IF($A150="","",COUNTIFS(Orders!$C$2:$C$20001,$A150,Orders!$E$2:$E$20001,"COD",Orders!$F$2:$F$20001,"RTO"))</f>
        <v/>
      </c>
      <c r="D150" s="18" t="str">
        <f aca="false">IF($A150="","",IFERROR(C150/B150,0))</f>
        <v/>
      </c>
      <c r="E150" s="17" t="str">
        <f aca="false">IF($A150="","",COUNTIFS(Orders!$C$2:$C$20001,$A150,Orders!$E$2:$E$20001,"Prepaid",Orders!$F$2:$F$20001,"Delivered")+COUNTIFS(Orders!$C$2:$C$20001,$A150,Orders!$E$2:$E$20001,"Prepaid",Orders!$F$2:$F$20001,"RTO"))</f>
        <v/>
      </c>
      <c r="F150" s="17" t="str">
        <f aca="false">IF($A150="","",COUNTIFS(Orders!$C$2:$C$20001,$A150,Orders!$E$2:$E$20001,"Prepaid",Orders!$F$2:$F$20001,"RTO"))</f>
        <v/>
      </c>
      <c r="G150" s="18" t="str">
        <f aca="false">IF($A150="","",IFERROR(F150/E150,0))</f>
        <v/>
      </c>
      <c r="H150" s="19" t="str">
        <f aca="false">IF($A150="","",C150*Settings!$B$11)</f>
        <v/>
      </c>
      <c r="I150" s="20" t="str">
        <f aca="false">IF($A150="","",IF(N(H150)=0,"",RANK(H150,$H$5:$H$2004)))</f>
        <v/>
      </c>
      <c r="J150" s="21" t="str">
        <f aca="false">IF($A150="","",IF(B150=0,"No COD orders",IF(B150&lt;Settings!$B$8,"Too few orders",IF(D150&gt;=Settings!$B$9,"Restrict COD or verify","Keep COD"))))</f>
        <v/>
      </c>
    </row>
    <row r="151" customFormat="false" ht="15" hidden="false" customHeight="false" outlineLevel="0" collapsed="false">
      <c r="A151" s="27"/>
      <c r="B151" s="17" t="str">
        <f aca="false">IF($A151="","",COUNTIFS(Orders!$C$2:$C$20001,$A151,Orders!$E$2:$E$20001,"COD",Orders!$F$2:$F$20001,"Delivered")+COUNTIFS(Orders!$C$2:$C$20001,$A151,Orders!$E$2:$E$20001,"COD",Orders!$F$2:$F$20001,"RTO"))</f>
        <v/>
      </c>
      <c r="C151" s="17" t="str">
        <f aca="false">IF($A151="","",COUNTIFS(Orders!$C$2:$C$20001,$A151,Orders!$E$2:$E$20001,"COD",Orders!$F$2:$F$20001,"RTO"))</f>
        <v/>
      </c>
      <c r="D151" s="18" t="str">
        <f aca="false">IF($A151="","",IFERROR(C151/B151,0))</f>
        <v/>
      </c>
      <c r="E151" s="17" t="str">
        <f aca="false">IF($A151="","",COUNTIFS(Orders!$C$2:$C$20001,$A151,Orders!$E$2:$E$20001,"Prepaid",Orders!$F$2:$F$20001,"Delivered")+COUNTIFS(Orders!$C$2:$C$20001,$A151,Orders!$E$2:$E$20001,"Prepaid",Orders!$F$2:$F$20001,"RTO"))</f>
        <v/>
      </c>
      <c r="F151" s="17" t="str">
        <f aca="false">IF($A151="","",COUNTIFS(Orders!$C$2:$C$20001,$A151,Orders!$E$2:$E$20001,"Prepaid",Orders!$F$2:$F$20001,"RTO"))</f>
        <v/>
      </c>
      <c r="G151" s="18" t="str">
        <f aca="false">IF($A151="","",IFERROR(F151/E151,0))</f>
        <v/>
      </c>
      <c r="H151" s="19" t="str">
        <f aca="false">IF($A151="","",C151*Settings!$B$11)</f>
        <v/>
      </c>
      <c r="I151" s="20" t="str">
        <f aca="false">IF($A151="","",IF(N(H151)=0,"",RANK(H151,$H$5:$H$2004)))</f>
        <v/>
      </c>
      <c r="J151" s="21" t="str">
        <f aca="false">IF($A151="","",IF(B151=0,"No COD orders",IF(B151&lt;Settings!$B$8,"Too few orders",IF(D151&gt;=Settings!$B$9,"Restrict COD or verify","Keep COD"))))</f>
        <v/>
      </c>
    </row>
    <row r="152" customFormat="false" ht="15" hidden="false" customHeight="false" outlineLevel="0" collapsed="false">
      <c r="A152" s="27"/>
      <c r="B152" s="17" t="str">
        <f aca="false">IF($A152="","",COUNTIFS(Orders!$C$2:$C$20001,$A152,Orders!$E$2:$E$20001,"COD",Orders!$F$2:$F$20001,"Delivered")+COUNTIFS(Orders!$C$2:$C$20001,$A152,Orders!$E$2:$E$20001,"COD",Orders!$F$2:$F$20001,"RTO"))</f>
        <v/>
      </c>
      <c r="C152" s="17" t="str">
        <f aca="false">IF($A152="","",COUNTIFS(Orders!$C$2:$C$20001,$A152,Orders!$E$2:$E$20001,"COD",Orders!$F$2:$F$20001,"RTO"))</f>
        <v/>
      </c>
      <c r="D152" s="18" t="str">
        <f aca="false">IF($A152="","",IFERROR(C152/B152,0))</f>
        <v/>
      </c>
      <c r="E152" s="17" t="str">
        <f aca="false">IF($A152="","",COUNTIFS(Orders!$C$2:$C$20001,$A152,Orders!$E$2:$E$20001,"Prepaid",Orders!$F$2:$F$20001,"Delivered")+COUNTIFS(Orders!$C$2:$C$20001,$A152,Orders!$E$2:$E$20001,"Prepaid",Orders!$F$2:$F$20001,"RTO"))</f>
        <v/>
      </c>
      <c r="F152" s="17" t="str">
        <f aca="false">IF($A152="","",COUNTIFS(Orders!$C$2:$C$20001,$A152,Orders!$E$2:$E$20001,"Prepaid",Orders!$F$2:$F$20001,"RTO"))</f>
        <v/>
      </c>
      <c r="G152" s="18" t="str">
        <f aca="false">IF($A152="","",IFERROR(F152/E152,0))</f>
        <v/>
      </c>
      <c r="H152" s="19" t="str">
        <f aca="false">IF($A152="","",C152*Settings!$B$11)</f>
        <v/>
      </c>
      <c r="I152" s="20" t="str">
        <f aca="false">IF($A152="","",IF(N(H152)=0,"",RANK(H152,$H$5:$H$2004)))</f>
        <v/>
      </c>
      <c r="J152" s="21" t="str">
        <f aca="false">IF($A152="","",IF(B152=0,"No COD orders",IF(B152&lt;Settings!$B$8,"Too few orders",IF(D152&gt;=Settings!$B$9,"Restrict COD or verify","Keep COD"))))</f>
        <v/>
      </c>
    </row>
    <row r="153" customFormat="false" ht="15" hidden="false" customHeight="false" outlineLevel="0" collapsed="false">
      <c r="A153" s="27"/>
      <c r="B153" s="17" t="str">
        <f aca="false">IF($A153="","",COUNTIFS(Orders!$C$2:$C$20001,$A153,Orders!$E$2:$E$20001,"COD",Orders!$F$2:$F$20001,"Delivered")+COUNTIFS(Orders!$C$2:$C$20001,$A153,Orders!$E$2:$E$20001,"COD",Orders!$F$2:$F$20001,"RTO"))</f>
        <v/>
      </c>
      <c r="C153" s="17" t="str">
        <f aca="false">IF($A153="","",COUNTIFS(Orders!$C$2:$C$20001,$A153,Orders!$E$2:$E$20001,"COD",Orders!$F$2:$F$20001,"RTO"))</f>
        <v/>
      </c>
      <c r="D153" s="18" t="str">
        <f aca="false">IF($A153="","",IFERROR(C153/B153,0))</f>
        <v/>
      </c>
      <c r="E153" s="17" t="str">
        <f aca="false">IF($A153="","",COUNTIFS(Orders!$C$2:$C$20001,$A153,Orders!$E$2:$E$20001,"Prepaid",Orders!$F$2:$F$20001,"Delivered")+COUNTIFS(Orders!$C$2:$C$20001,$A153,Orders!$E$2:$E$20001,"Prepaid",Orders!$F$2:$F$20001,"RTO"))</f>
        <v/>
      </c>
      <c r="F153" s="17" t="str">
        <f aca="false">IF($A153="","",COUNTIFS(Orders!$C$2:$C$20001,$A153,Orders!$E$2:$E$20001,"Prepaid",Orders!$F$2:$F$20001,"RTO"))</f>
        <v/>
      </c>
      <c r="G153" s="18" t="str">
        <f aca="false">IF($A153="","",IFERROR(F153/E153,0))</f>
        <v/>
      </c>
      <c r="H153" s="19" t="str">
        <f aca="false">IF($A153="","",C153*Settings!$B$11)</f>
        <v/>
      </c>
      <c r="I153" s="20" t="str">
        <f aca="false">IF($A153="","",IF(N(H153)=0,"",RANK(H153,$H$5:$H$2004)))</f>
        <v/>
      </c>
      <c r="J153" s="21" t="str">
        <f aca="false">IF($A153="","",IF(B153=0,"No COD orders",IF(B153&lt;Settings!$B$8,"Too few orders",IF(D153&gt;=Settings!$B$9,"Restrict COD or verify","Keep COD"))))</f>
        <v/>
      </c>
    </row>
    <row r="154" customFormat="false" ht="15" hidden="false" customHeight="false" outlineLevel="0" collapsed="false">
      <c r="A154" s="27"/>
      <c r="B154" s="17" t="str">
        <f aca="false">IF($A154="","",COUNTIFS(Orders!$C$2:$C$20001,$A154,Orders!$E$2:$E$20001,"COD",Orders!$F$2:$F$20001,"Delivered")+COUNTIFS(Orders!$C$2:$C$20001,$A154,Orders!$E$2:$E$20001,"COD",Orders!$F$2:$F$20001,"RTO"))</f>
        <v/>
      </c>
      <c r="C154" s="17" t="str">
        <f aca="false">IF($A154="","",COUNTIFS(Orders!$C$2:$C$20001,$A154,Orders!$E$2:$E$20001,"COD",Orders!$F$2:$F$20001,"RTO"))</f>
        <v/>
      </c>
      <c r="D154" s="18" t="str">
        <f aca="false">IF($A154="","",IFERROR(C154/B154,0))</f>
        <v/>
      </c>
      <c r="E154" s="17" t="str">
        <f aca="false">IF($A154="","",COUNTIFS(Orders!$C$2:$C$20001,$A154,Orders!$E$2:$E$20001,"Prepaid",Orders!$F$2:$F$20001,"Delivered")+COUNTIFS(Orders!$C$2:$C$20001,$A154,Orders!$E$2:$E$20001,"Prepaid",Orders!$F$2:$F$20001,"RTO"))</f>
        <v/>
      </c>
      <c r="F154" s="17" t="str">
        <f aca="false">IF($A154="","",COUNTIFS(Orders!$C$2:$C$20001,$A154,Orders!$E$2:$E$20001,"Prepaid",Orders!$F$2:$F$20001,"RTO"))</f>
        <v/>
      </c>
      <c r="G154" s="18" t="str">
        <f aca="false">IF($A154="","",IFERROR(F154/E154,0))</f>
        <v/>
      </c>
      <c r="H154" s="19" t="str">
        <f aca="false">IF($A154="","",C154*Settings!$B$11)</f>
        <v/>
      </c>
      <c r="I154" s="20" t="str">
        <f aca="false">IF($A154="","",IF(N(H154)=0,"",RANK(H154,$H$5:$H$2004)))</f>
        <v/>
      </c>
      <c r="J154" s="21" t="str">
        <f aca="false">IF($A154="","",IF(B154=0,"No COD orders",IF(B154&lt;Settings!$B$8,"Too few orders",IF(D154&gt;=Settings!$B$9,"Restrict COD or verify","Keep COD"))))</f>
        <v/>
      </c>
    </row>
    <row r="155" customFormat="false" ht="15" hidden="false" customHeight="false" outlineLevel="0" collapsed="false">
      <c r="A155" s="27"/>
      <c r="B155" s="17" t="str">
        <f aca="false">IF($A155="","",COUNTIFS(Orders!$C$2:$C$20001,$A155,Orders!$E$2:$E$20001,"COD",Orders!$F$2:$F$20001,"Delivered")+COUNTIFS(Orders!$C$2:$C$20001,$A155,Orders!$E$2:$E$20001,"COD",Orders!$F$2:$F$20001,"RTO"))</f>
        <v/>
      </c>
      <c r="C155" s="17" t="str">
        <f aca="false">IF($A155="","",COUNTIFS(Orders!$C$2:$C$20001,$A155,Orders!$E$2:$E$20001,"COD",Orders!$F$2:$F$20001,"RTO"))</f>
        <v/>
      </c>
      <c r="D155" s="18" t="str">
        <f aca="false">IF($A155="","",IFERROR(C155/B155,0))</f>
        <v/>
      </c>
      <c r="E155" s="17" t="str">
        <f aca="false">IF($A155="","",COUNTIFS(Orders!$C$2:$C$20001,$A155,Orders!$E$2:$E$20001,"Prepaid",Orders!$F$2:$F$20001,"Delivered")+COUNTIFS(Orders!$C$2:$C$20001,$A155,Orders!$E$2:$E$20001,"Prepaid",Orders!$F$2:$F$20001,"RTO"))</f>
        <v/>
      </c>
      <c r="F155" s="17" t="str">
        <f aca="false">IF($A155="","",COUNTIFS(Orders!$C$2:$C$20001,$A155,Orders!$E$2:$E$20001,"Prepaid",Orders!$F$2:$F$20001,"RTO"))</f>
        <v/>
      </c>
      <c r="G155" s="18" t="str">
        <f aca="false">IF($A155="","",IFERROR(F155/E155,0))</f>
        <v/>
      </c>
      <c r="H155" s="19" t="str">
        <f aca="false">IF($A155="","",C155*Settings!$B$11)</f>
        <v/>
      </c>
      <c r="I155" s="20" t="str">
        <f aca="false">IF($A155="","",IF(N(H155)=0,"",RANK(H155,$H$5:$H$2004)))</f>
        <v/>
      </c>
      <c r="J155" s="21" t="str">
        <f aca="false">IF($A155="","",IF(B155=0,"No COD orders",IF(B155&lt;Settings!$B$8,"Too few orders",IF(D155&gt;=Settings!$B$9,"Restrict COD or verify","Keep COD"))))</f>
        <v/>
      </c>
    </row>
    <row r="156" customFormat="false" ht="15" hidden="false" customHeight="false" outlineLevel="0" collapsed="false">
      <c r="A156" s="27"/>
      <c r="B156" s="17" t="str">
        <f aca="false">IF($A156="","",COUNTIFS(Orders!$C$2:$C$20001,$A156,Orders!$E$2:$E$20001,"COD",Orders!$F$2:$F$20001,"Delivered")+COUNTIFS(Orders!$C$2:$C$20001,$A156,Orders!$E$2:$E$20001,"COD",Orders!$F$2:$F$20001,"RTO"))</f>
        <v/>
      </c>
      <c r="C156" s="17" t="str">
        <f aca="false">IF($A156="","",COUNTIFS(Orders!$C$2:$C$20001,$A156,Orders!$E$2:$E$20001,"COD",Orders!$F$2:$F$20001,"RTO"))</f>
        <v/>
      </c>
      <c r="D156" s="18" t="str">
        <f aca="false">IF($A156="","",IFERROR(C156/B156,0))</f>
        <v/>
      </c>
      <c r="E156" s="17" t="str">
        <f aca="false">IF($A156="","",COUNTIFS(Orders!$C$2:$C$20001,$A156,Orders!$E$2:$E$20001,"Prepaid",Orders!$F$2:$F$20001,"Delivered")+COUNTIFS(Orders!$C$2:$C$20001,$A156,Orders!$E$2:$E$20001,"Prepaid",Orders!$F$2:$F$20001,"RTO"))</f>
        <v/>
      </c>
      <c r="F156" s="17" t="str">
        <f aca="false">IF($A156="","",COUNTIFS(Orders!$C$2:$C$20001,$A156,Orders!$E$2:$E$20001,"Prepaid",Orders!$F$2:$F$20001,"RTO"))</f>
        <v/>
      </c>
      <c r="G156" s="18" t="str">
        <f aca="false">IF($A156="","",IFERROR(F156/E156,0))</f>
        <v/>
      </c>
      <c r="H156" s="19" t="str">
        <f aca="false">IF($A156="","",C156*Settings!$B$11)</f>
        <v/>
      </c>
      <c r="I156" s="20" t="str">
        <f aca="false">IF($A156="","",IF(N(H156)=0,"",RANK(H156,$H$5:$H$2004)))</f>
        <v/>
      </c>
      <c r="J156" s="21" t="str">
        <f aca="false">IF($A156="","",IF(B156=0,"No COD orders",IF(B156&lt;Settings!$B$8,"Too few orders",IF(D156&gt;=Settings!$B$9,"Restrict COD or verify","Keep COD"))))</f>
        <v/>
      </c>
    </row>
    <row r="157" customFormat="false" ht="15" hidden="false" customHeight="false" outlineLevel="0" collapsed="false">
      <c r="A157" s="27"/>
      <c r="B157" s="17" t="str">
        <f aca="false">IF($A157="","",COUNTIFS(Orders!$C$2:$C$20001,$A157,Orders!$E$2:$E$20001,"COD",Orders!$F$2:$F$20001,"Delivered")+COUNTIFS(Orders!$C$2:$C$20001,$A157,Orders!$E$2:$E$20001,"COD",Orders!$F$2:$F$20001,"RTO"))</f>
        <v/>
      </c>
      <c r="C157" s="17" t="str">
        <f aca="false">IF($A157="","",COUNTIFS(Orders!$C$2:$C$20001,$A157,Orders!$E$2:$E$20001,"COD",Orders!$F$2:$F$20001,"RTO"))</f>
        <v/>
      </c>
      <c r="D157" s="18" t="str">
        <f aca="false">IF($A157="","",IFERROR(C157/B157,0))</f>
        <v/>
      </c>
      <c r="E157" s="17" t="str">
        <f aca="false">IF($A157="","",COUNTIFS(Orders!$C$2:$C$20001,$A157,Orders!$E$2:$E$20001,"Prepaid",Orders!$F$2:$F$20001,"Delivered")+COUNTIFS(Orders!$C$2:$C$20001,$A157,Orders!$E$2:$E$20001,"Prepaid",Orders!$F$2:$F$20001,"RTO"))</f>
        <v/>
      </c>
      <c r="F157" s="17" t="str">
        <f aca="false">IF($A157="","",COUNTIFS(Orders!$C$2:$C$20001,$A157,Orders!$E$2:$E$20001,"Prepaid",Orders!$F$2:$F$20001,"RTO"))</f>
        <v/>
      </c>
      <c r="G157" s="18" t="str">
        <f aca="false">IF($A157="","",IFERROR(F157/E157,0))</f>
        <v/>
      </c>
      <c r="H157" s="19" t="str">
        <f aca="false">IF($A157="","",C157*Settings!$B$11)</f>
        <v/>
      </c>
      <c r="I157" s="20" t="str">
        <f aca="false">IF($A157="","",IF(N(H157)=0,"",RANK(H157,$H$5:$H$2004)))</f>
        <v/>
      </c>
      <c r="J157" s="21" t="str">
        <f aca="false">IF($A157="","",IF(B157=0,"No COD orders",IF(B157&lt;Settings!$B$8,"Too few orders",IF(D157&gt;=Settings!$B$9,"Restrict COD or verify","Keep COD"))))</f>
        <v/>
      </c>
    </row>
    <row r="158" customFormat="false" ht="15" hidden="false" customHeight="false" outlineLevel="0" collapsed="false">
      <c r="A158" s="27"/>
      <c r="B158" s="17" t="str">
        <f aca="false">IF($A158="","",COUNTIFS(Orders!$C$2:$C$20001,$A158,Orders!$E$2:$E$20001,"COD",Orders!$F$2:$F$20001,"Delivered")+COUNTIFS(Orders!$C$2:$C$20001,$A158,Orders!$E$2:$E$20001,"COD",Orders!$F$2:$F$20001,"RTO"))</f>
        <v/>
      </c>
      <c r="C158" s="17" t="str">
        <f aca="false">IF($A158="","",COUNTIFS(Orders!$C$2:$C$20001,$A158,Orders!$E$2:$E$20001,"COD",Orders!$F$2:$F$20001,"RTO"))</f>
        <v/>
      </c>
      <c r="D158" s="18" t="str">
        <f aca="false">IF($A158="","",IFERROR(C158/B158,0))</f>
        <v/>
      </c>
      <c r="E158" s="17" t="str">
        <f aca="false">IF($A158="","",COUNTIFS(Orders!$C$2:$C$20001,$A158,Orders!$E$2:$E$20001,"Prepaid",Orders!$F$2:$F$20001,"Delivered")+COUNTIFS(Orders!$C$2:$C$20001,$A158,Orders!$E$2:$E$20001,"Prepaid",Orders!$F$2:$F$20001,"RTO"))</f>
        <v/>
      </c>
      <c r="F158" s="17" t="str">
        <f aca="false">IF($A158="","",COUNTIFS(Orders!$C$2:$C$20001,$A158,Orders!$E$2:$E$20001,"Prepaid",Orders!$F$2:$F$20001,"RTO"))</f>
        <v/>
      </c>
      <c r="G158" s="18" t="str">
        <f aca="false">IF($A158="","",IFERROR(F158/E158,0))</f>
        <v/>
      </c>
      <c r="H158" s="19" t="str">
        <f aca="false">IF($A158="","",C158*Settings!$B$11)</f>
        <v/>
      </c>
      <c r="I158" s="20" t="str">
        <f aca="false">IF($A158="","",IF(N(H158)=0,"",RANK(H158,$H$5:$H$2004)))</f>
        <v/>
      </c>
      <c r="J158" s="21" t="str">
        <f aca="false">IF($A158="","",IF(B158=0,"No COD orders",IF(B158&lt;Settings!$B$8,"Too few orders",IF(D158&gt;=Settings!$B$9,"Restrict COD or verify","Keep COD"))))</f>
        <v/>
      </c>
    </row>
    <row r="159" customFormat="false" ht="15" hidden="false" customHeight="false" outlineLevel="0" collapsed="false">
      <c r="A159" s="27"/>
      <c r="B159" s="17" t="str">
        <f aca="false">IF($A159="","",COUNTIFS(Orders!$C$2:$C$20001,$A159,Orders!$E$2:$E$20001,"COD",Orders!$F$2:$F$20001,"Delivered")+COUNTIFS(Orders!$C$2:$C$20001,$A159,Orders!$E$2:$E$20001,"COD",Orders!$F$2:$F$20001,"RTO"))</f>
        <v/>
      </c>
      <c r="C159" s="17" t="str">
        <f aca="false">IF($A159="","",COUNTIFS(Orders!$C$2:$C$20001,$A159,Orders!$E$2:$E$20001,"COD",Orders!$F$2:$F$20001,"RTO"))</f>
        <v/>
      </c>
      <c r="D159" s="18" t="str">
        <f aca="false">IF($A159="","",IFERROR(C159/B159,0))</f>
        <v/>
      </c>
      <c r="E159" s="17" t="str">
        <f aca="false">IF($A159="","",COUNTIFS(Orders!$C$2:$C$20001,$A159,Orders!$E$2:$E$20001,"Prepaid",Orders!$F$2:$F$20001,"Delivered")+COUNTIFS(Orders!$C$2:$C$20001,$A159,Orders!$E$2:$E$20001,"Prepaid",Orders!$F$2:$F$20001,"RTO"))</f>
        <v/>
      </c>
      <c r="F159" s="17" t="str">
        <f aca="false">IF($A159="","",COUNTIFS(Orders!$C$2:$C$20001,$A159,Orders!$E$2:$E$20001,"Prepaid",Orders!$F$2:$F$20001,"RTO"))</f>
        <v/>
      </c>
      <c r="G159" s="18" t="str">
        <f aca="false">IF($A159="","",IFERROR(F159/E159,0))</f>
        <v/>
      </c>
      <c r="H159" s="19" t="str">
        <f aca="false">IF($A159="","",C159*Settings!$B$11)</f>
        <v/>
      </c>
      <c r="I159" s="20" t="str">
        <f aca="false">IF($A159="","",IF(N(H159)=0,"",RANK(H159,$H$5:$H$2004)))</f>
        <v/>
      </c>
      <c r="J159" s="21" t="str">
        <f aca="false">IF($A159="","",IF(B159=0,"No COD orders",IF(B159&lt;Settings!$B$8,"Too few orders",IF(D159&gt;=Settings!$B$9,"Restrict COD or verify","Keep COD"))))</f>
        <v/>
      </c>
    </row>
    <row r="160" customFormat="false" ht="15" hidden="false" customHeight="false" outlineLevel="0" collapsed="false">
      <c r="A160" s="27"/>
      <c r="B160" s="17" t="str">
        <f aca="false">IF($A160="","",COUNTIFS(Orders!$C$2:$C$20001,$A160,Orders!$E$2:$E$20001,"COD",Orders!$F$2:$F$20001,"Delivered")+COUNTIFS(Orders!$C$2:$C$20001,$A160,Orders!$E$2:$E$20001,"COD",Orders!$F$2:$F$20001,"RTO"))</f>
        <v/>
      </c>
      <c r="C160" s="17" t="str">
        <f aca="false">IF($A160="","",COUNTIFS(Orders!$C$2:$C$20001,$A160,Orders!$E$2:$E$20001,"COD",Orders!$F$2:$F$20001,"RTO"))</f>
        <v/>
      </c>
      <c r="D160" s="18" t="str">
        <f aca="false">IF($A160="","",IFERROR(C160/B160,0))</f>
        <v/>
      </c>
      <c r="E160" s="17" t="str">
        <f aca="false">IF($A160="","",COUNTIFS(Orders!$C$2:$C$20001,$A160,Orders!$E$2:$E$20001,"Prepaid",Orders!$F$2:$F$20001,"Delivered")+COUNTIFS(Orders!$C$2:$C$20001,$A160,Orders!$E$2:$E$20001,"Prepaid",Orders!$F$2:$F$20001,"RTO"))</f>
        <v/>
      </c>
      <c r="F160" s="17" t="str">
        <f aca="false">IF($A160="","",COUNTIFS(Orders!$C$2:$C$20001,$A160,Orders!$E$2:$E$20001,"Prepaid",Orders!$F$2:$F$20001,"RTO"))</f>
        <v/>
      </c>
      <c r="G160" s="18" t="str">
        <f aca="false">IF($A160="","",IFERROR(F160/E160,0))</f>
        <v/>
      </c>
      <c r="H160" s="19" t="str">
        <f aca="false">IF($A160="","",C160*Settings!$B$11)</f>
        <v/>
      </c>
      <c r="I160" s="20" t="str">
        <f aca="false">IF($A160="","",IF(N(H160)=0,"",RANK(H160,$H$5:$H$2004)))</f>
        <v/>
      </c>
      <c r="J160" s="21" t="str">
        <f aca="false">IF($A160="","",IF(B160=0,"No COD orders",IF(B160&lt;Settings!$B$8,"Too few orders",IF(D160&gt;=Settings!$B$9,"Restrict COD or verify","Keep COD"))))</f>
        <v/>
      </c>
    </row>
    <row r="161" customFormat="false" ht="15" hidden="false" customHeight="false" outlineLevel="0" collapsed="false">
      <c r="A161" s="27"/>
      <c r="B161" s="17" t="str">
        <f aca="false">IF($A161="","",COUNTIFS(Orders!$C$2:$C$20001,$A161,Orders!$E$2:$E$20001,"COD",Orders!$F$2:$F$20001,"Delivered")+COUNTIFS(Orders!$C$2:$C$20001,$A161,Orders!$E$2:$E$20001,"COD",Orders!$F$2:$F$20001,"RTO"))</f>
        <v/>
      </c>
      <c r="C161" s="17" t="str">
        <f aca="false">IF($A161="","",COUNTIFS(Orders!$C$2:$C$20001,$A161,Orders!$E$2:$E$20001,"COD",Orders!$F$2:$F$20001,"RTO"))</f>
        <v/>
      </c>
      <c r="D161" s="18" t="str">
        <f aca="false">IF($A161="","",IFERROR(C161/B161,0))</f>
        <v/>
      </c>
      <c r="E161" s="17" t="str">
        <f aca="false">IF($A161="","",COUNTIFS(Orders!$C$2:$C$20001,$A161,Orders!$E$2:$E$20001,"Prepaid",Orders!$F$2:$F$20001,"Delivered")+COUNTIFS(Orders!$C$2:$C$20001,$A161,Orders!$E$2:$E$20001,"Prepaid",Orders!$F$2:$F$20001,"RTO"))</f>
        <v/>
      </c>
      <c r="F161" s="17" t="str">
        <f aca="false">IF($A161="","",COUNTIFS(Orders!$C$2:$C$20001,$A161,Orders!$E$2:$E$20001,"Prepaid",Orders!$F$2:$F$20001,"RTO"))</f>
        <v/>
      </c>
      <c r="G161" s="18" t="str">
        <f aca="false">IF($A161="","",IFERROR(F161/E161,0))</f>
        <v/>
      </c>
      <c r="H161" s="19" t="str">
        <f aca="false">IF($A161="","",C161*Settings!$B$11)</f>
        <v/>
      </c>
      <c r="I161" s="20" t="str">
        <f aca="false">IF($A161="","",IF(N(H161)=0,"",RANK(H161,$H$5:$H$2004)))</f>
        <v/>
      </c>
      <c r="J161" s="21" t="str">
        <f aca="false">IF($A161="","",IF(B161=0,"No COD orders",IF(B161&lt;Settings!$B$8,"Too few orders",IF(D161&gt;=Settings!$B$9,"Restrict COD or verify","Keep COD"))))</f>
        <v/>
      </c>
    </row>
    <row r="162" customFormat="false" ht="15" hidden="false" customHeight="false" outlineLevel="0" collapsed="false">
      <c r="A162" s="27"/>
      <c r="B162" s="17" t="str">
        <f aca="false">IF($A162="","",COUNTIFS(Orders!$C$2:$C$20001,$A162,Orders!$E$2:$E$20001,"COD",Orders!$F$2:$F$20001,"Delivered")+COUNTIFS(Orders!$C$2:$C$20001,$A162,Orders!$E$2:$E$20001,"COD",Orders!$F$2:$F$20001,"RTO"))</f>
        <v/>
      </c>
      <c r="C162" s="17" t="str">
        <f aca="false">IF($A162="","",COUNTIFS(Orders!$C$2:$C$20001,$A162,Orders!$E$2:$E$20001,"COD",Orders!$F$2:$F$20001,"RTO"))</f>
        <v/>
      </c>
      <c r="D162" s="18" t="str">
        <f aca="false">IF($A162="","",IFERROR(C162/B162,0))</f>
        <v/>
      </c>
      <c r="E162" s="17" t="str">
        <f aca="false">IF($A162="","",COUNTIFS(Orders!$C$2:$C$20001,$A162,Orders!$E$2:$E$20001,"Prepaid",Orders!$F$2:$F$20001,"Delivered")+COUNTIFS(Orders!$C$2:$C$20001,$A162,Orders!$E$2:$E$20001,"Prepaid",Orders!$F$2:$F$20001,"RTO"))</f>
        <v/>
      </c>
      <c r="F162" s="17" t="str">
        <f aca="false">IF($A162="","",COUNTIFS(Orders!$C$2:$C$20001,$A162,Orders!$E$2:$E$20001,"Prepaid",Orders!$F$2:$F$20001,"RTO"))</f>
        <v/>
      </c>
      <c r="G162" s="18" t="str">
        <f aca="false">IF($A162="","",IFERROR(F162/E162,0))</f>
        <v/>
      </c>
      <c r="H162" s="19" t="str">
        <f aca="false">IF($A162="","",C162*Settings!$B$11)</f>
        <v/>
      </c>
      <c r="I162" s="20" t="str">
        <f aca="false">IF($A162="","",IF(N(H162)=0,"",RANK(H162,$H$5:$H$2004)))</f>
        <v/>
      </c>
      <c r="J162" s="21" t="str">
        <f aca="false">IF($A162="","",IF(B162=0,"No COD orders",IF(B162&lt;Settings!$B$8,"Too few orders",IF(D162&gt;=Settings!$B$9,"Restrict COD or verify","Keep COD"))))</f>
        <v/>
      </c>
    </row>
    <row r="163" customFormat="false" ht="15" hidden="false" customHeight="false" outlineLevel="0" collapsed="false">
      <c r="A163" s="27"/>
      <c r="B163" s="17" t="str">
        <f aca="false">IF($A163="","",COUNTIFS(Orders!$C$2:$C$20001,$A163,Orders!$E$2:$E$20001,"COD",Orders!$F$2:$F$20001,"Delivered")+COUNTIFS(Orders!$C$2:$C$20001,$A163,Orders!$E$2:$E$20001,"COD",Orders!$F$2:$F$20001,"RTO"))</f>
        <v/>
      </c>
      <c r="C163" s="17" t="str">
        <f aca="false">IF($A163="","",COUNTIFS(Orders!$C$2:$C$20001,$A163,Orders!$E$2:$E$20001,"COD",Orders!$F$2:$F$20001,"RTO"))</f>
        <v/>
      </c>
      <c r="D163" s="18" t="str">
        <f aca="false">IF($A163="","",IFERROR(C163/B163,0))</f>
        <v/>
      </c>
      <c r="E163" s="17" t="str">
        <f aca="false">IF($A163="","",COUNTIFS(Orders!$C$2:$C$20001,$A163,Orders!$E$2:$E$20001,"Prepaid",Orders!$F$2:$F$20001,"Delivered")+COUNTIFS(Orders!$C$2:$C$20001,$A163,Orders!$E$2:$E$20001,"Prepaid",Orders!$F$2:$F$20001,"RTO"))</f>
        <v/>
      </c>
      <c r="F163" s="17" t="str">
        <f aca="false">IF($A163="","",COUNTIFS(Orders!$C$2:$C$20001,$A163,Orders!$E$2:$E$20001,"Prepaid",Orders!$F$2:$F$20001,"RTO"))</f>
        <v/>
      </c>
      <c r="G163" s="18" t="str">
        <f aca="false">IF($A163="","",IFERROR(F163/E163,0))</f>
        <v/>
      </c>
      <c r="H163" s="19" t="str">
        <f aca="false">IF($A163="","",C163*Settings!$B$11)</f>
        <v/>
      </c>
      <c r="I163" s="20" t="str">
        <f aca="false">IF($A163="","",IF(N(H163)=0,"",RANK(H163,$H$5:$H$2004)))</f>
        <v/>
      </c>
      <c r="J163" s="21" t="str">
        <f aca="false">IF($A163="","",IF(B163=0,"No COD orders",IF(B163&lt;Settings!$B$8,"Too few orders",IF(D163&gt;=Settings!$B$9,"Restrict COD or verify","Keep COD"))))</f>
        <v/>
      </c>
    </row>
    <row r="164" customFormat="false" ht="15" hidden="false" customHeight="false" outlineLevel="0" collapsed="false">
      <c r="A164" s="27"/>
      <c r="B164" s="17" t="str">
        <f aca="false">IF($A164="","",COUNTIFS(Orders!$C$2:$C$20001,$A164,Orders!$E$2:$E$20001,"COD",Orders!$F$2:$F$20001,"Delivered")+COUNTIFS(Orders!$C$2:$C$20001,$A164,Orders!$E$2:$E$20001,"COD",Orders!$F$2:$F$20001,"RTO"))</f>
        <v/>
      </c>
      <c r="C164" s="17" t="str">
        <f aca="false">IF($A164="","",COUNTIFS(Orders!$C$2:$C$20001,$A164,Orders!$E$2:$E$20001,"COD",Orders!$F$2:$F$20001,"RTO"))</f>
        <v/>
      </c>
      <c r="D164" s="18" t="str">
        <f aca="false">IF($A164="","",IFERROR(C164/B164,0))</f>
        <v/>
      </c>
      <c r="E164" s="17" t="str">
        <f aca="false">IF($A164="","",COUNTIFS(Orders!$C$2:$C$20001,$A164,Orders!$E$2:$E$20001,"Prepaid",Orders!$F$2:$F$20001,"Delivered")+COUNTIFS(Orders!$C$2:$C$20001,$A164,Orders!$E$2:$E$20001,"Prepaid",Orders!$F$2:$F$20001,"RTO"))</f>
        <v/>
      </c>
      <c r="F164" s="17" t="str">
        <f aca="false">IF($A164="","",COUNTIFS(Orders!$C$2:$C$20001,$A164,Orders!$E$2:$E$20001,"Prepaid",Orders!$F$2:$F$20001,"RTO"))</f>
        <v/>
      </c>
      <c r="G164" s="18" t="str">
        <f aca="false">IF($A164="","",IFERROR(F164/E164,0))</f>
        <v/>
      </c>
      <c r="H164" s="19" t="str">
        <f aca="false">IF($A164="","",C164*Settings!$B$11)</f>
        <v/>
      </c>
      <c r="I164" s="20" t="str">
        <f aca="false">IF($A164="","",IF(N(H164)=0,"",RANK(H164,$H$5:$H$2004)))</f>
        <v/>
      </c>
      <c r="J164" s="21" t="str">
        <f aca="false">IF($A164="","",IF(B164=0,"No COD orders",IF(B164&lt;Settings!$B$8,"Too few orders",IF(D164&gt;=Settings!$B$9,"Restrict COD or verify","Keep COD"))))</f>
        <v/>
      </c>
    </row>
    <row r="165" customFormat="false" ht="15" hidden="false" customHeight="false" outlineLevel="0" collapsed="false">
      <c r="A165" s="27"/>
      <c r="B165" s="17" t="str">
        <f aca="false">IF($A165="","",COUNTIFS(Orders!$C$2:$C$20001,$A165,Orders!$E$2:$E$20001,"COD",Orders!$F$2:$F$20001,"Delivered")+COUNTIFS(Orders!$C$2:$C$20001,$A165,Orders!$E$2:$E$20001,"COD",Orders!$F$2:$F$20001,"RTO"))</f>
        <v/>
      </c>
      <c r="C165" s="17" t="str">
        <f aca="false">IF($A165="","",COUNTIFS(Orders!$C$2:$C$20001,$A165,Orders!$E$2:$E$20001,"COD",Orders!$F$2:$F$20001,"RTO"))</f>
        <v/>
      </c>
      <c r="D165" s="18" t="str">
        <f aca="false">IF($A165="","",IFERROR(C165/B165,0))</f>
        <v/>
      </c>
      <c r="E165" s="17" t="str">
        <f aca="false">IF($A165="","",COUNTIFS(Orders!$C$2:$C$20001,$A165,Orders!$E$2:$E$20001,"Prepaid",Orders!$F$2:$F$20001,"Delivered")+COUNTIFS(Orders!$C$2:$C$20001,$A165,Orders!$E$2:$E$20001,"Prepaid",Orders!$F$2:$F$20001,"RTO"))</f>
        <v/>
      </c>
      <c r="F165" s="17" t="str">
        <f aca="false">IF($A165="","",COUNTIFS(Orders!$C$2:$C$20001,$A165,Orders!$E$2:$E$20001,"Prepaid",Orders!$F$2:$F$20001,"RTO"))</f>
        <v/>
      </c>
      <c r="G165" s="18" t="str">
        <f aca="false">IF($A165="","",IFERROR(F165/E165,0))</f>
        <v/>
      </c>
      <c r="H165" s="19" t="str">
        <f aca="false">IF($A165="","",C165*Settings!$B$11)</f>
        <v/>
      </c>
      <c r="I165" s="20" t="str">
        <f aca="false">IF($A165="","",IF(N(H165)=0,"",RANK(H165,$H$5:$H$2004)))</f>
        <v/>
      </c>
      <c r="J165" s="21" t="str">
        <f aca="false">IF($A165="","",IF(B165=0,"No COD orders",IF(B165&lt;Settings!$B$8,"Too few orders",IF(D165&gt;=Settings!$B$9,"Restrict COD or verify","Keep COD"))))</f>
        <v/>
      </c>
    </row>
    <row r="166" customFormat="false" ht="15" hidden="false" customHeight="false" outlineLevel="0" collapsed="false">
      <c r="A166" s="27"/>
      <c r="B166" s="17" t="str">
        <f aca="false">IF($A166="","",COUNTIFS(Orders!$C$2:$C$20001,$A166,Orders!$E$2:$E$20001,"COD",Orders!$F$2:$F$20001,"Delivered")+COUNTIFS(Orders!$C$2:$C$20001,$A166,Orders!$E$2:$E$20001,"COD",Orders!$F$2:$F$20001,"RTO"))</f>
        <v/>
      </c>
      <c r="C166" s="17" t="str">
        <f aca="false">IF($A166="","",COUNTIFS(Orders!$C$2:$C$20001,$A166,Orders!$E$2:$E$20001,"COD",Orders!$F$2:$F$20001,"RTO"))</f>
        <v/>
      </c>
      <c r="D166" s="18" t="str">
        <f aca="false">IF($A166="","",IFERROR(C166/B166,0))</f>
        <v/>
      </c>
      <c r="E166" s="17" t="str">
        <f aca="false">IF($A166="","",COUNTIFS(Orders!$C$2:$C$20001,$A166,Orders!$E$2:$E$20001,"Prepaid",Orders!$F$2:$F$20001,"Delivered")+COUNTIFS(Orders!$C$2:$C$20001,$A166,Orders!$E$2:$E$20001,"Prepaid",Orders!$F$2:$F$20001,"RTO"))</f>
        <v/>
      </c>
      <c r="F166" s="17" t="str">
        <f aca="false">IF($A166="","",COUNTIFS(Orders!$C$2:$C$20001,$A166,Orders!$E$2:$E$20001,"Prepaid",Orders!$F$2:$F$20001,"RTO"))</f>
        <v/>
      </c>
      <c r="G166" s="18" t="str">
        <f aca="false">IF($A166="","",IFERROR(F166/E166,0))</f>
        <v/>
      </c>
      <c r="H166" s="19" t="str">
        <f aca="false">IF($A166="","",C166*Settings!$B$11)</f>
        <v/>
      </c>
      <c r="I166" s="20" t="str">
        <f aca="false">IF($A166="","",IF(N(H166)=0,"",RANK(H166,$H$5:$H$2004)))</f>
        <v/>
      </c>
      <c r="J166" s="21" t="str">
        <f aca="false">IF($A166="","",IF(B166=0,"No COD orders",IF(B166&lt;Settings!$B$8,"Too few orders",IF(D166&gt;=Settings!$B$9,"Restrict COD or verify","Keep COD"))))</f>
        <v/>
      </c>
    </row>
    <row r="167" customFormat="false" ht="15" hidden="false" customHeight="false" outlineLevel="0" collapsed="false">
      <c r="A167" s="27"/>
      <c r="B167" s="17" t="str">
        <f aca="false">IF($A167="","",COUNTIFS(Orders!$C$2:$C$20001,$A167,Orders!$E$2:$E$20001,"COD",Orders!$F$2:$F$20001,"Delivered")+COUNTIFS(Orders!$C$2:$C$20001,$A167,Orders!$E$2:$E$20001,"COD",Orders!$F$2:$F$20001,"RTO"))</f>
        <v/>
      </c>
      <c r="C167" s="17" t="str">
        <f aca="false">IF($A167="","",COUNTIFS(Orders!$C$2:$C$20001,$A167,Orders!$E$2:$E$20001,"COD",Orders!$F$2:$F$20001,"RTO"))</f>
        <v/>
      </c>
      <c r="D167" s="18" t="str">
        <f aca="false">IF($A167="","",IFERROR(C167/B167,0))</f>
        <v/>
      </c>
      <c r="E167" s="17" t="str">
        <f aca="false">IF($A167="","",COUNTIFS(Orders!$C$2:$C$20001,$A167,Orders!$E$2:$E$20001,"Prepaid",Orders!$F$2:$F$20001,"Delivered")+COUNTIFS(Orders!$C$2:$C$20001,$A167,Orders!$E$2:$E$20001,"Prepaid",Orders!$F$2:$F$20001,"RTO"))</f>
        <v/>
      </c>
      <c r="F167" s="17" t="str">
        <f aca="false">IF($A167="","",COUNTIFS(Orders!$C$2:$C$20001,$A167,Orders!$E$2:$E$20001,"Prepaid",Orders!$F$2:$F$20001,"RTO"))</f>
        <v/>
      </c>
      <c r="G167" s="18" t="str">
        <f aca="false">IF($A167="","",IFERROR(F167/E167,0))</f>
        <v/>
      </c>
      <c r="H167" s="19" t="str">
        <f aca="false">IF($A167="","",C167*Settings!$B$11)</f>
        <v/>
      </c>
      <c r="I167" s="20" t="str">
        <f aca="false">IF($A167="","",IF(N(H167)=0,"",RANK(H167,$H$5:$H$2004)))</f>
        <v/>
      </c>
      <c r="J167" s="21" t="str">
        <f aca="false">IF($A167="","",IF(B167=0,"No COD orders",IF(B167&lt;Settings!$B$8,"Too few orders",IF(D167&gt;=Settings!$B$9,"Restrict COD or verify","Keep COD"))))</f>
        <v/>
      </c>
    </row>
    <row r="168" customFormat="false" ht="15" hidden="false" customHeight="false" outlineLevel="0" collapsed="false">
      <c r="A168" s="27"/>
      <c r="B168" s="17" t="str">
        <f aca="false">IF($A168="","",COUNTIFS(Orders!$C$2:$C$20001,$A168,Orders!$E$2:$E$20001,"COD",Orders!$F$2:$F$20001,"Delivered")+COUNTIFS(Orders!$C$2:$C$20001,$A168,Orders!$E$2:$E$20001,"COD",Orders!$F$2:$F$20001,"RTO"))</f>
        <v/>
      </c>
      <c r="C168" s="17" t="str">
        <f aca="false">IF($A168="","",COUNTIFS(Orders!$C$2:$C$20001,$A168,Orders!$E$2:$E$20001,"COD",Orders!$F$2:$F$20001,"RTO"))</f>
        <v/>
      </c>
      <c r="D168" s="18" t="str">
        <f aca="false">IF($A168="","",IFERROR(C168/B168,0))</f>
        <v/>
      </c>
      <c r="E168" s="17" t="str">
        <f aca="false">IF($A168="","",COUNTIFS(Orders!$C$2:$C$20001,$A168,Orders!$E$2:$E$20001,"Prepaid",Orders!$F$2:$F$20001,"Delivered")+COUNTIFS(Orders!$C$2:$C$20001,$A168,Orders!$E$2:$E$20001,"Prepaid",Orders!$F$2:$F$20001,"RTO"))</f>
        <v/>
      </c>
      <c r="F168" s="17" t="str">
        <f aca="false">IF($A168="","",COUNTIFS(Orders!$C$2:$C$20001,$A168,Orders!$E$2:$E$20001,"Prepaid",Orders!$F$2:$F$20001,"RTO"))</f>
        <v/>
      </c>
      <c r="G168" s="18" t="str">
        <f aca="false">IF($A168="","",IFERROR(F168/E168,0))</f>
        <v/>
      </c>
      <c r="H168" s="19" t="str">
        <f aca="false">IF($A168="","",C168*Settings!$B$11)</f>
        <v/>
      </c>
      <c r="I168" s="20" t="str">
        <f aca="false">IF($A168="","",IF(N(H168)=0,"",RANK(H168,$H$5:$H$2004)))</f>
        <v/>
      </c>
      <c r="J168" s="21" t="str">
        <f aca="false">IF($A168="","",IF(B168=0,"No COD orders",IF(B168&lt;Settings!$B$8,"Too few orders",IF(D168&gt;=Settings!$B$9,"Restrict COD or verify","Keep COD"))))</f>
        <v/>
      </c>
    </row>
    <row r="169" customFormat="false" ht="15" hidden="false" customHeight="false" outlineLevel="0" collapsed="false">
      <c r="A169" s="27"/>
      <c r="B169" s="17" t="str">
        <f aca="false">IF($A169="","",COUNTIFS(Orders!$C$2:$C$20001,$A169,Orders!$E$2:$E$20001,"COD",Orders!$F$2:$F$20001,"Delivered")+COUNTIFS(Orders!$C$2:$C$20001,$A169,Orders!$E$2:$E$20001,"COD",Orders!$F$2:$F$20001,"RTO"))</f>
        <v/>
      </c>
      <c r="C169" s="17" t="str">
        <f aca="false">IF($A169="","",COUNTIFS(Orders!$C$2:$C$20001,$A169,Orders!$E$2:$E$20001,"COD",Orders!$F$2:$F$20001,"RTO"))</f>
        <v/>
      </c>
      <c r="D169" s="18" t="str">
        <f aca="false">IF($A169="","",IFERROR(C169/B169,0))</f>
        <v/>
      </c>
      <c r="E169" s="17" t="str">
        <f aca="false">IF($A169="","",COUNTIFS(Orders!$C$2:$C$20001,$A169,Orders!$E$2:$E$20001,"Prepaid",Orders!$F$2:$F$20001,"Delivered")+COUNTIFS(Orders!$C$2:$C$20001,$A169,Orders!$E$2:$E$20001,"Prepaid",Orders!$F$2:$F$20001,"RTO"))</f>
        <v/>
      </c>
      <c r="F169" s="17" t="str">
        <f aca="false">IF($A169="","",COUNTIFS(Orders!$C$2:$C$20001,$A169,Orders!$E$2:$E$20001,"Prepaid",Orders!$F$2:$F$20001,"RTO"))</f>
        <v/>
      </c>
      <c r="G169" s="18" t="str">
        <f aca="false">IF($A169="","",IFERROR(F169/E169,0))</f>
        <v/>
      </c>
      <c r="H169" s="19" t="str">
        <f aca="false">IF($A169="","",C169*Settings!$B$11)</f>
        <v/>
      </c>
      <c r="I169" s="20" t="str">
        <f aca="false">IF($A169="","",IF(N(H169)=0,"",RANK(H169,$H$5:$H$2004)))</f>
        <v/>
      </c>
      <c r="J169" s="21" t="str">
        <f aca="false">IF($A169="","",IF(B169=0,"No COD orders",IF(B169&lt;Settings!$B$8,"Too few orders",IF(D169&gt;=Settings!$B$9,"Restrict COD or verify","Keep COD"))))</f>
        <v/>
      </c>
    </row>
    <row r="170" customFormat="false" ht="15" hidden="false" customHeight="false" outlineLevel="0" collapsed="false">
      <c r="A170" s="27"/>
      <c r="B170" s="17" t="str">
        <f aca="false">IF($A170="","",COUNTIFS(Orders!$C$2:$C$20001,$A170,Orders!$E$2:$E$20001,"COD",Orders!$F$2:$F$20001,"Delivered")+COUNTIFS(Orders!$C$2:$C$20001,$A170,Orders!$E$2:$E$20001,"COD",Orders!$F$2:$F$20001,"RTO"))</f>
        <v/>
      </c>
      <c r="C170" s="17" t="str">
        <f aca="false">IF($A170="","",COUNTIFS(Orders!$C$2:$C$20001,$A170,Orders!$E$2:$E$20001,"COD",Orders!$F$2:$F$20001,"RTO"))</f>
        <v/>
      </c>
      <c r="D170" s="18" t="str">
        <f aca="false">IF($A170="","",IFERROR(C170/B170,0))</f>
        <v/>
      </c>
      <c r="E170" s="17" t="str">
        <f aca="false">IF($A170="","",COUNTIFS(Orders!$C$2:$C$20001,$A170,Orders!$E$2:$E$20001,"Prepaid",Orders!$F$2:$F$20001,"Delivered")+COUNTIFS(Orders!$C$2:$C$20001,$A170,Orders!$E$2:$E$20001,"Prepaid",Orders!$F$2:$F$20001,"RTO"))</f>
        <v/>
      </c>
      <c r="F170" s="17" t="str">
        <f aca="false">IF($A170="","",COUNTIFS(Orders!$C$2:$C$20001,$A170,Orders!$E$2:$E$20001,"Prepaid",Orders!$F$2:$F$20001,"RTO"))</f>
        <v/>
      </c>
      <c r="G170" s="18" t="str">
        <f aca="false">IF($A170="","",IFERROR(F170/E170,0))</f>
        <v/>
      </c>
      <c r="H170" s="19" t="str">
        <f aca="false">IF($A170="","",C170*Settings!$B$11)</f>
        <v/>
      </c>
      <c r="I170" s="20" t="str">
        <f aca="false">IF($A170="","",IF(N(H170)=0,"",RANK(H170,$H$5:$H$2004)))</f>
        <v/>
      </c>
      <c r="J170" s="21" t="str">
        <f aca="false">IF($A170="","",IF(B170=0,"No COD orders",IF(B170&lt;Settings!$B$8,"Too few orders",IF(D170&gt;=Settings!$B$9,"Restrict COD or verify","Keep COD"))))</f>
        <v/>
      </c>
    </row>
    <row r="171" customFormat="false" ht="15" hidden="false" customHeight="false" outlineLevel="0" collapsed="false">
      <c r="A171" s="27"/>
      <c r="B171" s="17" t="str">
        <f aca="false">IF($A171="","",COUNTIFS(Orders!$C$2:$C$20001,$A171,Orders!$E$2:$E$20001,"COD",Orders!$F$2:$F$20001,"Delivered")+COUNTIFS(Orders!$C$2:$C$20001,$A171,Orders!$E$2:$E$20001,"COD",Orders!$F$2:$F$20001,"RTO"))</f>
        <v/>
      </c>
      <c r="C171" s="17" t="str">
        <f aca="false">IF($A171="","",COUNTIFS(Orders!$C$2:$C$20001,$A171,Orders!$E$2:$E$20001,"COD",Orders!$F$2:$F$20001,"RTO"))</f>
        <v/>
      </c>
      <c r="D171" s="18" t="str">
        <f aca="false">IF($A171="","",IFERROR(C171/B171,0))</f>
        <v/>
      </c>
      <c r="E171" s="17" t="str">
        <f aca="false">IF($A171="","",COUNTIFS(Orders!$C$2:$C$20001,$A171,Orders!$E$2:$E$20001,"Prepaid",Orders!$F$2:$F$20001,"Delivered")+COUNTIFS(Orders!$C$2:$C$20001,$A171,Orders!$E$2:$E$20001,"Prepaid",Orders!$F$2:$F$20001,"RTO"))</f>
        <v/>
      </c>
      <c r="F171" s="17" t="str">
        <f aca="false">IF($A171="","",COUNTIFS(Orders!$C$2:$C$20001,$A171,Orders!$E$2:$E$20001,"Prepaid",Orders!$F$2:$F$20001,"RTO"))</f>
        <v/>
      </c>
      <c r="G171" s="18" t="str">
        <f aca="false">IF($A171="","",IFERROR(F171/E171,0))</f>
        <v/>
      </c>
      <c r="H171" s="19" t="str">
        <f aca="false">IF($A171="","",C171*Settings!$B$11)</f>
        <v/>
      </c>
      <c r="I171" s="20" t="str">
        <f aca="false">IF($A171="","",IF(N(H171)=0,"",RANK(H171,$H$5:$H$2004)))</f>
        <v/>
      </c>
      <c r="J171" s="21" t="str">
        <f aca="false">IF($A171="","",IF(B171=0,"No COD orders",IF(B171&lt;Settings!$B$8,"Too few orders",IF(D171&gt;=Settings!$B$9,"Restrict COD or verify","Keep COD"))))</f>
        <v/>
      </c>
    </row>
    <row r="172" customFormat="false" ht="15" hidden="false" customHeight="false" outlineLevel="0" collapsed="false">
      <c r="A172" s="27"/>
      <c r="B172" s="17" t="str">
        <f aca="false">IF($A172="","",COUNTIFS(Orders!$C$2:$C$20001,$A172,Orders!$E$2:$E$20001,"COD",Orders!$F$2:$F$20001,"Delivered")+COUNTIFS(Orders!$C$2:$C$20001,$A172,Orders!$E$2:$E$20001,"COD",Orders!$F$2:$F$20001,"RTO"))</f>
        <v/>
      </c>
      <c r="C172" s="17" t="str">
        <f aca="false">IF($A172="","",COUNTIFS(Orders!$C$2:$C$20001,$A172,Orders!$E$2:$E$20001,"COD",Orders!$F$2:$F$20001,"RTO"))</f>
        <v/>
      </c>
      <c r="D172" s="18" t="str">
        <f aca="false">IF($A172="","",IFERROR(C172/B172,0))</f>
        <v/>
      </c>
      <c r="E172" s="17" t="str">
        <f aca="false">IF($A172="","",COUNTIFS(Orders!$C$2:$C$20001,$A172,Orders!$E$2:$E$20001,"Prepaid",Orders!$F$2:$F$20001,"Delivered")+COUNTIFS(Orders!$C$2:$C$20001,$A172,Orders!$E$2:$E$20001,"Prepaid",Orders!$F$2:$F$20001,"RTO"))</f>
        <v/>
      </c>
      <c r="F172" s="17" t="str">
        <f aca="false">IF($A172="","",COUNTIFS(Orders!$C$2:$C$20001,$A172,Orders!$E$2:$E$20001,"Prepaid",Orders!$F$2:$F$20001,"RTO"))</f>
        <v/>
      </c>
      <c r="G172" s="18" t="str">
        <f aca="false">IF($A172="","",IFERROR(F172/E172,0))</f>
        <v/>
      </c>
      <c r="H172" s="19" t="str">
        <f aca="false">IF($A172="","",C172*Settings!$B$11)</f>
        <v/>
      </c>
      <c r="I172" s="20" t="str">
        <f aca="false">IF($A172="","",IF(N(H172)=0,"",RANK(H172,$H$5:$H$2004)))</f>
        <v/>
      </c>
      <c r="J172" s="21" t="str">
        <f aca="false">IF($A172="","",IF(B172=0,"No COD orders",IF(B172&lt;Settings!$B$8,"Too few orders",IF(D172&gt;=Settings!$B$9,"Restrict COD or verify","Keep COD"))))</f>
        <v/>
      </c>
    </row>
    <row r="173" customFormat="false" ht="15" hidden="false" customHeight="false" outlineLevel="0" collapsed="false">
      <c r="A173" s="27"/>
      <c r="B173" s="17" t="str">
        <f aca="false">IF($A173="","",COUNTIFS(Orders!$C$2:$C$20001,$A173,Orders!$E$2:$E$20001,"COD",Orders!$F$2:$F$20001,"Delivered")+COUNTIFS(Orders!$C$2:$C$20001,$A173,Orders!$E$2:$E$20001,"COD",Orders!$F$2:$F$20001,"RTO"))</f>
        <v/>
      </c>
      <c r="C173" s="17" t="str">
        <f aca="false">IF($A173="","",COUNTIFS(Orders!$C$2:$C$20001,$A173,Orders!$E$2:$E$20001,"COD",Orders!$F$2:$F$20001,"RTO"))</f>
        <v/>
      </c>
      <c r="D173" s="18" t="str">
        <f aca="false">IF($A173="","",IFERROR(C173/B173,0))</f>
        <v/>
      </c>
      <c r="E173" s="17" t="str">
        <f aca="false">IF($A173="","",COUNTIFS(Orders!$C$2:$C$20001,$A173,Orders!$E$2:$E$20001,"Prepaid",Orders!$F$2:$F$20001,"Delivered")+COUNTIFS(Orders!$C$2:$C$20001,$A173,Orders!$E$2:$E$20001,"Prepaid",Orders!$F$2:$F$20001,"RTO"))</f>
        <v/>
      </c>
      <c r="F173" s="17" t="str">
        <f aca="false">IF($A173="","",COUNTIFS(Orders!$C$2:$C$20001,$A173,Orders!$E$2:$E$20001,"Prepaid",Orders!$F$2:$F$20001,"RTO"))</f>
        <v/>
      </c>
      <c r="G173" s="18" t="str">
        <f aca="false">IF($A173="","",IFERROR(F173/E173,0))</f>
        <v/>
      </c>
      <c r="H173" s="19" t="str">
        <f aca="false">IF($A173="","",C173*Settings!$B$11)</f>
        <v/>
      </c>
      <c r="I173" s="20" t="str">
        <f aca="false">IF($A173="","",IF(N(H173)=0,"",RANK(H173,$H$5:$H$2004)))</f>
        <v/>
      </c>
      <c r="J173" s="21" t="str">
        <f aca="false">IF($A173="","",IF(B173=0,"No COD orders",IF(B173&lt;Settings!$B$8,"Too few orders",IF(D173&gt;=Settings!$B$9,"Restrict COD or verify","Keep COD"))))</f>
        <v/>
      </c>
    </row>
    <row r="174" customFormat="false" ht="15" hidden="false" customHeight="false" outlineLevel="0" collapsed="false">
      <c r="A174" s="27"/>
      <c r="B174" s="17" t="str">
        <f aca="false">IF($A174="","",COUNTIFS(Orders!$C$2:$C$20001,$A174,Orders!$E$2:$E$20001,"COD",Orders!$F$2:$F$20001,"Delivered")+COUNTIFS(Orders!$C$2:$C$20001,$A174,Orders!$E$2:$E$20001,"COD",Orders!$F$2:$F$20001,"RTO"))</f>
        <v/>
      </c>
      <c r="C174" s="17" t="str">
        <f aca="false">IF($A174="","",COUNTIFS(Orders!$C$2:$C$20001,$A174,Orders!$E$2:$E$20001,"COD",Orders!$F$2:$F$20001,"RTO"))</f>
        <v/>
      </c>
      <c r="D174" s="18" t="str">
        <f aca="false">IF($A174="","",IFERROR(C174/B174,0))</f>
        <v/>
      </c>
      <c r="E174" s="17" t="str">
        <f aca="false">IF($A174="","",COUNTIFS(Orders!$C$2:$C$20001,$A174,Orders!$E$2:$E$20001,"Prepaid",Orders!$F$2:$F$20001,"Delivered")+COUNTIFS(Orders!$C$2:$C$20001,$A174,Orders!$E$2:$E$20001,"Prepaid",Orders!$F$2:$F$20001,"RTO"))</f>
        <v/>
      </c>
      <c r="F174" s="17" t="str">
        <f aca="false">IF($A174="","",COUNTIFS(Orders!$C$2:$C$20001,$A174,Orders!$E$2:$E$20001,"Prepaid",Orders!$F$2:$F$20001,"RTO"))</f>
        <v/>
      </c>
      <c r="G174" s="18" t="str">
        <f aca="false">IF($A174="","",IFERROR(F174/E174,0))</f>
        <v/>
      </c>
      <c r="H174" s="19" t="str">
        <f aca="false">IF($A174="","",C174*Settings!$B$11)</f>
        <v/>
      </c>
      <c r="I174" s="20" t="str">
        <f aca="false">IF($A174="","",IF(N(H174)=0,"",RANK(H174,$H$5:$H$2004)))</f>
        <v/>
      </c>
      <c r="J174" s="21" t="str">
        <f aca="false">IF($A174="","",IF(B174=0,"No COD orders",IF(B174&lt;Settings!$B$8,"Too few orders",IF(D174&gt;=Settings!$B$9,"Restrict COD or verify","Keep COD"))))</f>
        <v/>
      </c>
    </row>
    <row r="175" customFormat="false" ht="15" hidden="false" customHeight="false" outlineLevel="0" collapsed="false">
      <c r="A175" s="27"/>
      <c r="B175" s="17" t="str">
        <f aca="false">IF($A175="","",COUNTIFS(Orders!$C$2:$C$20001,$A175,Orders!$E$2:$E$20001,"COD",Orders!$F$2:$F$20001,"Delivered")+COUNTIFS(Orders!$C$2:$C$20001,$A175,Orders!$E$2:$E$20001,"COD",Orders!$F$2:$F$20001,"RTO"))</f>
        <v/>
      </c>
      <c r="C175" s="17" t="str">
        <f aca="false">IF($A175="","",COUNTIFS(Orders!$C$2:$C$20001,$A175,Orders!$E$2:$E$20001,"COD",Orders!$F$2:$F$20001,"RTO"))</f>
        <v/>
      </c>
      <c r="D175" s="18" t="str">
        <f aca="false">IF($A175="","",IFERROR(C175/B175,0))</f>
        <v/>
      </c>
      <c r="E175" s="17" t="str">
        <f aca="false">IF($A175="","",COUNTIFS(Orders!$C$2:$C$20001,$A175,Orders!$E$2:$E$20001,"Prepaid",Orders!$F$2:$F$20001,"Delivered")+COUNTIFS(Orders!$C$2:$C$20001,$A175,Orders!$E$2:$E$20001,"Prepaid",Orders!$F$2:$F$20001,"RTO"))</f>
        <v/>
      </c>
      <c r="F175" s="17" t="str">
        <f aca="false">IF($A175="","",COUNTIFS(Orders!$C$2:$C$20001,$A175,Orders!$E$2:$E$20001,"Prepaid",Orders!$F$2:$F$20001,"RTO"))</f>
        <v/>
      </c>
      <c r="G175" s="18" t="str">
        <f aca="false">IF($A175="","",IFERROR(F175/E175,0))</f>
        <v/>
      </c>
      <c r="H175" s="19" t="str">
        <f aca="false">IF($A175="","",C175*Settings!$B$11)</f>
        <v/>
      </c>
      <c r="I175" s="20" t="str">
        <f aca="false">IF($A175="","",IF(N(H175)=0,"",RANK(H175,$H$5:$H$2004)))</f>
        <v/>
      </c>
      <c r="J175" s="21" t="str">
        <f aca="false">IF($A175="","",IF(B175=0,"No COD orders",IF(B175&lt;Settings!$B$8,"Too few orders",IF(D175&gt;=Settings!$B$9,"Restrict COD or verify","Keep COD"))))</f>
        <v/>
      </c>
    </row>
    <row r="176" customFormat="false" ht="15" hidden="false" customHeight="false" outlineLevel="0" collapsed="false">
      <c r="A176" s="27"/>
      <c r="B176" s="17" t="str">
        <f aca="false">IF($A176="","",COUNTIFS(Orders!$C$2:$C$20001,$A176,Orders!$E$2:$E$20001,"COD",Orders!$F$2:$F$20001,"Delivered")+COUNTIFS(Orders!$C$2:$C$20001,$A176,Orders!$E$2:$E$20001,"COD",Orders!$F$2:$F$20001,"RTO"))</f>
        <v/>
      </c>
      <c r="C176" s="17" t="str">
        <f aca="false">IF($A176="","",COUNTIFS(Orders!$C$2:$C$20001,$A176,Orders!$E$2:$E$20001,"COD",Orders!$F$2:$F$20001,"RTO"))</f>
        <v/>
      </c>
      <c r="D176" s="18" t="str">
        <f aca="false">IF($A176="","",IFERROR(C176/B176,0))</f>
        <v/>
      </c>
      <c r="E176" s="17" t="str">
        <f aca="false">IF($A176="","",COUNTIFS(Orders!$C$2:$C$20001,$A176,Orders!$E$2:$E$20001,"Prepaid",Orders!$F$2:$F$20001,"Delivered")+COUNTIFS(Orders!$C$2:$C$20001,$A176,Orders!$E$2:$E$20001,"Prepaid",Orders!$F$2:$F$20001,"RTO"))</f>
        <v/>
      </c>
      <c r="F176" s="17" t="str">
        <f aca="false">IF($A176="","",COUNTIFS(Orders!$C$2:$C$20001,$A176,Orders!$E$2:$E$20001,"Prepaid",Orders!$F$2:$F$20001,"RTO"))</f>
        <v/>
      </c>
      <c r="G176" s="18" t="str">
        <f aca="false">IF($A176="","",IFERROR(F176/E176,0))</f>
        <v/>
      </c>
      <c r="H176" s="19" t="str">
        <f aca="false">IF($A176="","",C176*Settings!$B$11)</f>
        <v/>
      </c>
      <c r="I176" s="20" t="str">
        <f aca="false">IF($A176="","",IF(N(H176)=0,"",RANK(H176,$H$5:$H$2004)))</f>
        <v/>
      </c>
      <c r="J176" s="21" t="str">
        <f aca="false">IF($A176="","",IF(B176=0,"No COD orders",IF(B176&lt;Settings!$B$8,"Too few orders",IF(D176&gt;=Settings!$B$9,"Restrict COD or verify","Keep COD"))))</f>
        <v/>
      </c>
    </row>
    <row r="177" customFormat="false" ht="15" hidden="false" customHeight="false" outlineLevel="0" collapsed="false">
      <c r="A177" s="27"/>
      <c r="B177" s="17" t="str">
        <f aca="false">IF($A177="","",COUNTIFS(Orders!$C$2:$C$20001,$A177,Orders!$E$2:$E$20001,"COD",Orders!$F$2:$F$20001,"Delivered")+COUNTIFS(Orders!$C$2:$C$20001,$A177,Orders!$E$2:$E$20001,"COD",Orders!$F$2:$F$20001,"RTO"))</f>
        <v/>
      </c>
      <c r="C177" s="17" t="str">
        <f aca="false">IF($A177="","",COUNTIFS(Orders!$C$2:$C$20001,$A177,Orders!$E$2:$E$20001,"COD",Orders!$F$2:$F$20001,"RTO"))</f>
        <v/>
      </c>
      <c r="D177" s="18" t="str">
        <f aca="false">IF($A177="","",IFERROR(C177/B177,0))</f>
        <v/>
      </c>
      <c r="E177" s="17" t="str">
        <f aca="false">IF($A177="","",COUNTIFS(Orders!$C$2:$C$20001,$A177,Orders!$E$2:$E$20001,"Prepaid",Orders!$F$2:$F$20001,"Delivered")+COUNTIFS(Orders!$C$2:$C$20001,$A177,Orders!$E$2:$E$20001,"Prepaid",Orders!$F$2:$F$20001,"RTO"))</f>
        <v/>
      </c>
      <c r="F177" s="17" t="str">
        <f aca="false">IF($A177="","",COUNTIFS(Orders!$C$2:$C$20001,$A177,Orders!$E$2:$E$20001,"Prepaid",Orders!$F$2:$F$20001,"RTO"))</f>
        <v/>
      </c>
      <c r="G177" s="18" t="str">
        <f aca="false">IF($A177="","",IFERROR(F177/E177,0))</f>
        <v/>
      </c>
      <c r="H177" s="19" t="str">
        <f aca="false">IF($A177="","",C177*Settings!$B$11)</f>
        <v/>
      </c>
      <c r="I177" s="20" t="str">
        <f aca="false">IF($A177="","",IF(N(H177)=0,"",RANK(H177,$H$5:$H$2004)))</f>
        <v/>
      </c>
      <c r="J177" s="21" t="str">
        <f aca="false">IF($A177="","",IF(B177=0,"No COD orders",IF(B177&lt;Settings!$B$8,"Too few orders",IF(D177&gt;=Settings!$B$9,"Restrict COD or verify","Keep COD"))))</f>
        <v/>
      </c>
    </row>
    <row r="178" customFormat="false" ht="15" hidden="false" customHeight="false" outlineLevel="0" collapsed="false">
      <c r="A178" s="27"/>
      <c r="B178" s="17" t="str">
        <f aca="false">IF($A178="","",COUNTIFS(Orders!$C$2:$C$20001,$A178,Orders!$E$2:$E$20001,"COD",Orders!$F$2:$F$20001,"Delivered")+COUNTIFS(Orders!$C$2:$C$20001,$A178,Orders!$E$2:$E$20001,"COD",Orders!$F$2:$F$20001,"RTO"))</f>
        <v/>
      </c>
      <c r="C178" s="17" t="str">
        <f aca="false">IF($A178="","",COUNTIFS(Orders!$C$2:$C$20001,$A178,Orders!$E$2:$E$20001,"COD",Orders!$F$2:$F$20001,"RTO"))</f>
        <v/>
      </c>
      <c r="D178" s="18" t="str">
        <f aca="false">IF($A178="","",IFERROR(C178/B178,0))</f>
        <v/>
      </c>
      <c r="E178" s="17" t="str">
        <f aca="false">IF($A178="","",COUNTIFS(Orders!$C$2:$C$20001,$A178,Orders!$E$2:$E$20001,"Prepaid",Orders!$F$2:$F$20001,"Delivered")+COUNTIFS(Orders!$C$2:$C$20001,$A178,Orders!$E$2:$E$20001,"Prepaid",Orders!$F$2:$F$20001,"RTO"))</f>
        <v/>
      </c>
      <c r="F178" s="17" t="str">
        <f aca="false">IF($A178="","",COUNTIFS(Orders!$C$2:$C$20001,$A178,Orders!$E$2:$E$20001,"Prepaid",Orders!$F$2:$F$20001,"RTO"))</f>
        <v/>
      </c>
      <c r="G178" s="18" t="str">
        <f aca="false">IF($A178="","",IFERROR(F178/E178,0))</f>
        <v/>
      </c>
      <c r="H178" s="19" t="str">
        <f aca="false">IF($A178="","",C178*Settings!$B$11)</f>
        <v/>
      </c>
      <c r="I178" s="20" t="str">
        <f aca="false">IF($A178="","",IF(N(H178)=0,"",RANK(H178,$H$5:$H$2004)))</f>
        <v/>
      </c>
      <c r="J178" s="21" t="str">
        <f aca="false">IF($A178="","",IF(B178=0,"No COD orders",IF(B178&lt;Settings!$B$8,"Too few orders",IF(D178&gt;=Settings!$B$9,"Restrict COD or verify","Keep COD"))))</f>
        <v/>
      </c>
    </row>
    <row r="179" customFormat="false" ht="15" hidden="false" customHeight="false" outlineLevel="0" collapsed="false">
      <c r="A179" s="27"/>
      <c r="B179" s="17" t="str">
        <f aca="false">IF($A179="","",COUNTIFS(Orders!$C$2:$C$20001,$A179,Orders!$E$2:$E$20001,"COD",Orders!$F$2:$F$20001,"Delivered")+COUNTIFS(Orders!$C$2:$C$20001,$A179,Orders!$E$2:$E$20001,"COD",Orders!$F$2:$F$20001,"RTO"))</f>
        <v/>
      </c>
      <c r="C179" s="17" t="str">
        <f aca="false">IF($A179="","",COUNTIFS(Orders!$C$2:$C$20001,$A179,Orders!$E$2:$E$20001,"COD",Orders!$F$2:$F$20001,"RTO"))</f>
        <v/>
      </c>
      <c r="D179" s="18" t="str">
        <f aca="false">IF($A179="","",IFERROR(C179/B179,0))</f>
        <v/>
      </c>
      <c r="E179" s="17" t="str">
        <f aca="false">IF($A179="","",COUNTIFS(Orders!$C$2:$C$20001,$A179,Orders!$E$2:$E$20001,"Prepaid",Orders!$F$2:$F$20001,"Delivered")+COUNTIFS(Orders!$C$2:$C$20001,$A179,Orders!$E$2:$E$20001,"Prepaid",Orders!$F$2:$F$20001,"RTO"))</f>
        <v/>
      </c>
      <c r="F179" s="17" t="str">
        <f aca="false">IF($A179="","",COUNTIFS(Orders!$C$2:$C$20001,$A179,Orders!$E$2:$E$20001,"Prepaid",Orders!$F$2:$F$20001,"RTO"))</f>
        <v/>
      </c>
      <c r="G179" s="18" t="str">
        <f aca="false">IF($A179="","",IFERROR(F179/E179,0))</f>
        <v/>
      </c>
      <c r="H179" s="19" t="str">
        <f aca="false">IF($A179="","",C179*Settings!$B$11)</f>
        <v/>
      </c>
      <c r="I179" s="20" t="str">
        <f aca="false">IF($A179="","",IF(N(H179)=0,"",RANK(H179,$H$5:$H$2004)))</f>
        <v/>
      </c>
      <c r="J179" s="21" t="str">
        <f aca="false">IF($A179="","",IF(B179=0,"No COD orders",IF(B179&lt;Settings!$B$8,"Too few orders",IF(D179&gt;=Settings!$B$9,"Restrict COD or verify","Keep COD"))))</f>
        <v/>
      </c>
    </row>
    <row r="180" customFormat="false" ht="15" hidden="false" customHeight="false" outlineLevel="0" collapsed="false">
      <c r="A180" s="27"/>
      <c r="B180" s="17" t="str">
        <f aca="false">IF($A180="","",COUNTIFS(Orders!$C$2:$C$20001,$A180,Orders!$E$2:$E$20001,"COD",Orders!$F$2:$F$20001,"Delivered")+COUNTIFS(Orders!$C$2:$C$20001,$A180,Orders!$E$2:$E$20001,"COD",Orders!$F$2:$F$20001,"RTO"))</f>
        <v/>
      </c>
      <c r="C180" s="17" t="str">
        <f aca="false">IF($A180="","",COUNTIFS(Orders!$C$2:$C$20001,$A180,Orders!$E$2:$E$20001,"COD",Orders!$F$2:$F$20001,"RTO"))</f>
        <v/>
      </c>
      <c r="D180" s="18" t="str">
        <f aca="false">IF($A180="","",IFERROR(C180/B180,0))</f>
        <v/>
      </c>
      <c r="E180" s="17" t="str">
        <f aca="false">IF($A180="","",COUNTIFS(Orders!$C$2:$C$20001,$A180,Orders!$E$2:$E$20001,"Prepaid",Orders!$F$2:$F$20001,"Delivered")+COUNTIFS(Orders!$C$2:$C$20001,$A180,Orders!$E$2:$E$20001,"Prepaid",Orders!$F$2:$F$20001,"RTO"))</f>
        <v/>
      </c>
      <c r="F180" s="17" t="str">
        <f aca="false">IF($A180="","",COUNTIFS(Orders!$C$2:$C$20001,$A180,Orders!$E$2:$E$20001,"Prepaid",Orders!$F$2:$F$20001,"RTO"))</f>
        <v/>
      </c>
      <c r="G180" s="18" t="str">
        <f aca="false">IF($A180="","",IFERROR(F180/E180,0))</f>
        <v/>
      </c>
      <c r="H180" s="19" t="str">
        <f aca="false">IF($A180="","",C180*Settings!$B$11)</f>
        <v/>
      </c>
      <c r="I180" s="20" t="str">
        <f aca="false">IF($A180="","",IF(N(H180)=0,"",RANK(H180,$H$5:$H$2004)))</f>
        <v/>
      </c>
      <c r="J180" s="21" t="str">
        <f aca="false">IF($A180="","",IF(B180=0,"No COD orders",IF(B180&lt;Settings!$B$8,"Too few orders",IF(D180&gt;=Settings!$B$9,"Restrict COD or verify","Keep COD"))))</f>
        <v/>
      </c>
    </row>
    <row r="181" customFormat="false" ht="15" hidden="false" customHeight="false" outlineLevel="0" collapsed="false">
      <c r="A181" s="27"/>
      <c r="B181" s="17" t="str">
        <f aca="false">IF($A181="","",COUNTIFS(Orders!$C$2:$C$20001,$A181,Orders!$E$2:$E$20001,"COD",Orders!$F$2:$F$20001,"Delivered")+COUNTIFS(Orders!$C$2:$C$20001,$A181,Orders!$E$2:$E$20001,"COD",Orders!$F$2:$F$20001,"RTO"))</f>
        <v/>
      </c>
      <c r="C181" s="17" t="str">
        <f aca="false">IF($A181="","",COUNTIFS(Orders!$C$2:$C$20001,$A181,Orders!$E$2:$E$20001,"COD",Orders!$F$2:$F$20001,"RTO"))</f>
        <v/>
      </c>
      <c r="D181" s="18" t="str">
        <f aca="false">IF($A181="","",IFERROR(C181/B181,0))</f>
        <v/>
      </c>
      <c r="E181" s="17" t="str">
        <f aca="false">IF($A181="","",COUNTIFS(Orders!$C$2:$C$20001,$A181,Orders!$E$2:$E$20001,"Prepaid",Orders!$F$2:$F$20001,"Delivered")+COUNTIFS(Orders!$C$2:$C$20001,$A181,Orders!$E$2:$E$20001,"Prepaid",Orders!$F$2:$F$20001,"RTO"))</f>
        <v/>
      </c>
      <c r="F181" s="17" t="str">
        <f aca="false">IF($A181="","",COUNTIFS(Orders!$C$2:$C$20001,$A181,Orders!$E$2:$E$20001,"Prepaid",Orders!$F$2:$F$20001,"RTO"))</f>
        <v/>
      </c>
      <c r="G181" s="18" t="str">
        <f aca="false">IF($A181="","",IFERROR(F181/E181,0))</f>
        <v/>
      </c>
      <c r="H181" s="19" t="str">
        <f aca="false">IF($A181="","",C181*Settings!$B$11)</f>
        <v/>
      </c>
      <c r="I181" s="20" t="str">
        <f aca="false">IF($A181="","",IF(N(H181)=0,"",RANK(H181,$H$5:$H$2004)))</f>
        <v/>
      </c>
      <c r="J181" s="21" t="str">
        <f aca="false">IF($A181="","",IF(B181=0,"No COD orders",IF(B181&lt;Settings!$B$8,"Too few orders",IF(D181&gt;=Settings!$B$9,"Restrict COD or verify","Keep COD"))))</f>
        <v/>
      </c>
    </row>
    <row r="182" customFormat="false" ht="15" hidden="false" customHeight="false" outlineLevel="0" collapsed="false">
      <c r="A182" s="27"/>
      <c r="B182" s="17" t="str">
        <f aca="false">IF($A182="","",COUNTIFS(Orders!$C$2:$C$20001,$A182,Orders!$E$2:$E$20001,"COD",Orders!$F$2:$F$20001,"Delivered")+COUNTIFS(Orders!$C$2:$C$20001,$A182,Orders!$E$2:$E$20001,"COD",Orders!$F$2:$F$20001,"RTO"))</f>
        <v/>
      </c>
      <c r="C182" s="17" t="str">
        <f aca="false">IF($A182="","",COUNTIFS(Orders!$C$2:$C$20001,$A182,Orders!$E$2:$E$20001,"COD",Orders!$F$2:$F$20001,"RTO"))</f>
        <v/>
      </c>
      <c r="D182" s="18" t="str">
        <f aca="false">IF($A182="","",IFERROR(C182/B182,0))</f>
        <v/>
      </c>
      <c r="E182" s="17" t="str">
        <f aca="false">IF($A182="","",COUNTIFS(Orders!$C$2:$C$20001,$A182,Orders!$E$2:$E$20001,"Prepaid",Orders!$F$2:$F$20001,"Delivered")+COUNTIFS(Orders!$C$2:$C$20001,$A182,Orders!$E$2:$E$20001,"Prepaid",Orders!$F$2:$F$20001,"RTO"))</f>
        <v/>
      </c>
      <c r="F182" s="17" t="str">
        <f aca="false">IF($A182="","",COUNTIFS(Orders!$C$2:$C$20001,$A182,Orders!$E$2:$E$20001,"Prepaid",Orders!$F$2:$F$20001,"RTO"))</f>
        <v/>
      </c>
      <c r="G182" s="18" t="str">
        <f aca="false">IF($A182="","",IFERROR(F182/E182,0))</f>
        <v/>
      </c>
      <c r="H182" s="19" t="str">
        <f aca="false">IF($A182="","",C182*Settings!$B$11)</f>
        <v/>
      </c>
      <c r="I182" s="20" t="str">
        <f aca="false">IF($A182="","",IF(N(H182)=0,"",RANK(H182,$H$5:$H$2004)))</f>
        <v/>
      </c>
      <c r="J182" s="21" t="str">
        <f aca="false">IF($A182="","",IF(B182=0,"No COD orders",IF(B182&lt;Settings!$B$8,"Too few orders",IF(D182&gt;=Settings!$B$9,"Restrict COD or verify","Keep COD"))))</f>
        <v/>
      </c>
    </row>
    <row r="183" customFormat="false" ht="15" hidden="false" customHeight="false" outlineLevel="0" collapsed="false">
      <c r="A183" s="27"/>
      <c r="B183" s="17" t="str">
        <f aca="false">IF($A183="","",COUNTIFS(Orders!$C$2:$C$20001,$A183,Orders!$E$2:$E$20001,"COD",Orders!$F$2:$F$20001,"Delivered")+COUNTIFS(Orders!$C$2:$C$20001,$A183,Orders!$E$2:$E$20001,"COD",Orders!$F$2:$F$20001,"RTO"))</f>
        <v/>
      </c>
      <c r="C183" s="17" t="str">
        <f aca="false">IF($A183="","",COUNTIFS(Orders!$C$2:$C$20001,$A183,Orders!$E$2:$E$20001,"COD",Orders!$F$2:$F$20001,"RTO"))</f>
        <v/>
      </c>
      <c r="D183" s="18" t="str">
        <f aca="false">IF($A183="","",IFERROR(C183/B183,0))</f>
        <v/>
      </c>
      <c r="E183" s="17" t="str">
        <f aca="false">IF($A183="","",COUNTIFS(Orders!$C$2:$C$20001,$A183,Orders!$E$2:$E$20001,"Prepaid",Orders!$F$2:$F$20001,"Delivered")+COUNTIFS(Orders!$C$2:$C$20001,$A183,Orders!$E$2:$E$20001,"Prepaid",Orders!$F$2:$F$20001,"RTO"))</f>
        <v/>
      </c>
      <c r="F183" s="17" t="str">
        <f aca="false">IF($A183="","",COUNTIFS(Orders!$C$2:$C$20001,$A183,Orders!$E$2:$E$20001,"Prepaid",Orders!$F$2:$F$20001,"RTO"))</f>
        <v/>
      </c>
      <c r="G183" s="18" t="str">
        <f aca="false">IF($A183="","",IFERROR(F183/E183,0))</f>
        <v/>
      </c>
      <c r="H183" s="19" t="str">
        <f aca="false">IF($A183="","",C183*Settings!$B$11)</f>
        <v/>
      </c>
      <c r="I183" s="20" t="str">
        <f aca="false">IF($A183="","",IF(N(H183)=0,"",RANK(H183,$H$5:$H$2004)))</f>
        <v/>
      </c>
      <c r="J183" s="21" t="str">
        <f aca="false">IF($A183="","",IF(B183=0,"No COD orders",IF(B183&lt;Settings!$B$8,"Too few orders",IF(D183&gt;=Settings!$B$9,"Restrict COD or verify","Keep COD"))))</f>
        <v/>
      </c>
    </row>
    <row r="184" customFormat="false" ht="15" hidden="false" customHeight="false" outlineLevel="0" collapsed="false">
      <c r="A184" s="27"/>
      <c r="B184" s="17" t="str">
        <f aca="false">IF($A184="","",COUNTIFS(Orders!$C$2:$C$20001,$A184,Orders!$E$2:$E$20001,"COD",Orders!$F$2:$F$20001,"Delivered")+COUNTIFS(Orders!$C$2:$C$20001,$A184,Orders!$E$2:$E$20001,"COD",Orders!$F$2:$F$20001,"RTO"))</f>
        <v/>
      </c>
      <c r="C184" s="17" t="str">
        <f aca="false">IF($A184="","",COUNTIFS(Orders!$C$2:$C$20001,$A184,Orders!$E$2:$E$20001,"COD",Orders!$F$2:$F$20001,"RTO"))</f>
        <v/>
      </c>
      <c r="D184" s="18" t="str">
        <f aca="false">IF($A184="","",IFERROR(C184/B184,0))</f>
        <v/>
      </c>
      <c r="E184" s="17" t="str">
        <f aca="false">IF($A184="","",COUNTIFS(Orders!$C$2:$C$20001,$A184,Orders!$E$2:$E$20001,"Prepaid",Orders!$F$2:$F$20001,"Delivered")+COUNTIFS(Orders!$C$2:$C$20001,$A184,Orders!$E$2:$E$20001,"Prepaid",Orders!$F$2:$F$20001,"RTO"))</f>
        <v/>
      </c>
      <c r="F184" s="17" t="str">
        <f aca="false">IF($A184="","",COUNTIFS(Orders!$C$2:$C$20001,$A184,Orders!$E$2:$E$20001,"Prepaid",Orders!$F$2:$F$20001,"RTO"))</f>
        <v/>
      </c>
      <c r="G184" s="18" t="str">
        <f aca="false">IF($A184="","",IFERROR(F184/E184,0))</f>
        <v/>
      </c>
      <c r="H184" s="19" t="str">
        <f aca="false">IF($A184="","",C184*Settings!$B$11)</f>
        <v/>
      </c>
      <c r="I184" s="20" t="str">
        <f aca="false">IF($A184="","",IF(N(H184)=0,"",RANK(H184,$H$5:$H$2004)))</f>
        <v/>
      </c>
      <c r="J184" s="21" t="str">
        <f aca="false">IF($A184="","",IF(B184=0,"No COD orders",IF(B184&lt;Settings!$B$8,"Too few orders",IF(D184&gt;=Settings!$B$9,"Restrict COD or verify","Keep COD"))))</f>
        <v/>
      </c>
    </row>
    <row r="185" customFormat="false" ht="15" hidden="false" customHeight="false" outlineLevel="0" collapsed="false">
      <c r="A185" s="27"/>
      <c r="B185" s="17" t="str">
        <f aca="false">IF($A185="","",COUNTIFS(Orders!$C$2:$C$20001,$A185,Orders!$E$2:$E$20001,"COD",Orders!$F$2:$F$20001,"Delivered")+COUNTIFS(Orders!$C$2:$C$20001,$A185,Orders!$E$2:$E$20001,"COD",Orders!$F$2:$F$20001,"RTO"))</f>
        <v/>
      </c>
      <c r="C185" s="17" t="str">
        <f aca="false">IF($A185="","",COUNTIFS(Orders!$C$2:$C$20001,$A185,Orders!$E$2:$E$20001,"COD",Orders!$F$2:$F$20001,"RTO"))</f>
        <v/>
      </c>
      <c r="D185" s="18" t="str">
        <f aca="false">IF($A185="","",IFERROR(C185/B185,0))</f>
        <v/>
      </c>
      <c r="E185" s="17" t="str">
        <f aca="false">IF($A185="","",COUNTIFS(Orders!$C$2:$C$20001,$A185,Orders!$E$2:$E$20001,"Prepaid",Orders!$F$2:$F$20001,"Delivered")+COUNTIFS(Orders!$C$2:$C$20001,$A185,Orders!$E$2:$E$20001,"Prepaid",Orders!$F$2:$F$20001,"RTO"))</f>
        <v/>
      </c>
      <c r="F185" s="17" t="str">
        <f aca="false">IF($A185="","",COUNTIFS(Orders!$C$2:$C$20001,$A185,Orders!$E$2:$E$20001,"Prepaid",Orders!$F$2:$F$20001,"RTO"))</f>
        <v/>
      </c>
      <c r="G185" s="18" t="str">
        <f aca="false">IF($A185="","",IFERROR(F185/E185,0))</f>
        <v/>
      </c>
      <c r="H185" s="19" t="str">
        <f aca="false">IF($A185="","",C185*Settings!$B$11)</f>
        <v/>
      </c>
      <c r="I185" s="20" t="str">
        <f aca="false">IF($A185="","",IF(N(H185)=0,"",RANK(H185,$H$5:$H$2004)))</f>
        <v/>
      </c>
      <c r="J185" s="21" t="str">
        <f aca="false">IF($A185="","",IF(B185=0,"No COD orders",IF(B185&lt;Settings!$B$8,"Too few orders",IF(D185&gt;=Settings!$B$9,"Restrict COD or verify","Keep COD"))))</f>
        <v/>
      </c>
    </row>
    <row r="186" customFormat="false" ht="15" hidden="false" customHeight="false" outlineLevel="0" collapsed="false">
      <c r="A186" s="27"/>
      <c r="B186" s="17" t="str">
        <f aca="false">IF($A186="","",COUNTIFS(Orders!$C$2:$C$20001,$A186,Orders!$E$2:$E$20001,"COD",Orders!$F$2:$F$20001,"Delivered")+COUNTIFS(Orders!$C$2:$C$20001,$A186,Orders!$E$2:$E$20001,"COD",Orders!$F$2:$F$20001,"RTO"))</f>
        <v/>
      </c>
      <c r="C186" s="17" t="str">
        <f aca="false">IF($A186="","",COUNTIFS(Orders!$C$2:$C$20001,$A186,Orders!$E$2:$E$20001,"COD",Orders!$F$2:$F$20001,"RTO"))</f>
        <v/>
      </c>
      <c r="D186" s="18" t="str">
        <f aca="false">IF($A186="","",IFERROR(C186/B186,0))</f>
        <v/>
      </c>
      <c r="E186" s="17" t="str">
        <f aca="false">IF($A186="","",COUNTIFS(Orders!$C$2:$C$20001,$A186,Orders!$E$2:$E$20001,"Prepaid",Orders!$F$2:$F$20001,"Delivered")+COUNTIFS(Orders!$C$2:$C$20001,$A186,Orders!$E$2:$E$20001,"Prepaid",Orders!$F$2:$F$20001,"RTO"))</f>
        <v/>
      </c>
      <c r="F186" s="17" t="str">
        <f aca="false">IF($A186="","",COUNTIFS(Orders!$C$2:$C$20001,$A186,Orders!$E$2:$E$20001,"Prepaid",Orders!$F$2:$F$20001,"RTO"))</f>
        <v/>
      </c>
      <c r="G186" s="18" t="str">
        <f aca="false">IF($A186="","",IFERROR(F186/E186,0))</f>
        <v/>
      </c>
      <c r="H186" s="19" t="str">
        <f aca="false">IF($A186="","",C186*Settings!$B$11)</f>
        <v/>
      </c>
      <c r="I186" s="20" t="str">
        <f aca="false">IF($A186="","",IF(N(H186)=0,"",RANK(H186,$H$5:$H$2004)))</f>
        <v/>
      </c>
      <c r="J186" s="21" t="str">
        <f aca="false">IF($A186="","",IF(B186=0,"No COD orders",IF(B186&lt;Settings!$B$8,"Too few orders",IF(D186&gt;=Settings!$B$9,"Restrict COD or verify","Keep COD"))))</f>
        <v/>
      </c>
    </row>
    <row r="187" customFormat="false" ht="15" hidden="false" customHeight="false" outlineLevel="0" collapsed="false">
      <c r="A187" s="27"/>
      <c r="B187" s="17" t="str">
        <f aca="false">IF($A187="","",COUNTIFS(Orders!$C$2:$C$20001,$A187,Orders!$E$2:$E$20001,"COD",Orders!$F$2:$F$20001,"Delivered")+COUNTIFS(Orders!$C$2:$C$20001,$A187,Orders!$E$2:$E$20001,"COD",Orders!$F$2:$F$20001,"RTO"))</f>
        <v/>
      </c>
      <c r="C187" s="17" t="str">
        <f aca="false">IF($A187="","",COUNTIFS(Orders!$C$2:$C$20001,$A187,Orders!$E$2:$E$20001,"COD",Orders!$F$2:$F$20001,"RTO"))</f>
        <v/>
      </c>
      <c r="D187" s="18" t="str">
        <f aca="false">IF($A187="","",IFERROR(C187/B187,0))</f>
        <v/>
      </c>
      <c r="E187" s="17" t="str">
        <f aca="false">IF($A187="","",COUNTIFS(Orders!$C$2:$C$20001,$A187,Orders!$E$2:$E$20001,"Prepaid",Orders!$F$2:$F$20001,"Delivered")+COUNTIFS(Orders!$C$2:$C$20001,$A187,Orders!$E$2:$E$20001,"Prepaid",Orders!$F$2:$F$20001,"RTO"))</f>
        <v/>
      </c>
      <c r="F187" s="17" t="str">
        <f aca="false">IF($A187="","",COUNTIFS(Orders!$C$2:$C$20001,$A187,Orders!$E$2:$E$20001,"Prepaid",Orders!$F$2:$F$20001,"RTO"))</f>
        <v/>
      </c>
      <c r="G187" s="18" t="str">
        <f aca="false">IF($A187="","",IFERROR(F187/E187,0))</f>
        <v/>
      </c>
      <c r="H187" s="19" t="str">
        <f aca="false">IF($A187="","",C187*Settings!$B$11)</f>
        <v/>
      </c>
      <c r="I187" s="20" t="str">
        <f aca="false">IF($A187="","",IF(N(H187)=0,"",RANK(H187,$H$5:$H$2004)))</f>
        <v/>
      </c>
      <c r="J187" s="21" t="str">
        <f aca="false">IF($A187="","",IF(B187=0,"No COD orders",IF(B187&lt;Settings!$B$8,"Too few orders",IF(D187&gt;=Settings!$B$9,"Restrict COD or verify","Keep COD"))))</f>
        <v/>
      </c>
    </row>
    <row r="188" customFormat="false" ht="15" hidden="false" customHeight="false" outlineLevel="0" collapsed="false">
      <c r="A188" s="27"/>
      <c r="B188" s="17" t="str">
        <f aca="false">IF($A188="","",COUNTIFS(Orders!$C$2:$C$20001,$A188,Orders!$E$2:$E$20001,"COD",Orders!$F$2:$F$20001,"Delivered")+COUNTIFS(Orders!$C$2:$C$20001,$A188,Orders!$E$2:$E$20001,"COD",Orders!$F$2:$F$20001,"RTO"))</f>
        <v/>
      </c>
      <c r="C188" s="17" t="str">
        <f aca="false">IF($A188="","",COUNTIFS(Orders!$C$2:$C$20001,$A188,Orders!$E$2:$E$20001,"COD",Orders!$F$2:$F$20001,"RTO"))</f>
        <v/>
      </c>
      <c r="D188" s="18" t="str">
        <f aca="false">IF($A188="","",IFERROR(C188/B188,0))</f>
        <v/>
      </c>
      <c r="E188" s="17" t="str">
        <f aca="false">IF($A188="","",COUNTIFS(Orders!$C$2:$C$20001,$A188,Orders!$E$2:$E$20001,"Prepaid",Orders!$F$2:$F$20001,"Delivered")+COUNTIFS(Orders!$C$2:$C$20001,$A188,Orders!$E$2:$E$20001,"Prepaid",Orders!$F$2:$F$20001,"RTO"))</f>
        <v/>
      </c>
      <c r="F188" s="17" t="str">
        <f aca="false">IF($A188="","",COUNTIFS(Orders!$C$2:$C$20001,$A188,Orders!$E$2:$E$20001,"Prepaid",Orders!$F$2:$F$20001,"RTO"))</f>
        <v/>
      </c>
      <c r="G188" s="18" t="str">
        <f aca="false">IF($A188="","",IFERROR(F188/E188,0))</f>
        <v/>
      </c>
      <c r="H188" s="19" t="str">
        <f aca="false">IF($A188="","",C188*Settings!$B$11)</f>
        <v/>
      </c>
      <c r="I188" s="20" t="str">
        <f aca="false">IF($A188="","",IF(N(H188)=0,"",RANK(H188,$H$5:$H$2004)))</f>
        <v/>
      </c>
      <c r="J188" s="21" t="str">
        <f aca="false">IF($A188="","",IF(B188=0,"No COD orders",IF(B188&lt;Settings!$B$8,"Too few orders",IF(D188&gt;=Settings!$B$9,"Restrict COD or verify","Keep COD"))))</f>
        <v/>
      </c>
    </row>
    <row r="189" customFormat="false" ht="15" hidden="false" customHeight="false" outlineLevel="0" collapsed="false">
      <c r="A189" s="27"/>
      <c r="B189" s="17" t="str">
        <f aca="false">IF($A189="","",COUNTIFS(Orders!$C$2:$C$20001,$A189,Orders!$E$2:$E$20001,"COD",Orders!$F$2:$F$20001,"Delivered")+COUNTIFS(Orders!$C$2:$C$20001,$A189,Orders!$E$2:$E$20001,"COD",Orders!$F$2:$F$20001,"RTO"))</f>
        <v/>
      </c>
      <c r="C189" s="17" t="str">
        <f aca="false">IF($A189="","",COUNTIFS(Orders!$C$2:$C$20001,$A189,Orders!$E$2:$E$20001,"COD",Orders!$F$2:$F$20001,"RTO"))</f>
        <v/>
      </c>
      <c r="D189" s="18" t="str">
        <f aca="false">IF($A189="","",IFERROR(C189/B189,0))</f>
        <v/>
      </c>
      <c r="E189" s="17" t="str">
        <f aca="false">IF($A189="","",COUNTIFS(Orders!$C$2:$C$20001,$A189,Orders!$E$2:$E$20001,"Prepaid",Orders!$F$2:$F$20001,"Delivered")+COUNTIFS(Orders!$C$2:$C$20001,$A189,Orders!$E$2:$E$20001,"Prepaid",Orders!$F$2:$F$20001,"RTO"))</f>
        <v/>
      </c>
      <c r="F189" s="17" t="str">
        <f aca="false">IF($A189="","",COUNTIFS(Orders!$C$2:$C$20001,$A189,Orders!$E$2:$E$20001,"Prepaid",Orders!$F$2:$F$20001,"RTO"))</f>
        <v/>
      </c>
      <c r="G189" s="18" t="str">
        <f aca="false">IF($A189="","",IFERROR(F189/E189,0))</f>
        <v/>
      </c>
      <c r="H189" s="19" t="str">
        <f aca="false">IF($A189="","",C189*Settings!$B$11)</f>
        <v/>
      </c>
      <c r="I189" s="20" t="str">
        <f aca="false">IF($A189="","",IF(N(H189)=0,"",RANK(H189,$H$5:$H$2004)))</f>
        <v/>
      </c>
      <c r="J189" s="21" t="str">
        <f aca="false">IF($A189="","",IF(B189=0,"No COD orders",IF(B189&lt;Settings!$B$8,"Too few orders",IF(D189&gt;=Settings!$B$9,"Restrict COD or verify","Keep COD"))))</f>
        <v/>
      </c>
    </row>
    <row r="190" customFormat="false" ht="15" hidden="false" customHeight="false" outlineLevel="0" collapsed="false">
      <c r="A190" s="27"/>
      <c r="B190" s="17" t="str">
        <f aca="false">IF($A190="","",COUNTIFS(Orders!$C$2:$C$20001,$A190,Orders!$E$2:$E$20001,"COD",Orders!$F$2:$F$20001,"Delivered")+COUNTIFS(Orders!$C$2:$C$20001,$A190,Orders!$E$2:$E$20001,"COD",Orders!$F$2:$F$20001,"RTO"))</f>
        <v/>
      </c>
      <c r="C190" s="17" t="str">
        <f aca="false">IF($A190="","",COUNTIFS(Orders!$C$2:$C$20001,$A190,Orders!$E$2:$E$20001,"COD",Orders!$F$2:$F$20001,"RTO"))</f>
        <v/>
      </c>
      <c r="D190" s="18" t="str">
        <f aca="false">IF($A190="","",IFERROR(C190/B190,0))</f>
        <v/>
      </c>
      <c r="E190" s="17" t="str">
        <f aca="false">IF($A190="","",COUNTIFS(Orders!$C$2:$C$20001,$A190,Orders!$E$2:$E$20001,"Prepaid",Orders!$F$2:$F$20001,"Delivered")+COUNTIFS(Orders!$C$2:$C$20001,$A190,Orders!$E$2:$E$20001,"Prepaid",Orders!$F$2:$F$20001,"RTO"))</f>
        <v/>
      </c>
      <c r="F190" s="17" t="str">
        <f aca="false">IF($A190="","",COUNTIFS(Orders!$C$2:$C$20001,$A190,Orders!$E$2:$E$20001,"Prepaid",Orders!$F$2:$F$20001,"RTO"))</f>
        <v/>
      </c>
      <c r="G190" s="18" t="str">
        <f aca="false">IF($A190="","",IFERROR(F190/E190,0))</f>
        <v/>
      </c>
      <c r="H190" s="19" t="str">
        <f aca="false">IF($A190="","",C190*Settings!$B$11)</f>
        <v/>
      </c>
      <c r="I190" s="20" t="str">
        <f aca="false">IF($A190="","",IF(N(H190)=0,"",RANK(H190,$H$5:$H$2004)))</f>
        <v/>
      </c>
      <c r="J190" s="21" t="str">
        <f aca="false">IF($A190="","",IF(B190=0,"No COD orders",IF(B190&lt;Settings!$B$8,"Too few orders",IF(D190&gt;=Settings!$B$9,"Restrict COD or verify","Keep COD"))))</f>
        <v/>
      </c>
    </row>
    <row r="191" customFormat="false" ht="15" hidden="false" customHeight="false" outlineLevel="0" collapsed="false">
      <c r="A191" s="27"/>
      <c r="B191" s="17" t="str">
        <f aca="false">IF($A191="","",COUNTIFS(Orders!$C$2:$C$20001,$A191,Orders!$E$2:$E$20001,"COD",Orders!$F$2:$F$20001,"Delivered")+COUNTIFS(Orders!$C$2:$C$20001,$A191,Orders!$E$2:$E$20001,"COD",Orders!$F$2:$F$20001,"RTO"))</f>
        <v/>
      </c>
      <c r="C191" s="17" t="str">
        <f aca="false">IF($A191="","",COUNTIFS(Orders!$C$2:$C$20001,$A191,Orders!$E$2:$E$20001,"COD",Orders!$F$2:$F$20001,"RTO"))</f>
        <v/>
      </c>
      <c r="D191" s="18" t="str">
        <f aca="false">IF($A191="","",IFERROR(C191/B191,0))</f>
        <v/>
      </c>
      <c r="E191" s="17" t="str">
        <f aca="false">IF($A191="","",COUNTIFS(Orders!$C$2:$C$20001,$A191,Orders!$E$2:$E$20001,"Prepaid",Orders!$F$2:$F$20001,"Delivered")+COUNTIFS(Orders!$C$2:$C$20001,$A191,Orders!$E$2:$E$20001,"Prepaid",Orders!$F$2:$F$20001,"RTO"))</f>
        <v/>
      </c>
      <c r="F191" s="17" t="str">
        <f aca="false">IF($A191="","",COUNTIFS(Orders!$C$2:$C$20001,$A191,Orders!$E$2:$E$20001,"Prepaid",Orders!$F$2:$F$20001,"RTO"))</f>
        <v/>
      </c>
      <c r="G191" s="18" t="str">
        <f aca="false">IF($A191="","",IFERROR(F191/E191,0))</f>
        <v/>
      </c>
      <c r="H191" s="19" t="str">
        <f aca="false">IF($A191="","",C191*Settings!$B$11)</f>
        <v/>
      </c>
      <c r="I191" s="20" t="str">
        <f aca="false">IF($A191="","",IF(N(H191)=0,"",RANK(H191,$H$5:$H$2004)))</f>
        <v/>
      </c>
      <c r="J191" s="21" t="str">
        <f aca="false">IF($A191="","",IF(B191=0,"No COD orders",IF(B191&lt;Settings!$B$8,"Too few orders",IF(D191&gt;=Settings!$B$9,"Restrict COD or verify","Keep COD"))))</f>
        <v/>
      </c>
    </row>
    <row r="192" customFormat="false" ht="15" hidden="false" customHeight="false" outlineLevel="0" collapsed="false">
      <c r="A192" s="27"/>
      <c r="B192" s="17" t="str">
        <f aca="false">IF($A192="","",COUNTIFS(Orders!$C$2:$C$20001,$A192,Orders!$E$2:$E$20001,"COD",Orders!$F$2:$F$20001,"Delivered")+COUNTIFS(Orders!$C$2:$C$20001,$A192,Orders!$E$2:$E$20001,"COD",Orders!$F$2:$F$20001,"RTO"))</f>
        <v/>
      </c>
      <c r="C192" s="17" t="str">
        <f aca="false">IF($A192="","",COUNTIFS(Orders!$C$2:$C$20001,$A192,Orders!$E$2:$E$20001,"COD",Orders!$F$2:$F$20001,"RTO"))</f>
        <v/>
      </c>
      <c r="D192" s="18" t="str">
        <f aca="false">IF($A192="","",IFERROR(C192/B192,0))</f>
        <v/>
      </c>
      <c r="E192" s="17" t="str">
        <f aca="false">IF($A192="","",COUNTIFS(Orders!$C$2:$C$20001,$A192,Orders!$E$2:$E$20001,"Prepaid",Orders!$F$2:$F$20001,"Delivered")+COUNTIFS(Orders!$C$2:$C$20001,$A192,Orders!$E$2:$E$20001,"Prepaid",Orders!$F$2:$F$20001,"RTO"))</f>
        <v/>
      </c>
      <c r="F192" s="17" t="str">
        <f aca="false">IF($A192="","",COUNTIFS(Orders!$C$2:$C$20001,$A192,Orders!$E$2:$E$20001,"Prepaid",Orders!$F$2:$F$20001,"RTO"))</f>
        <v/>
      </c>
      <c r="G192" s="18" t="str">
        <f aca="false">IF($A192="","",IFERROR(F192/E192,0))</f>
        <v/>
      </c>
      <c r="H192" s="19" t="str">
        <f aca="false">IF($A192="","",C192*Settings!$B$11)</f>
        <v/>
      </c>
      <c r="I192" s="20" t="str">
        <f aca="false">IF($A192="","",IF(N(H192)=0,"",RANK(H192,$H$5:$H$2004)))</f>
        <v/>
      </c>
      <c r="J192" s="21" t="str">
        <f aca="false">IF($A192="","",IF(B192=0,"No COD orders",IF(B192&lt;Settings!$B$8,"Too few orders",IF(D192&gt;=Settings!$B$9,"Restrict COD or verify","Keep COD"))))</f>
        <v/>
      </c>
    </row>
    <row r="193" customFormat="false" ht="15" hidden="false" customHeight="false" outlineLevel="0" collapsed="false">
      <c r="A193" s="27"/>
      <c r="B193" s="17" t="str">
        <f aca="false">IF($A193="","",COUNTIFS(Orders!$C$2:$C$20001,$A193,Orders!$E$2:$E$20001,"COD",Orders!$F$2:$F$20001,"Delivered")+COUNTIFS(Orders!$C$2:$C$20001,$A193,Orders!$E$2:$E$20001,"COD",Orders!$F$2:$F$20001,"RTO"))</f>
        <v/>
      </c>
      <c r="C193" s="17" t="str">
        <f aca="false">IF($A193="","",COUNTIFS(Orders!$C$2:$C$20001,$A193,Orders!$E$2:$E$20001,"COD",Orders!$F$2:$F$20001,"RTO"))</f>
        <v/>
      </c>
      <c r="D193" s="18" t="str">
        <f aca="false">IF($A193="","",IFERROR(C193/B193,0))</f>
        <v/>
      </c>
      <c r="E193" s="17" t="str">
        <f aca="false">IF($A193="","",COUNTIFS(Orders!$C$2:$C$20001,$A193,Orders!$E$2:$E$20001,"Prepaid",Orders!$F$2:$F$20001,"Delivered")+COUNTIFS(Orders!$C$2:$C$20001,$A193,Orders!$E$2:$E$20001,"Prepaid",Orders!$F$2:$F$20001,"RTO"))</f>
        <v/>
      </c>
      <c r="F193" s="17" t="str">
        <f aca="false">IF($A193="","",COUNTIFS(Orders!$C$2:$C$20001,$A193,Orders!$E$2:$E$20001,"Prepaid",Orders!$F$2:$F$20001,"RTO"))</f>
        <v/>
      </c>
      <c r="G193" s="18" t="str">
        <f aca="false">IF($A193="","",IFERROR(F193/E193,0))</f>
        <v/>
      </c>
      <c r="H193" s="19" t="str">
        <f aca="false">IF($A193="","",C193*Settings!$B$11)</f>
        <v/>
      </c>
      <c r="I193" s="20" t="str">
        <f aca="false">IF($A193="","",IF(N(H193)=0,"",RANK(H193,$H$5:$H$2004)))</f>
        <v/>
      </c>
      <c r="J193" s="21" t="str">
        <f aca="false">IF($A193="","",IF(B193=0,"No COD orders",IF(B193&lt;Settings!$B$8,"Too few orders",IF(D193&gt;=Settings!$B$9,"Restrict COD or verify","Keep COD"))))</f>
        <v/>
      </c>
    </row>
    <row r="194" customFormat="false" ht="15" hidden="false" customHeight="false" outlineLevel="0" collapsed="false">
      <c r="A194" s="27"/>
      <c r="B194" s="17" t="str">
        <f aca="false">IF($A194="","",COUNTIFS(Orders!$C$2:$C$20001,$A194,Orders!$E$2:$E$20001,"COD",Orders!$F$2:$F$20001,"Delivered")+COUNTIFS(Orders!$C$2:$C$20001,$A194,Orders!$E$2:$E$20001,"COD",Orders!$F$2:$F$20001,"RTO"))</f>
        <v/>
      </c>
      <c r="C194" s="17" t="str">
        <f aca="false">IF($A194="","",COUNTIFS(Orders!$C$2:$C$20001,$A194,Orders!$E$2:$E$20001,"COD",Orders!$F$2:$F$20001,"RTO"))</f>
        <v/>
      </c>
      <c r="D194" s="18" t="str">
        <f aca="false">IF($A194="","",IFERROR(C194/B194,0))</f>
        <v/>
      </c>
      <c r="E194" s="17" t="str">
        <f aca="false">IF($A194="","",COUNTIFS(Orders!$C$2:$C$20001,$A194,Orders!$E$2:$E$20001,"Prepaid",Orders!$F$2:$F$20001,"Delivered")+COUNTIFS(Orders!$C$2:$C$20001,$A194,Orders!$E$2:$E$20001,"Prepaid",Orders!$F$2:$F$20001,"RTO"))</f>
        <v/>
      </c>
      <c r="F194" s="17" t="str">
        <f aca="false">IF($A194="","",COUNTIFS(Orders!$C$2:$C$20001,$A194,Orders!$E$2:$E$20001,"Prepaid",Orders!$F$2:$F$20001,"RTO"))</f>
        <v/>
      </c>
      <c r="G194" s="18" t="str">
        <f aca="false">IF($A194="","",IFERROR(F194/E194,0))</f>
        <v/>
      </c>
      <c r="H194" s="19" t="str">
        <f aca="false">IF($A194="","",C194*Settings!$B$11)</f>
        <v/>
      </c>
      <c r="I194" s="20" t="str">
        <f aca="false">IF($A194="","",IF(N(H194)=0,"",RANK(H194,$H$5:$H$2004)))</f>
        <v/>
      </c>
      <c r="J194" s="21" t="str">
        <f aca="false">IF($A194="","",IF(B194=0,"No COD orders",IF(B194&lt;Settings!$B$8,"Too few orders",IF(D194&gt;=Settings!$B$9,"Restrict COD or verify","Keep COD"))))</f>
        <v/>
      </c>
    </row>
    <row r="195" customFormat="false" ht="15" hidden="false" customHeight="false" outlineLevel="0" collapsed="false">
      <c r="A195" s="27"/>
      <c r="B195" s="17" t="str">
        <f aca="false">IF($A195="","",COUNTIFS(Orders!$C$2:$C$20001,$A195,Orders!$E$2:$E$20001,"COD",Orders!$F$2:$F$20001,"Delivered")+COUNTIFS(Orders!$C$2:$C$20001,$A195,Orders!$E$2:$E$20001,"COD",Orders!$F$2:$F$20001,"RTO"))</f>
        <v/>
      </c>
      <c r="C195" s="17" t="str">
        <f aca="false">IF($A195="","",COUNTIFS(Orders!$C$2:$C$20001,$A195,Orders!$E$2:$E$20001,"COD",Orders!$F$2:$F$20001,"RTO"))</f>
        <v/>
      </c>
      <c r="D195" s="18" t="str">
        <f aca="false">IF($A195="","",IFERROR(C195/B195,0))</f>
        <v/>
      </c>
      <c r="E195" s="17" t="str">
        <f aca="false">IF($A195="","",COUNTIFS(Orders!$C$2:$C$20001,$A195,Orders!$E$2:$E$20001,"Prepaid",Orders!$F$2:$F$20001,"Delivered")+COUNTIFS(Orders!$C$2:$C$20001,$A195,Orders!$E$2:$E$20001,"Prepaid",Orders!$F$2:$F$20001,"RTO"))</f>
        <v/>
      </c>
      <c r="F195" s="17" t="str">
        <f aca="false">IF($A195="","",COUNTIFS(Orders!$C$2:$C$20001,$A195,Orders!$E$2:$E$20001,"Prepaid",Orders!$F$2:$F$20001,"RTO"))</f>
        <v/>
      </c>
      <c r="G195" s="18" t="str">
        <f aca="false">IF($A195="","",IFERROR(F195/E195,0))</f>
        <v/>
      </c>
      <c r="H195" s="19" t="str">
        <f aca="false">IF($A195="","",C195*Settings!$B$11)</f>
        <v/>
      </c>
      <c r="I195" s="20" t="str">
        <f aca="false">IF($A195="","",IF(N(H195)=0,"",RANK(H195,$H$5:$H$2004)))</f>
        <v/>
      </c>
      <c r="J195" s="21" t="str">
        <f aca="false">IF($A195="","",IF(B195=0,"No COD orders",IF(B195&lt;Settings!$B$8,"Too few orders",IF(D195&gt;=Settings!$B$9,"Restrict COD or verify","Keep COD"))))</f>
        <v/>
      </c>
    </row>
    <row r="196" customFormat="false" ht="15" hidden="false" customHeight="false" outlineLevel="0" collapsed="false">
      <c r="A196" s="27"/>
      <c r="B196" s="17" t="str">
        <f aca="false">IF($A196="","",COUNTIFS(Orders!$C$2:$C$20001,$A196,Orders!$E$2:$E$20001,"COD",Orders!$F$2:$F$20001,"Delivered")+COUNTIFS(Orders!$C$2:$C$20001,$A196,Orders!$E$2:$E$20001,"COD",Orders!$F$2:$F$20001,"RTO"))</f>
        <v/>
      </c>
      <c r="C196" s="17" t="str">
        <f aca="false">IF($A196="","",COUNTIFS(Orders!$C$2:$C$20001,$A196,Orders!$E$2:$E$20001,"COD",Orders!$F$2:$F$20001,"RTO"))</f>
        <v/>
      </c>
      <c r="D196" s="18" t="str">
        <f aca="false">IF($A196="","",IFERROR(C196/B196,0))</f>
        <v/>
      </c>
      <c r="E196" s="17" t="str">
        <f aca="false">IF($A196="","",COUNTIFS(Orders!$C$2:$C$20001,$A196,Orders!$E$2:$E$20001,"Prepaid",Orders!$F$2:$F$20001,"Delivered")+COUNTIFS(Orders!$C$2:$C$20001,$A196,Orders!$E$2:$E$20001,"Prepaid",Orders!$F$2:$F$20001,"RTO"))</f>
        <v/>
      </c>
      <c r="F196" s="17" t="str">
        <f aca="false">IF($A196="","",COUNTIFS(Orders!$C$2:$C$20001,$A196,Orders!$E$2:$E$20001,"Prepaid",Orders!$F$2:$F$20001,"RTO"))</f>
        <v/>
      </c>
      <c r="G196" s="18" t="str">
        <f aca="false">IF($A196="","",IFERROR(F196/E196,0))</f>
        <v/>
      </c>
      <c r="H196" s="19" t="str">
        <f aca="false">IF($A196="","",C196*Settings!$B$11)</f>
        <v/>
      </c>
      <c r="I196" s="20" t="str">
        <f aca="false">IF($A196="","",IF(N(H196)=0,"",RANK(H196,$H$5:$H$2004)))</f>
        <v/>
      </c>
      <c r="J196" s="21" t="str">
        <f aca="false">IF($A196="","",IF(B196=0,"No COD orders",IF(B196&lt;Settings!$B$8,"Too few orders",IF(D196&gt;=Settings!$B$9,"Restrict COD or verify","Keep COD"))))</f>
        <v/>
      </c>
    </row>
    <row r="197" customFormat="false" ht="15" hidden="false" customHeight="false" outlineLevel="0" collapsed="false">
      <c r="A197" s="27"/>
      <c r="B197" s="17" t="str">
        <f aca="false">IF($A197="","",COUNTIFS(Orders!$C$2:$C$20001,$A197,Orders!$E$2:$E$20001,"COD",Orders!$F$2:$F$20001,"Delivered")+COUNTIFS(Orders!$C$2:$C$20001,$A197,Orders!$E$2:$E$20001,"COD",Orders!$F$2:$F$20001,"RTO"))</f>
        <v/>
      </c>
      <c r="C197" s="17" t="str">
        <f aca="false">IF($A197="","",COUNTIFS(Orders!$C$2:$C$20001,$A197,Orders!$E$2:$E$20001,"COD",Orders!$F$2:$F$20001,"RTO"))</f>
        <v/>
      </c>
      <c r="D197" s="18" t="str">
        <f aca="false">IF($A197="","",IFERROR(C197/B197,0))</f>
        <v/>
      </c>
      <c r="E197" s="17" t="str">
        <f aca="false">IF($A197="","",COUNTIFS(Orders!$C$2:$C$20001,$A197,Orders!$E$2:$E$20001,"Prepaid",Orders!$F$2:$F$20001,"Delivered")+COUNTIFS(Orders!$C$2:$C$20001,$A197,Orders!$E$2:$E$20001,"Prepaid",Orders!$F$2:$F$20001,"RTO"))</f>
        <v/>
      </c>
      <c r="F197" s="17" t="str">
        <f aca="false">IF($A197="","",COUNTIFS(Orders!$C$2:$C$20001,$A197,Orders!$E$2:$E$20001,"Prepaid",Orders!$F$2:$F$20001,"RTO"))</f>
        <v/>
      </c>
      <c r="G197" s="18" t="str">
        <f aca="false">IF($A197="","",IFERROR(F197/E197,0))</f>
        <v/>
      </c>
      <c r="H197" s="19" t="str">
        <f aca="false">IF($A197="","",C197*Settings!$B$11)</f>
        <v/>
      </c>
      <c r="I197" s="20" t="str">
        <f aca="false">IF($A197="","",IF(N(H197)=0,"",RANK(H197,$H$5:$H$2004)))</f>
        <v/>
      </c>
      <c r="J197" s="21" t="str">
        <f aca="false">IF($A197="","",IF(B197=0,"No COD orders",IF(B197&lt;Settings!$B$8,"Too few orders",IF(D197&gt;=Settings!$B$9,"Restrict COD or verify","Keep COD"))))</f>
        <v/>
      </c>
    </row>
    <row r="198" customFormat="false" ht="15" hidden="false" customHeight="false" outlineLevel="0" collapsed="false">
      <c r="A198" s="27"/>
      <c r="B198" s="17" t="str">
        <f aca="false">IF($A198="","",COUNTIFS(Orders!$C$2:$C$20001,$A198,Orders!$E$2:$E$20001,"COD",Orders!$F$2:$F$20001,"Delivered")+COUNTIFS(Orders!$C$2:$C$20001,$A198,Orders!$E$2:$E$20001,"COD",Orders!$F$2:$F$20001,"RTO"))</f>
        <v/>
      </c>
      <c r="C198" s="17" t="str">
        <f aca="false">IF($A198="","",COUNTIFS(Orders!$C$2:$C$20001,$A198,Orders!$E$2:$E$20001,"COD",Orders!$F$2:$F$20001,"RTO"))</f>
        <v/>
      </c>
      <c r="D198" s="18" t="str">
        <f aca="false">IF($A198="","",IFERROR(C198/B198,0))</f>
        <v/>
      </c>
      <c r="E198" s="17" t="str">
        <f aca="false">IF($A198="","",COUNTIFS(Orders!$C$2:$C$20001,$A198,Orders!$E$2:$E$20001,"Prepaid",Orders!$F$2:$F$20001,"Delivered")+COUNTIFS(Orders!$C$2:$C$20001,$A198,Orders!$E$2:$E$20001,"Prepaid",Orders!$F$2:$F$20001,"RTO"))</f>
        <v/>
      </c>
      <c r="F198" s="17" t="str">
        <f aca="false">IF($A198="","",COUNTIFS(Orders!$C$2:$C$20001,$A198,Orders!$E$2:$E$20001,"Prepaid",Orders!$F$2:$F$20001,"RTO"))</f>
        <v/>
      </c>
      <c r="G198" s="18" t="str">
        <f aca="false">IF($A198="","",IFERROR(F198/E198,0))</f>
        <v/>
      </c>
      <c r="H198" s="19" t="str">
        <f aca="false">IF($A198="","",C198*Settings!$B$11)</f>
        <v/>
      </c>
      <c r="I198" s="20" t="str">
        <f aca="false">IF($A198="","",IF(N(H198)=0,"",RANK(H198,$H$5:$H$2004)))</f>
        <v/>
      </c>
      <c r="J198" s="21" t="str">
        <f aca="false">IF($A198="","",IF(B198=0,"No COD orders",IF(B198&lt;Settings!$B$8,"Too few orders",IF(D198&gt;=Settings!$B$9,"Restrict COD or verify","Keep COD"))))</f>
        <v/>
      </c>
    </row>
    <row r="199" customFormat="false" ht="15" hidden="false" customHeight="false" outlineLevel="0" collapsed="false">
      <c r="A199" s="27"/>
      <c r="B199" s="17" t="str">
        <f aca="false">IF($A199="","",COUNTIFS(Orders!$C$2:$C$20001,$A199,Orders!$E$2:$E$20001,"COD",Orders!$F$2:$F$20001,"Delivered")+COUNTIFS(Orders!$C$2:$C$20001,$A199,Orders!$E$2:$E$20001,"COD",Orders!$F$2:$F$20001,"RTO"))</f>
        <v/>
      </c>
      <c r="C199" s="17" t="str">
        <f aca="false">IF($A199="","",COUNTIFS(Orders!$C$2:$C$20001,$A199,Orders!$E$2:$E$20001,"COD",Orders!$F$2:$F$20001,"RTO"))</f>
        <v/>
      </c>
      <c r="D199" s="18" t="str">
        <f aca="false">IF($A199="","",IFERROR(C199/B199,0))</f>
        <v/>
      </c>
      <c r="E199" s="17" t="str">
        <f aca="false">IF($A199="","",COUNTIFS(Orders!$C$2:$C$20001,$A199,Orders!$E$2:$E$20001,"Prepaid",Orders!$F$2:$F$20001,"Delivered")+COUNTIFS(Orders!$C$2:$C$20001,$A199,Orders!$E$2:$E$20001,"Prepaid",Orders!$F$2:$F$20001,"RTO"))</f>
        <v/>
      </c>
      <c r="F199" s="17" t="str">
        <f aca="false">IF($A199="","",COUNTIFS(Orders!$C$2:$C$20001,$A199,Orders!$E$2:$E$20001,"Prepaid",Orders!$F$2:$F$20001,"RTO"))</f>
        <v/>
      </c>
      <c r="G199" s="18" t="str">
        <f aca="false">IF($A199="","",IFERROR(F199/E199,0))</f>
        <v/>
      </c>
      <c r="H199" s="19" t="str">
        <f aca="false">IF($A199="","",C199*Settings!$B$11)</f>
        <v/>
      </c>
      <c r="I199" s="20" t="str">
        <f aca="false">IF($A199="","",IF(N(H199)=0,"",RANK(H199,$H$5:$H$2004)))</f>
        <v/>
      </c>
      <c r="J199" s="21" t="str">
        <f aca="false">IF($A199="","",IF(B199=0,"No COD orders",IF(B199&lt;Settings!$B$8,"Too few orders",IF(D199&gt;=Settings!$B$9,"Restrict COD or verify","Keep COD"))))</f>
        <v/>
      </c>
    </row>
    <row r="200" customFormat="false" ht="15" hidden="false" customHeight="false" outlineLevel="0" collapsed="false">
      <c r="A200" s="27"/>
      <c r="B200" s="17" t="str">
        <f aca="false">IF($A200="","",COUNTIFS(Orders!$C$2:$C$20001,$A200,Orders!$E$2:$E$20001,"COD",Orders!$F$2:$F$20001,"Delivered")+COUNTIFS(Orders!$C$2:$C$20001,$A200,Orders!$E$2:$E$20001,"COD",Orders!$F$2:$F$20001,"RTO"))</f>
        <v/>
      </c>
      <c r="C200" s="17" t="str">
        <f aca="false">IF($A200="","",COUNTIFS(Orders!$C$2:$C$20001,$A200,Orders!$E$2:$E$20001,"COD",Orders!$F$2:$F$20001,"RTO"))</f>
        <v/>
      </c>
      <c r="D200" s="18" t="str">
        <f aca="false">IF($A200="","",IFERROR(C200/B200,0))</f>
        <v/>
      </c>
      <c r="E200" s="17" t="str">
        <f aca="false">IF($A200="","",COUNTIFS(Orders!$C$2:$C$20001,$A200,Orders!$E$2:$E$20001,"Prepaid",Orders!$F$2:$F$20001,"Delivered")+COUNTIFS(Orders!$C$2:$C$20001,$A200,Orders!$E$2:$E$20001,"Prepaid",Orders!$F$2:$F$20001,"RTO"))</f>
        <v/>
      </c>
      <c r="F200" s="17" t="str">
        <f aca="false">IF($A200="","",COUNTIFS(Orders!$C$2:$C$20001,$A200,Orders!$E$2:$E$20001,"Prepaid",Orders!$F$2:$F$20001,"RTO"))</f>
        <v/>
      </c>
      <c r="G200" s="18" t="str">
        <f aca="false">IF($A200="","",IFERROR(F200/E200,0))</f>
        <v/>
      </c>
      <c r="H200" s="19" t="str">
        <f aca="false">IF($A200="","",C200*Settings!$B$11)</f>
        <v/>
      </c>
      <c r="I200" s="20" t="str">
        <f aca="false">IF($A200="","",IF(N(H200)=0,"",RANK(H200,$H$5:$H$2004)))</f>
        <v/>
      </c>
      <c r="J200" s="21" t="str">
        <f aca="false">IF($A200="","",IF(B200=0,"No COD orders",IF(B200&lt;Settings!$B$8,"Too few orders",IF(D200&gt;=Settings!$B$9,"Restrict COD or verify","Keep COD"))))</f>
        <v/>
      </c>
    </row>
    <row r="201" customFormat="false" ht="15" hidden="false" customHeight="false" outlineLevel="0" collapsed="false">
      <c r="A201" s="27"/>
      <c r="B201" s="17" t="str">
        <f aca="false">IF($A201="","",COUNTIFS(Orders!$C$2:$C$20001,$A201,Orders!$E$2:$E$20001,"COD",Orders!$F$2:$F$20001,"Delivered")+COUNTIFS(Orders!$C$2:$C$20001,$A201,Orders!$E$2:$E$20001,"COD",Orders!$F$2:$F$20001,"RTO"))</f>
        <v/>
      </c>
      <c r="C201" s="17" t="str">
        <f aca="false">IF($A201="","",COUNTIFS(Orders!$C$2:$C$20001,$A201,Orders!$E$2:$E$20001,"COD",Orders!$F$2:$F$20001,"RTO"))</f>
        <v/>
      </c>
      <c r="D201" s="18" t="str">
        <f aca="false">IF($A201="","",IFERROR(C201/B201,0))</f>
        <v/>
      </c>
      <c r="E201" s="17" t="str">
        <f aca="false">IF($A201="","",COUNTIFS(Orders!$C$2:$C$20001,$A201,Orders!$E$2:$E$20001,"Prepaid",Orders!$F$2:$F$20001,"Delivered")+COUNTIFS(Orders!$C$2:$C$20001,$A201,Orders!$E$2:$E$20001,"Prepaid",Orders!$F$2:$F$20001,"RTO"))</f>
        <v/>
      </c>
      <c r="F201" s="17" t="str">
        <f aca="false">IF($A201="","",COUNTIFS(Orders!$C$2:$C$20001,$A201,Orders!$E$2:$E$20001,"Prepaid",Orders!$F$2:$F$20001,"RTO"))</f>
        <v/>
      </c>
      <c r="G201" s="18" t="str">
        <f aca="false">IF($A201="","",IFERROR(F201/E201,0))</f>
        <v/>
      </c>
      <c r="H201" s="19" t="str">
        <f aca="false">IF($A201="","",C201*Settings!$B$11)</f>
        <v/>
      </c>
      <c r="I201" s="20" t="str">
        <f aca="false">IF($A201="","",IF(N(H201)=0,"",RANK(H201,$H$5:$H$2004)))</f>
        <v/>
      </c>
      <c r="J201" s="21" t="str">
        <f aca="false">IF($A201="","",IF(B201=0,"No COD orders",IF(B201&lt;Settings!$B$8,"Too few orders",IF(D201&gt;=Settings!$B$9,"Restrict COD or verify","Keep COD"))))</f>
        <v/>
      </c>
    </row>
    <row r="202" customFormat="false" ht="15" hidden="false" customHeight="false" outlineLevel="0" collapsed="false">
      <c r="A202" s="27"/>
      <c r="B202" s="17" t="str">
        <f aca="false">IF($A202="","",COUNTIFS(Orders!$C$2:$C$20001,$A202,Orders!$E$2:$E$20001,"COD",Orders!$F$2:$F$20001,"Delivered")+COUNTIFS(Orders!$C$2:$C$20001,$A202,Orders!$E$2:$E$20001,"COD",Orders!$F$2:$F$20001,"RTO"))</f>
        <v/>
      </c>
      <c r="C202" s="17" t="str">
        <f aca="false">IF($A202="","",COUNTIFS(Orders!$C$2:$C$20001,$A202,Orders!$E$2:$E$20001,"COD",Orders!$F$2:$F$20001,"RTO"))</f>
        <v/>
      </c>
      <c r="D202" s="18" t="str">
        <f aca="false">IF($A202="","",IFERROR(C202/B202,0))</f>
        <v/>
      </c>
      <c r="E202" s="17" t="str">
        <f aca="false">IF($A202="","",COUNTIFS(Orders!$C$2:$C$20001,$A202,Orders!$E$2:$E$20001,"Prepaid",Orders!$F$2:$F$20001,"Delivered")+COUNTIFS(Orders!$C$2:$C$20001,$A202,Orders!$E$2:$E$20001,"Prepaid",Orders!$F$2:$F$20001,"RTO"))</f>
        <v/>
      </c>
      <c r="F202" s="17" t="str">
        <f aca="false">IF($A202="","",COUNTIFS(Orders!$C$2:$C$20001,$A202,Orders!$E$2:$E$20001,"Prepaid",Orders!$F$2:$F$20001,"RTO"))</f>
        <v/>
      </c>
      <c r="G202" s="18" t="str">
        <f aca="false">IF($A202="","",IFERROR(F202/E202,0))</f>
        <v/>
      </c>
      <c r="H202" s="19" t="str">
        <f aca="false">IF($A202="","",C202*Settings!$B$11)</f>
        <v/>
      </c>
      <c r="I202" s="20" t="str">
        <f aca="false">IF($A202="","",IF(N(H202)=0,"",RANK(H202,$H$5:$H$2004)))</f>
        <v/>
      </c>
      <c r="J202" s="21" t="str">
        <f aca="false">IF($A202="","",IF(B202=0,"No COD orders",IF(B202&lt;Settings!$B$8,"Too few orders",IF(D202&gt;=Settings!$B$9,"Restrict COD or verify","Keep COD"))))</f>
        <v/>
      </c>
    </row>
    <row r="203" customFormat="false" ht="15" hidden="false" customHeight="false" outlineLevel="0" collapsed="false">
      <c r="A203" s="27"/>
      <c r="B203" s="17" t="str">
        <f aca="false">IF($A203="","",COUNTIFS(Orders!$C$2:$C$20001,$A203,Orders!$E$2:$E$20001,"COD",Orders!$F$2:$F$20001,"Delivered")+COUNTIFS(Orders!$C$2:$C$20001,$A203,Orders!$E$2:$E$20001,"COD",Orders!$F$2:$F$20001,"RTO"))</f>
        <v/>
      </c>
      <c r="C203" s="17" t="str">
        <f aca="false">IF($A203="","",COUNTIFS(Orders!$C$2:$C$20001,$A203,Orders!$E$2:$E$20001,"COD",Orders!$F$2:$F$20001,"RTO"))</f>
        <v/>
      </c>
      <c r="D203" s="18" t="str">
        <f aca="false">IF($A203="","",IFERROR(C203/B203,0))</f>
        <v/>
      </c>
      <c r="E203" s="17" t="str">
        <f aca="false">IF($A203="","",COUNTIFS(Orders!$C$2:$C$20001,$A203,Orders!$E$2:$E$20001,"Prepaid",Orders!$F$2:$F$20001,"Delivered")+COUNTIFS(Orders!$C$2:$C$20001,$A203,Orders!$E$2:$E$20001,"Prepaid",Orders!$F$2:$F$20001,"RTO"))</f>
        <v/>
      </c>
      <c r="F203" s="17" t="str">
        <f aca="false">IF($A203="","",COUNTIFS(Orders!$C$2:$C$20001,$A203,Orders!$E$2:$E$20001,"Prepaid",Orders!$F$2:$F$20001,"RTO"))</f>
        <v/>
      </c>
      <c r="G203" s="18" t="str">
        <f aca="false">IF($A203="","",IFERROR(F203/E203,0))</f>
        <v/>
      </c>
      <c r="H203" s="19" t="str">
        <f aca="false">IF($A203="","",C203*Settings!$B$11)</f>
        <v/>
      </c>
      <c r="I203" s="20" t="str">
        <f aca="false">IF($A203="","",IF(N(H203)=0,"",RANK(H203,$H$5:$H$2004)))</f>
        <v/>
      </c>
      <c r="J203" s="21" t="str">
        <f aca="false">IF($A203="","",IF(B203=0,"No COD orders",IF(B203&lt;Settings!$B$8,"Too few orders",IF(D203&gt;=Settings!$B$9,"Restrict COD or verify","Keep COD"))))</f>
        <v/>
      </c>
    </row>
    <row r="204" customFormat="false" ht="15" hidden="false" customHeight="false" outlineLevel="0" collapsed="false">
      <c r="A204" s="27"/>
      <c r="B204" s="17" t="str">
        <f aca="false">IF($A204="","",COUNTIFS(Orders!$C$2:$C$20001,$A204,Orders!$E$2:$E$20001,"COD",Orders!$F$2:$F$20001,"Delivered")+COUNTIFS(Orders!$C$2:$C$20001,$A204,Orders!$E$2:$E$20001,"COD",Orders!$F$2:$F$20001,"RTO"))</f>
        <v/>
      </c>
      <c r="C204" s="17" t="str">
        <f aca="false">IF($A204="","",COUNTIFS(Orders!$C$2:$C$20001,$A204,Orders!$E$2:$E$20001,"COD",Orders!$F$2:$F$20001,"RTO"))</f>
        <v/>
      </c>
      <c r="D204" s="18" t="str">
        <f aca="false">IF($A204="","",IFERROR(C204/B204,0))</f>
        <v/>
      </c>
      <c r="E204" s="17" t="str">
        <f aca="false">IF($A204="","",COUNTIFS(Orders!$C$2:$C$20001,$A204,Orders!$E$2:$E$20001,"Prepaid",Orders!$F$2:$F$20001,"Delivered")+COUNTIFS(Orders!$C$2:$C$20001,$A204,Orders!$E$2:$E$20001,"Prepaid",Orders!$F$2:$F$20001,"RTO"))</f>
        <v/>
      </c>
      <c r="F204" s="17" t="str">
        <f aca="false">IF($A204="","",COUNTIFS(Orders!$C$2:$C$20001,$A204,Orders!$E$2:$E$20001,"Prepaid",Orders!$F$2:$F$20001,"RTO"))</f>
        <v/>
      </c>
      <c r="G204" s="18" t="str">
        <f aca="false">IF($A204="","",IFERROR(F204/E204,0))</f>
        <v/>
      </c>
      <c r="H204" s="19" t="str">
        <f aca="false">IF($A204="","",C204*Settings!$B$11)</f>
        <v/>
      </c>
      <c r="I204" s="20" t="str">
        <f aca="false">IF($A204="","",IF(N(H204)=0,"",RANK(H204,$H$5:$H$2004)))</f>
        <v/>
      </c>
      <c r="J204" s="21" t="str">
        <f aca="false">IF($A204="","",IF(B204=0,"No COD orders",IF(B204&lt;Settings!$B$8,"Too few orders",IF(D204&gt;=Settings!$B$9,"Restrict COD or verify","Keep COD"))))</f>
        <v/>
      </c>
    </row>
    <row r="205" customFormat="false" ht="15" hidden="false" customHeight="false" outlineLevel="0" collapsed="false">
      <c r="A205" s="27"/>
      <c r="B205" s="17" t="str">
        <f aca="false">IF($A205="","",COUNTIFS(Orders!$C$2:$C$20001,$A205,Orders!$E$2:$E$20001,"COD",Orders!$F$2:$F$20001,"Delivered")+COUNTIFS(Orders!$C$2:$C$20001,$A205,Orders!$E$2:$E$20001,"COD",Orders!$F$2:$F$20001,"RTO"))</f>
        <v/>
      </c>
      <c r="C205" s="17" t="str">
        <f aca="false">IF($A205="","",COUNTIFS(Orders!$C$2:$C$20001,$A205,Orders!$E$2:$E$20001,"COD",Orders!$F$2:$F$20001,"RTO"))</f>
        <v/>
      </c>
      <c r="D205" s="18" t="str">
        <f aca="false">IF($A205="","",IFERROR(C205/B205,0))</f>
        <v/>
      </c>
      <c r="E205" s="17" t="str">
        <f aca="false">IF($A205="","",COUNTIFS(Orders!$C$2:$C$20001,$A205,Orders!$E$2:$E$20001,"Prepaid",Orders!$F$2:$F$20001,"Delivered")+COUNTIFS(Orders!$C$2:$C$20001,$A205,Orders!$E$2:$E$20001,"Prepaid",Orders!$F$2:$F$20001,"RTO"))</f>
        <v/>
      </c>
      <c r="F205" s="17" t="str">
        <f aca="false">IF($A205="","",COUNTIFS(Orders!$C$2:$C$20001,$A205,Orders!$E$2:$E$20001,"Prepaid",Orders!$F$2:$F$20001,"RTO"))</f>
        <v/>
      </c>
      <c r="G205" s="18" t="str">
        <f aca="false">IF($A205="","",IFERROR(F205/E205,0))</f>
        <v/>
      </c>
      <c r="H205" s="19" t="str">
        <f aca="false">IF($A205="","",C205*Settings!$B$11)</f>
        <v/>
      </c>
      <c r="I205" s="20" t="str">
        <f aca="false">IF($A205="","",IF(N(H205)=0,"",RANK(H205,$H$5:$H$2004)))</f>
        <v/>
      </c>
      <c r="J205" s="21" t="str">
        <f aca="false">IF($A205="","",IF(B205=0,"No COD orders",IF(B205&lt;Settings!$B$8,"Too few orders",IF(D205&gt;=Settings!$B$9,"Restrict COD or verify","Keep COD"))))</f>
        <v/>
      </c>
    </row>
    <row r="206" customFormat="false" ht="15" hidden="false" customHeight="false" outlineLevel="0" collapsed="false">
      <c r="A206" s="27"/>
      <c r="B206" s="17" t="str">
        <f aca="false">IF($A206="","",COUNTIFS(Orders!$C$2:$C$20001,$A206,Orders!$E$2:$E$20001,"COD",Orders!$F$2:$F$20001,"Delivered")+COUNTIFS(Orders!$C$2:$C$20001,$A206,Orders!$E$2:$E$20001,"COD",Orders!$F$2:$F$20001,"RTO"))</f>
        <v/>
      </c>
      <c r="C206" s="17" t="str">
        <f aca="false">IF($A206="","",COUNTIFS(Orders!$C$2:$C$20001,$A206,Orders!$E$2:$E$20001,"COD",Orders!$F$2:$F$20001,"RTO"))</f>
        <v/>
      </c>
      <c r="D206" s="18" t="str">
        <f aca="false">IF($A206="","",IFERROR(C206/B206,0))</f>
        <v/>
      </c>
      <c r="E206" s="17" t="str">
        <f aca="false">IF($A206="","",COUNTIFS(Orders!$C$2:$C$20001,$A206,Orders!$E$2:$E$20001,"Prepaid",Orders!$F$2:$F$20001,"Delivered")+COUNTIFS(Orders!$C$2:$C$20001,$A206,Orders!$E$2:$E$20001,"Prepaid",Orders!$F$2:$F$20001,"RTO"))</f>
        <v/>
      </c>
      <c r="F206" s="17" t="str">
        <f aca="false">IF($A206="","",COUNTIFS(Orders!$C$2:$C$20001,$A206,Orders!$E$2:$E$20001,"Prepaid",Orders!$F$2:$F$20001,"RTO"))</f>
        <v/>
      </c>
      <c r="G206" s="18" t="str">
        <f aca="false">IF($A206="","",IFERROR(F206/E206,0))</f>
        <v/>
      </c>
      <c r="H206" s="19" t="str">
        <f aca="false">IF($A206="","",C206*Settings!$B$11)</f>
        <v/>
      </c>
      <c r="I206" s="20" t="str">
        <f aca="false">IF($A206="","",IF(N(H206)=0,"",RANK(H206,$H$5:$H$2004)))</f>
        <v/>
      </c>
      <c r="J206" s="21" t="str">
        <f aca="false">IF($A206="","",IF(B206=0,"No COD orders",IF(B206&lt;Settings!$B$8,"Too few orders",IF(D206&gt;=Settings!$B$9,"Restrict COD or verify","Keep COD"))))</f>
        <v/>
      </c>
    </row>
    <row r="207" customFormat="false" ht="15" hidden="false" customHeight="false" outlineLevel="0" collapsed="false">
      <c r="A207" s="27"/>
      <c r="B207" s="17" t="str">
        <f aca="false">IF($A207="","",COUNTIFS(Orders!$C$2:$C$20001,$A207,Orders!$E$2:$E$20001,"COD",Orders!$F$2:$F$20001,"Delivered")+COUNTIFS(Orders!$C$2:$C$20001,$A207,Orders!$E$2:$E$20001,"COD",Orders!$F$2:$F$20001,"RTO"))</f>
        <v/>
      </c>
      <c r="C207" s="17" t="str">
        <f aca="false">IF($A207="","",COUNTIFS(Orders!$C$2:$C$20001,$A207,Orders!$E$2:$E$20001,"COD",Orders!$F$2:$F$20001,"RTO"))</f>
        <v/>
      </c>
      <c r="D207" s="18" t="str">
        <f aca="false">IF($A207="","",IFERROR(C207/B207,0))</f>
        <v/>
      </c>
      <c r="E207" s="17" t="str">
        <f aca="false">IF($A207="","",COUNTIFS(Orders!$C$2:$C$20001,$A207,Orders!$E$2:$E$20001,"Prepaid",Orders!$F$2:$F$20001,"Delivered")+COUNTIFS(Orders!$C$2:$C$20001,$A207,Orders!$E$2:$E$20001,"Prepaid",Orders!$F$2:$F$20001,"RTO"))</f>
        <v/>
      </c>
      <c r="F207" s="17" t="str">
        <f aca="false">IF($A207="","",COUNTIFS(Orders!$C$2:$C$20001,$A207,Orders!$E$2:$E$20001,"Prepaid",Orders!$F$2:$F$20001,"RTO"))</f>
        <v/>
      </c>
      <c r="G207" s="18" t="str">
        <f aca="false">IF($A207="","",IFERROR(F207/E207,0))</f>
        <v/>
      </c>
      <c r="H207" s="19" t="str">
        <f aca="false">IF($A207="","",C207*Settings!$B$11)</f>
        <v/>
      </c>
      <c r="I207" s="20" t="str">
        <f aca="false">IF($A207="","",IF(N(H207)=0,"",RANK(H207,$H$5:$H$2004)))</f>
        <v/>
      </c>
      <c r="J207" s="21" t="str">
        <f aca="false">IF($A207="","",IF(B207=0,"No COD orders",IF(B207&lt;Settings!$B$8,"Too few orders",IF(D207&gt;=Settings!$B$9,"Restrict COD or verify","Keep COD"))))</f>
        <v/>
      </c>
    </row>
    <row r="208" customFormat="false" ht="15" hidden="false" customHeight="false" outlineLevel="0" collapsed="false">
      <c r="A208" s="27"/>
      <c r="B208" s="17" t="str">
        <f aca="false">IF($A208="","",COUNTIFS(Orders!$C$2:$C$20001,$A208,Orders!$E$2:$E$20001,"COD",Orders!$F$2:$F$20001,"Delivered")+COUNTIFS(Orders!$C$2:$C$20001,$A208,Orders!$E$2:$E$20001,"COD",Orders!$F$2:$F$20001,"RTO"))</f>
        <v/>
      </c>
      <c r="C208" s="17" t="str">
        <f aca="false">IF($A208="","",COUNTIFS(Orders!$C$2:$C$20001,$A208,Orders!$E$2:$E$20001,"COD",Orders!$F$2:$F$20001,"RTO"))</f>
        <v/>
      </c>
      <c r="D208" s="18" t="str">
        <f aca="false">IF($A208="","",IFERROR(C208/B208,0))</f>
        <v/>
      </c>
      <c r="E208" s="17" t="str">
        <f aca="false">IF($A208="","",COUNTIFS(Orders!$C$2:$C$20001,$A208,Orders!$E$2:$E$20001,"Prepaid",Orders!$F$2:$F$20001,"Delivered")+COUNTIFS(Orders!$C$2:$C$20001,$A208,Orders!$E$2:$E$20001,"Prepaid",Orders!$F$2:$F$20001,"RTO"))</f>
        <v/>
      </c>
      <c r="F208" s="17" t="str">
        <f aca="false">IF($A208="","",COUNTIFS(Orders!$C$2:$C$20001,$A208,Orders!$E$2:$E$20001,"Prepaid",Orders!$F$2:$F$20001,"RTO"))</f>
        <v/>
      </c>
      <c r="G208" s="18" t="str">
        <f aca="false">IF($A208="","",IFERROR(F208/E208,0))</f>
        <v/>
      </c>
      <c r="H208" s="19" t="str">
        <f aca="false">IF($A208="","",C208*Settings!$B$11)</f>
        <v/>
      </c>
      <c r="I208" s="20" t="str">
        <f aca="false">IF($A208="","",IF(N(H208)=0,"",RANK(H208,$H$5:$H$2004)))</f>
        <v/>
      </c>
      <c r="J208" s="21" t="str">
        <f aca="false">IF($A208="","",IF(B208=0,"No COD orders",IF(B208&lt;Settings!$B$8,"Too few orders",IF(D208&gt;=Settings!$B$9,"Restrict COD or verify","Keep COD"))))</f>
        <v/>
      </c>
    </row>
    <row r="209" customFormat="false" ht="15" hidden="false" customHeight="false" outlineLevel="0" collapsed="false">
      <c r="A209" s="27"/>
      <c r="B209" s="17" t="str">
        <f aca="false">IF($A209="","",COUNTIFS(Orders!$C$2:$C$20001,$A209,Orders!$E$2:$E$20001,"COD",Orders!$F$2:$F$20001,"Delivered")+COUNTIFS(Orders!$C$2:$C$20001,$A209,Orders!$E$2:$E$20001,"COD",Orders!$F$2:$F$20001,"RTO"))</f>
        <v/>
      </c>
      <c r="C209" s="17" t="str">
        <f aca="false">IF($A209="","",COUNTIFS(Orders!$C$2:$C$20001,$A209,Orders!$E$2:$E$20001,"COD",Orders!$F$2:$F$20001,"RTO"))</f>
        <v/>
      </c>
      <c r="D209" s="18" t="str">
        <f aca="false">IF($A209="","",IFERROR(C209/B209,0))</f>
        <v/>
      </c>
      <c r="E209" s="17" t="str">
        <f aca="false">IF($A209="","",COUNTIFS(Orders!$C$2:$C$20001,$A209,Orders!$E$2:$E$20001,"Prepaid",Orders!$F$2:$F$20001,"Delivered")+COUNTIFS(Orders!$C$2:$C$20001,$A209,Orders!$E$2:$E$20001,"Prepaid",Orders!$F$2:$F$20001,"RTO"))</f>
        <v/>
      </c>
      <c r="F209" s="17" t="str">
        <f aca="false">IF($A209="","",COUNTIFS(Orders!$C$2:$C$20001,$A209,Orders!$E$2:$E$20001,"Prepaid",Orders!$F$2:$F$20001,"RTO"))</f>
        <v/>
      </c>
      <c r="G209" s="18" t="str">
        <f aca="false">IF($A209="","",IFERROR(F209/E209,0))</f>
        <v/>
      </c>
      <c r="H209" s="19" t="str">
        <f aca="false">IF($A209="","",C209*Settings!$B$11)</f>
        <v/>
      </c>
      <c r="I209" s="20" t="str">
        <f aca="false">IF($A209="","",IF(N(H209)=0,"",RANK(H209,$H$5:$H$2004)))</f>
        <v/>
      </c>
      <c r="J209" s="21" t="str">
        <f aca="false">IF($A209="","",IF(B209=0,"No COD orders",IF(B209&lt;Settings!$B$8,"Too few orders",IF(D209&gt;=Settings!$B$9,"Restrict COD or verify","Keep COD"))))</f>
        <v/>
      </c>
    </row>
    <row r="210" customFormat="false" ht="15" hidden="false" customHeight="false" outlineLevel="0" collapsed="false">
      <c r="A210" s="27"/>
      <c r="B210" s="17" t="str">
        <f aca="false">IF($A210="","",COUNTIFS(Orders!$C$2:$C$20001,$A210,Orders!$E$2:$E$20001,"COD",Orders!$F$2:$F$20001,"Delivered")+COUNTIFS(Orders!$C$2:$C$20001,$A210,Orders!$E$2:$E$20001,"COD",Orders!$F$2:$F$20001,"RTO"))</f>
        <v/>
      </c>
      <c r="C210" s="17" t="str">
        <f aca="false">IF($A210="","",COUNTIFS(Orders!$C$2:$C$20001,$A210,Orders!$E$2:$E$20001,"COD",Orders!$F$2:$F$20001,"RTO"))</f>
        <v/>
      </c>
      <c r="D210" s="18" t="str">
        <f aca="false">IF($A210="","",IFERROR(C210/B210,0))</f>
        <v/>
      </c>
      <c r="E210" s="17" t="str">
        <f aca="false">IF($A210="","",COUNTIFS(Orders!$C$2:$C$20001,$A210,Orders!$E$2:$E$20001,"Prepaid",Orders!$F$2:$F$20001,"Delivered")+COUNTIFS(Orders!$C$2:$C$20001,$A210,Orders!$E$2:$E$20001,"Prepaid",Orders!$F$2:$F$20001,"RTO"))</f>
        <v/>
      </c>
      <c r="F210" s="17" t="str">
        <f aca="false">IF($A210="","",COUNTIFS(Orders!$C$2:$C$20001,$A210,Orders!$E$2:$E$20001,"Prepaid",Orders!$F$2:$F$20001,"RTO"))</f>
        <v/>
      </c>
      <c r="G210" s="18" t="str">
        <f aca="false">IF($A210="","",IFERROR(F210/E210,0))</f>
        <v/>
      </c>
      <c r="H210" s="19" t="str">
        <f aca="false">IF($A210="","",C210*Settings!$B$11)</f>
        <v/>
      </c>
      <c r="I210" s="20" t="str">
        <f aca="false">IF($A210="","",IF(N(H210)=0,"",RANK(H210,$H$5:$H$2004)))</f>
        <v/>
      </c>
      <c r="J210" s="21" t="str">
        <f aca="false">IF($A210="","",IF(B210=0,"No COD orders",IF(B210&lt;Settings!$B$8,"Too few orders",IF(D210&gt;=Settings!$B$9,"Restrict COD or verify","Keep COD"))))</f>
        <v/>
      </c>
    </row>
    <row r="211" customFormat="false" ht="15" hidden="false" customHeight="false" outlineLevel="0" collapsed="false">
      <c r="A211" s="27"/>
      <c r="B211" s="17" t="str">
        <f aca="false">IF($A211="","",COUNTIFS(Orders!$C$2:$C$20001,$A211,Orders!$E$2:$E$20001,"COD",Orders!$F$2:$F$20001,"Delivered")+COUNTIFS(Orders!$C$2:$C$20001,$A211,Orders!$E$2:$E$20001,"COD",Orders!$F$2:$F$20001,"RTO"))</f>
        <v/>
      </c>
      <c r="C211" s="17" t="str">
        <f aca="false">IF($A211="","",COUNTIFS(Orders!$C$2:$C$20001,$A211,Orders!$E$2:$E$20001,"COD",Orders!$F$2:$F$20001,"RTO"))</f>
        <v/>
      </c>
      <c r="D211" s="18" t="str">
        <f aca="false">IF($A211="","",IFERROR(C211/B211,0))</f>
        <v/>
      </c>
      <c r="E211" s="17" t="str">
        <f aca="false">IF($A211="","",COUNTIFS(Orders!$C$2:$C$20001,$A211,Orders!$E$2:$E$20001,"Prepaid",Orders!$F$2:$F$20001,"Delivered")+COUNTIFS(Orders!$C$2:$C$20001,$A211,Orders!$E$2:$E$20001,"Prepaid",Orders!$F$2:$F$20001,"RTO"))</f>
        <v/>
      </c>
      <c r="F211" s="17" t="str">
        <f aca="false">IF($A211="","",COUNTIFS(Orders!$C$2:$C$20001,$A211,Orders!$E$2:$E$20001,"Prepaid",Orders!$F$2:$F$20001,"RTO"))</f>
        <v/>
      </c>
      <c r="G211" s="18" t="str">
        <f aca="false">IF($A211="","",IFERROR(F211/E211,0))</f>
        <v/>
      </c>
      <c r="H211" s="19" t="str">
        <f aca="false">IF($A211="","",C211*Settings!$B$11)</f>
        <v/>
      </c>
      <c r="I211" s="20" t="str">
        <f aca="false">IF($A211="","",IF(N(H211)=0,"",RANK(H211,$H$5:$H$2004)))</f>
        <v/>
      </c>
      <c r="J211" s="21" t="str">
        <f aca="false">IF($A211="","",IF(B211=0,"No COD orders",IF(B211&lt;Settings!$B$8,"Too few orders",IF(D211&gt;=Settings!$B$9,"Restrict COD or verify","Keep COD"))))</f>
        <v/>
      </c>
    </row>
    <row r="212" customFormat="false" ht="15" hidden="false" customHeight="false" outlineLevel="0" collapsed="false">
      <c r="A212" s="27"/>
      <c r="B212" s="17" t="str">
        <f aca="false">IF($A212="","",COUNTIFS(Orders!$C$2:$C$20001,$A212,Orders!$E$2:$E$20001,"COD",Orders!$F$2:$F$20001,"Delivered")+COUNTIFS(Orders!$C$2:$C$20001,$A212,Orders!$E$2:$E$20001,"COD",Orders!$F$2:$F$20001,"RTO"))</f>
        <v/>
      </c>
      <c r="C212" s="17" t="str">
        <f aca="false">IF($A212="","",COUNTIFS(Orders!$C$2:$C$20001,$A212,Orders!$E$2:$E$20001,"COD",Orders!$F$2:$F$20001,"RTO"))</f>
        <v/>
      </c>
      <c r="D212" s="18" t="str">
        <f aca="false">IF($A212="","",IFERROR(C212/B212,0))</f>
        <v/>
      </c>
      <c r="E212" s="17" t="str">
        <f aca="false">IF($A212="","",COUNTIFS(Orders!$C$2:$C$20001,$A212,Orders!$E$2:$E$20001,"Prepaid",Orders!$F$2:$F$20001,"Delivered")+COUNTIFS(Orders!$C$2:$C$20001,$A212,Orders!$E$2:$E$20001,"Prepaid",Orders!$F$2:$F$20001,"RTO"))</f>
        <v/>
      </c>
      <c r="F212" s="17" t="str">
        <f aca="false">IF($A212="","",COUNTIFS(Orders!$C$2:$C$20001,$A212,Orders!$E$2:$E$20001,"Prepaid",Orders!$F$2:$F$20001,"RTO"))</f>
        <v/>
      </c>
      <c r="G212" s="18" t="str">
        <f aca="false">IF($A212="","",IFERROR(F212/E212,0))</f>
        <v/>
      </c>
      <c r="H212" s="19" t="str">
        <f aca="false">IF($A212="","",C212*Settings!$B$11)</f>
        <v/>
      </c>
      <c r="I212" s="20" t="str">
        <f aca="false">IF($A212="","",IF(N(H212)=0,"",RANK(H212,$H$5:$H$2004)))</f>
        <v/>
      </c>
      <c r="J212" s="21" t="str">
        <f aca="false">IF($A212="","",IF(B212=0,"No COD orders",IF(B212&lt;Settings!$B$8,"Too few orders",IF(D212&gt;=Settings!$B$9,"Restrict COD or verify","Keep COD"))))</f>
        <v/>
      </c>
    </row>
    <row r="213" customFormat="false" ht="15" hidden="false" customHeight="false" outlineLevel="0" collapsed="false">
      <c r="A213" s="27"/>
      <c r="B213" s="17" t="str">
        <f aca="false">IF($A213="","",COUNTIFS(Orders!$C$2:$C$20001,$A213,Orders!$E$2:$E$20001,"COD",Orders!$F$2:$F$20001,"Delivered")+COUNTIFS(Orders!$C$2:$C$20001,$A213,Orders!$E$2:$E$20001,"COD",Orders!$F$2:$F$20001,"RTO"))</f>
        <v/>
      </c>
      <c r="C213" s="17" t="str">
        <f aca="false">IF($A213="","",COUNTIFS(Orders!$C$2:$C$20001,$A213,Orders!$E$2:$E$20001,"COD",Orders!$F$2:$F$20001,"RTO"))</f>
        <v/>
      </c>
      <c r="D213" s="18" t="str">
        <f aca="false">IF($A213="","",IFERROR(C213/B213,0))</f>
        <v/>
      </c>
      <c r="E213" s="17" t="str">
        <f aca="false">IF($A213="","",COUNTIFS(Orders!$C$2:$C$20001,$A213,Orders!$E$2:$E$20001,"Prepaid",Orders!$F$2:$F$20001,"Delivered")+COUNTIFS(Orders!$C$2:$C$20001,$A213,Orders!$E$2:$E$20001,"Prepaid",Orders!$F$2:$F$20001,"RTO"))</f>
        <v/>
      </c>
      <c r="F213" s="17" t="str">
        <f aca="false">IF($A213="","",COUNTIFS(Orders!$C$2:$C$20001,$A213,Orders!$E$2:$E$20001,"Prepaid",Orders!$F$2:$F$20001,"RTO"))</f>
        <v/>
      </c>
      <c r="G213" s="18" t="str">
        <f aca="false">IF($A213="","",IFERROR(F213/E213,0))</f>
        <v/>
      </c>
      <c r="H213" s="19" t="str">
        <f aca="false">IF($A213="","",C213*Settings!$B$11)</f>
        <v/>
      </c>
      <c r="I213" s="20" t="str">
        <f aca="false">IF($A213="","",IF(N(H213)=0,"",RANK(H213,$H$5:$H$2004)))</f>
        <v/>
      </c>
      <c r="J213" s="21" t="str">
        <f aca="false">IF($A213="","",IF(B213=0,"No COD orders",IF(B213&lt;Settings!$B$8,"Too few orders",IF(D213&gt;=Settings!$B$9,"Restrict COD or verify","Keep COD"))))</f>
        <v/>
      </c>
    </row>
    <row r="214" customFormat="false" ht="15" hidden="false" customHeight="false" outlineLevel="0" collapsed="false">
      <c r="A214" s="27"/>
      <c r="B214" s="17" t="str">
        <f aca="false">IF($A214="","",COUNTIFS(Orders!$C$2:$C$20001,$A214,Orders!$E$2:$E$20001,"COD",Orders!$F$2:$F$20001,"Delivered")+COUNTIFS(Orders!$C$2:$C$20001,$A214,Orders!$E$2:$E$20001,"COD",Orders!$F$2:$F$20001,"RTO"))</f>
        <v/>
      </c>
      <c r="C214" s="17" t="str">
        <f aca="false">IF($A214="","",COUNTIFS(Orders!$C$2:$C$20001,$A214,Orders!$E$2:$E$20001,"COD",Orders!$F$2:$F$20001,"RTO"))</f>
        <v/>
      </c>
      <c r="D214" s="18" t="str">
        <f aca="false">IF($A214="","",IFERROR(C214/B214,0))</f>
        <v/>
      </c>
      <c r="E214" s="17" t="str">
        <f aca="false">IF($A214="","",COUNTIFS(Orders!$C$2:$C$20001,$A214,Orders!$E$2:$E$20001,"Prepaid",Orders!$F$2:$F$20001,"Delivered")+COUNTIFS(Orders!$C$2:$C$20001,$A214,Orders!$E$2:$E$20001,"Prepaid",Orders!$F$2:$F$20001,"RTO"))</f>
        <v/>
      </c>
      <c r="F214" s="17" t="str">
        <f aca="false">IF($A214="","",COUNTIFS(Orders!$C$2:$C$20001,$A214,Orders!$E$2:$E$20001,"Prepaid",Orders!$F$2:$F$20001,"RTO"))</f>
        <v/>
      </c>
      <c r="G214" s="18" t="str">
        <f aca="false">IF($A214="","",IFERROR(F214/E214,0))</f>
        <v/>
      </c>
      <c r="H214" s="19" t="str">
        <f aca="false">IF($A214="","",C214*Settings!$B$11)</f>
        <v/>
      </c>
      <c r="I214" s="20" t="str">
        <f aca="false">IF($A214="","",IF(N(H214)=0,"",RANK(H214,$H$5:$H$2004)))</f>
        <v/>
      </c>
      <c r="J214" s="21" t="str">
        <f aca="false">IF($A214="","",IF(B214=0,"No COD orders",IF(B214&lt;Settings!$B$8,"Too few orders",IF(D214&gt;=Settings!$B$9,"Restrict COD or verify","Keep COD"))))</f>
        <v/>
      </c>
    </row>
    <row r="215" customFormat="false" ht="15" hidden="false" customHeight="false" outlineLevel="0" collapsed="false">
      <c r="A215" s="27"/>
      <c r="B215" s="17" t="str">
        <f aca="false">IF($A215="","",COUNTIFS(Orders!$C$2:$C$20001,$A215,Orders!$E$2:$E$20001,"COD",Orders!$F$2:$F$20001,"Delivered")+COUNTIFS(Orders!$C$2:$C$20001,$A215,Orders!$E$2:$E$20001,"COD",Orders!$F$2:$F$20001,"RTO"))</f>
        <v/>
      </c>
      <c r="C215" s="17" t="str">
        <f aca="false">IF($A215="","",COUNTIFS(Orders!$C$2:$C$20001,$A215,Orders!$E$2:$E$20001,"COD",Orders!$F$2:$F$20001,"RTO"))</f>
        <v/>
      </c>
      <c r="D215" s="18" t="str">
        <f aca="false">IF($A215="","",IFERROR(C215/B215,0))</f>
        <v/>
      </c>
      <c r="E215" s="17" t="str">
        <f aca="false">IF($A215="","",COUNTIFS(Orders!$C$2:$C$20001,$A215,Orders!$E$2:$E$20001,"Prepaid",Orders!$F$2:$F$20001,"Delivered")+COUNTIFS(Orders!$C$2:$C$20001,$A215,Orders!$E$2:$E$20001,"Prepaid",Orders!$F$2:$F$20001,"RTO"))</f>
        <v/>
      </c>
      <c r="F215" s="17" t="str">
        <f aca="false">IF($A215="","",COUNTIFS(Orders!$C$2:$C$20001,$A215,Orders!$E$2:$E$20001,"Prepaid",Orders!$F$2:$F$20001,"RTO"))</f>
        <v/>
      </c>
      <c r="G215" s="18" t="str">
        <f aca="false">IF($A215="","",IFERROR(F215/E215,0))</f>
        <v/>
      </c>
      <c r="H215" s="19" t="str">
        <f aca="false">IF($A215="","",C215*Settings!$B$11)</f>
        <v/>
      </c>
      <c r="I215" s="20" t="str">
        <f aca="false">IF($A215="","",IF(N(H215)=0,"",RANK(H215,$H$5:$H$2004)))</f>
        <v/>
      </c>
      <c r="J215" s="21" t="str">
        <f aca="false">IF($A215="","",IF(B215=0,"No COD orders",IF(B215&lt;Settings!$B$8,"Too few orders",IF(D215&gt;=Settings!$B$9,"Restrict COD or verify","Keep COD"))))</f>
        <v/>
      </c>
    </row>
    <row r="216" customFormat="false" ht="15" hidden="false" customHeight="false" outlineLevel="0" collapsed="false">
      <c r="A216" s="27"/>
      <c r="B216" s="17" t="str">
        <f aca="false">IF($A216="","",COUNTIFS(Orders!$C$2:$C$20001,$A216,Orders!$E$2:$E$20001,"COD",Orders!$F$2:$F$20001,"Delivered")+COUNTIFS(Orders!$C$2:$C$20001,$A216,Orders!$E$2:$E$20001,"COD",Orders!$F$2:$F$20001,"RTO"))</f>
        <v/>
      </c>
      <c r="C216" s="17" t="str">
        <f aca="false">IF($A216="","",COUNTIFS(Orders!$C$2:$C$20001,$A216,Orders!$E$2:$E$20001,"COD",Orders!$F$2:$F$20001,"RTO"))</f>
        <v/>
      </c>
      <c r="D216" s="18" t="str">
        <f aca="false">IF($A216="","",IFERROR(C216/B216,0))</f>
        <v/>
      </c>
      <c r="E216" s="17" t="str">
        <f aca="false">IF($A216="","",COUNTIFS(Orders!$C$2:$C$20001,$A216,Orders!$E$2:$E$20001,"Prepaid",Orders!$F$2:$F$20001,"Delivered")+COUNTIFS(Orders!$C$2:$C$20001,$A216,Orders!$E$2:$E$20001,"Prepaid",Orders!$F$2:$F$20001,"RTO"))</f>
        <v/>
      </c>
      <c r="F216" s="17" t="str">
        <f aca="false">IF($A216="","",COUNTIFS(Orders!$C$2:$C$20001,$A216,Orders!$E$2:$E$20001,"Prepaid",Orders!$F$2:$F$20001,"RTO"))</f>
        <v/>
      </c>
      <c r="G216" s="18" t="str">
        <f aca="false">IF($A216="","",IFERROR(F216/E216,0))</f>
        <v/>
      </c>
      <c r="H216" s="19" t="str">
        <f aca="false">IF($A216="","",C216*Settings!$B$11)</f>
        <v/>
      </c>
      <c r="I216" s="20" t="str">
        <f aca="false">IF($A216="","",IF(N(H216)=0,"",RANK(H216,$H$5:$H$2004)))</f>
        <v/>
      </c>
      <c r="J216" s="21" t="str">
        <f aca="false">IF($A216="","",IF(B216=0,"No COD orders",IF(B216&lt;Settings!$B$8,"Too few orders",IF(D216&gt;=Settings!$B$9,"Restrict COD or verify","Keep COD"))))</f>
        <v/>
      </c>
    </row>
    <row r="217" customFormat="false" ht="15" hidden="false" customHeight="false" outlineLevel="0" collapsed="false">
      <c r="A217" s="27"/>
      <c r="B217" s="17" t="str">
        <f aca="false">IF($A217="","",COUNTIFS(Orders!$C$2:$C$20001,$A217,Orders!$E$2:$E$20001,"COD",Orders!$F$2:$F$20001,"Delivered")+COUNTIFS(Orders!$C$2:$C$20001,$A217,Orders!$E$2:$E$20001,"COD",Orders!$F$2:$F$20001,"RTO"))</f>
        <v/>
      </c>
      <c r="C217" s="17" t="str">
        <f aca="false">IF($A217="","",COUNTIFS(Orders!$C$2:$C$20001,$A217,Orders!$E$2:$E$20001,"COD",Orders!$F$2:$F$20001,"RTO"))</f>
        <v/>
      </c>
      <c r="D217" s="18" t="str">
        <f aca="false">IF($A217="","",IFERROR(C217/B217,0))</f>
        <v/>
      </c>
      <c r="E217" s="17" t="str">
        <f aca="false">IF($A217="","",COUNTIFS(Orders!$C$2:$C$20001,$A217,Orders!$E$2:$E$20001,"Prepaid",Orders!$F$2:$F$20001,"Delivered")+COUNTIFS(Orders!$C$2:$C$20001,$A217,Orders!$E$2:$E$20001,"Prepaid",Orders!$F$2:$F$20001,"RTO"))</f>
        <v/>
      </c>
      <c r="F217" s="17" t="str">
        <f aca="false">IF($A217="","",COUNTIFS(Orders!$C$2:$C$20001,$A217,Orders!$E$2:$E$20001,"Prepaid",Orders!$F$2:$F$20001,"RTO"))</f>
        <v/>
      </c>
      <c r="G217" s="18" t="str">
        <f aca="false">IF($A217="","",IFERROR(F217/E217,0))</f>
        <v/>
      </c>
      <c r="H217" s="19" t="str">
        <f aca="false">IF($A217="","",C217*Settings!$B$11)</f>
        <v/>
      </c>
      <c r="I217" s="20" t="str">
        <f aca="false">IF($A217="","",IF(N(H217)=0,"",RANK(H217,$H$5:$H$2004)))</f>
        <v/>
      </c>
      <c r="J217" s="21" t="str">
        <f aca="false">IF($A217="","",IF(B217=0,"No COD orders",IF(B217&lt;Settings!$B$8,"Too few orders",IF(D217&gt;=Settings!$B$9,"Restrict COD or verify","Keep COD"))))</f>
        <v/>
      </c>
    </row>
    <row r="218" customFormat="false" ht="15" hidden="false" customHeight="false" outlineLevel="0" collapsed="false">
      <c r="A218" s="27"/>
      <c r="B218" s="17" t="str">
        <f aca="false">IF($A218="","",COUNTIFS(Orders!$C$2:$C$20001,$A218,Orders!$E$2:$E$20001,"COD",Orders!$F$2:$F$20001,"Delivered")+COUNTIFS(Orders!$C$2:$C$20001,$A218,Orders!$E$2:$E$20001,"COD",Orders!$F$2:$F$20001,"RTO"))</f>
        <v/>
      </c>
      <c r="C218" s="17" t="str">
        <f aca="false">IF($A218="","",COUNTIFS(Orders!$C$2:$C$20001,$A218,Orders!$E$2:$E$20001,"COD",Orders!$F$2:$F$20001,"RTO"))</f>
        <v/>
      </c>
      <c r="D218" s="18" t="str">
        <f aca="false">IF($A218="","",IFERROR(C218/B218,0))</f>
        <v/>
      </c>
      <c r="E218" s="17" t="str">
        <f aca="false">IF($A218="","",COUNTIFS(Orders!$C$2:$C$20001,$A218,Orders!$E$2:$E$20001,"Prepaid",Orders!$F$2:$F$20001,"Delivered")+COUNTIFS(Orders!$C$2:$C$20001,$A218,Orders!$E$2:$E$20001,"Prepaid",Orders!$F$2:$F$20001,"RTO"))</f>
        <v/>
      </c>
      <c r="F218" s="17" t="str">
        <f aca="false">IF($A218="","",COUNTIFS(Orders!$C$2:$C$20001,$A218,Orders!$E$2:$E$20001,"Prepaid",Orders!$F$2:$F$20001,"RTO"))</f>
        <v/>
      </c>
      <c r="G218" s="18" t="str">
        <f aca="false">IF($A218="","",IFERROR(F218/E218,0))</f>
        <v/>
      </c>
      <c r="H218" s="19" t="str">
        <f aca="false">IF($A218="","",C218*Settings!$B$11)</f>
        <v/>
      </c>
      <c r="I218" s="20" t="str">
        <f aca="false">IF($A218="","",IF(N(H218)=0,"",RANK(H218,$H$5:$H$2004)))</f>
        <v/>
      </c>
      <c r="J218" s="21" t="str">
        <f aca="false">IF($A218="","",IF(B218=0,"No COD orders",IF(B218&lt;Settings!$B$8,"Too few orders",IF(D218&gt;=Settings!$B$9,"Restrict COD or verify","Keep COD"))))</f>
        <v/>
      </c>
    </row>
    <row r="219" customFormat="false" ht="15" hidden="false" customHeight="false" outlineLevel="0" collapsed="false">
      <c r="A219" s="27"/>
      <c r="B219" s="17" t="str">
        <f aca="false">IF($A219="","",COUNTIFS(Orders!$C$2:$C$20001,$A219,Orders!$E$2:$E$20001,"COD",Orders!$F$2:$F$20001,"Delivered")+COUNTIFS(Orders!$C$2:$C$20001,$A219,Orders!$E$2:$E$20001,"COD",Orders!$F$2:$F$20001,"RTO"))</f>
        <v/>
      </c>
      <c r="C219" s="17" t="str">
        <f aca="false">IF($A219="","",COUNTIFS(Orders!$C$2:$C$20001,$A219,Orders!$E$2:$E$20001,"COD",Orders!$F$2:$F$20001,"RTO"))</f>
        <v/>
      </c>
      <c r="D219" s="18" t="str">
        <f aca="false">IF($A219="","",IFERROR(C219/B219,0))</f>
        <v/>
      </c>
      <c r="E219" s="17" t="str">
        <f aca="false">IF($A219="","",COUNTIFS(Orders!$C$2:$C$20001,$A219,Orders!$E$2:$E$20001,"Prepaid",Orders!$F$2:$F$20001,"Delivered")+COUNTIFS(Orders!$C$2:$C$20001,$A219,Orders!$E$2:$E$20001,"Prepaid",Orders!$F$2:$F$20001,"RTO"))</f>
        <v/>
      </c>
      <c r="F219" s="17" t="str">
        <f aca="false">IF($A219="","",COUNTIFS(Orders!$C$2:$C$20001,$A219,Orders!$E$2:$E$20001,"Prepaid",Orders!$F$2:$F$20001,"RTO"))</f>
        <v/>
      </c>
      <c r="G219" s="18" t="str">
        <f aca="false">IF($A219="","",IFERROR(F219/E219,0))</f>
        <v/>
      </c>
      <c r="H219" s="19" t="str">
        <f aca="false">IF($A219="","",C219*Settings!$B$11)</f>
        <v/>
      </c>
      <c r="I219" s="20" t="str">
        <f aca="false">IF($A219="","",IF(N(H219)=0,"",RANK(H219,$H$5:$H$2004)))</f>
        <v/>
      </c>
      <c r="J219" s="21" t="str">
        <f aca="false">IF($A219="","",IF(B219=0,"No COD orders",IF(B219&lt;Settings!$B$8,"Too few orders",IF(D219&gt;=Settings!$B$9,"Restrict COD or verify","Keep COD"))))</f>
        <v/>
      </c>
    </row>
    <row r="220" customFormat="false" ht="15" hidden="false" customHeight="false" outlineLevel="0" collapsed="false">
      <c r="A220" s="27"/>
      <c r="B220" s="17" t="str">
        <f aca="false">IF($A220="","",COUNTIFS(Orders!$C$2:$C$20001,$A220,Orders!$E$2:$E$20001,"COD",Orders!$F$2:$F$20001,"Delivered")+COUNTIFS(Orders!$C$2:$C$20001,$A220,Orders!$E$2:$E$20001,"COD",Orders!$F$2:$F$20001,"RTO"))</f>
        <v/>
      </c>
      <c r="C220" s="17" t="str">
        <f aca="false">IF($A220="","",COUNTIFS(Orders!$C$2:$C$20001,$A220,Orders!$E$2:$E$20001,"COD",Orders!$F$2:$F$20001,"RTO"))</f>
        <v/>
      </c>
      <c r="D220" s="18" t="str">
        <f aca="false">IF($A220="","",IFERROR(C220/B220,0))</f>
        <v/>
      </c>
      <c r="E220" s="17" t="str">
        <f aca="false">IF($A220="","",COUNTIFS(Orders!$C$2:$C$20001,$A220,Orders!$E$2:$E$20001,"Prepaid",Orders!$F$2:$F$20001,"Delivered")+COUNTIFS(Orders!$C$2:$C$20001,$A220,Orders!$E$2:$E$20001,"Prepaid",Orders!$F$2:$F$20001,"RTO"))</f>
        <v/>
      </c>
      <c r="F220" s="17" t="str">
        <f aca="false">IF($A220="","",COUNTIFS(Orders!$C$2:$C$20001,$A220,Orders!$E$2:$E$20001,"Prepaid",Orders!$F$2:$F$20001,"RTO"))</f>
        <v/>
      </c>
      <c r="G220" s="18" t="str">
        <f aca="false">IF($A220="","",IFERROR(F220/E220,0))</f>
        <v/>
      </c>
      <c r="H220" s="19" t="str">
        <f aca="false">IF($A220="","",C220*Settings!$B$11)</f>
        <v/>
      </c>
      <c r="I220" s="20" t="str">
        <f aca="false">IF($A220="","",IF(N(H220)=0,"",RANK(H220,$H$5:$H$2004)))</f>
        <v/>
      </c>
      <c r="J220" s="21" t="str">
        <f aca="false">IF($A220="","",IF(B220=0,"No COD orders",IF(B220&lt;Settings!$B$8,"Too few orders",IF(D220&gt;=Settings!$B$9,"Restrict COD or verify","Keep COD"))))</f>
        <v/>
      </c>
    </row>
    <row r="221" customFormat="false" ht="15" hidden="false" customHeight="false" outlineLevel="0" collapsed="false">
      <c r="A221" s="27"/>
      <c r="B221" s="17" t="str">
        <f aca="false">IF($A221="","",COUNTIFS(Orders!$C$2:$C$20001,$A221,Orders!$E$2:$E$20001,"COD",Orders!$F$2:$F$20001,"Delivered")+COUNTIFS(Orders!$C$2:$C$20001,$A221,Orders!$E$2:$E$20001,"COD",Orders!$F$2:$F$20001,"RTO"))</f>
        <v/>
      </c>
      <c r="C221" s="17" t="str">
        <f aca="false">IF($A221="","",COUNTIFS(Orders!$C$2:$C$20001,$A221,Orders!$E$2:$E$20001,"COD",Orders!$F$2:$F$20001,"RTO"))</f>
        <v/>
      </c>
      <c r="D221" s="18" t="str">
        <f aca="false">IF($A221="","",IFERROR(C221/B221,0))</f>
        <v/>
      </c>
      <c r="E221" s="17" t="str">
        <f aca="false">IF($A221="","",COUNTIFS(Orders!$C$2:$C$20001,$A221,Orders!$E$2:$E$20001,"Prepaid",Orders!$F$2:$F$20001,"Delivered")+COUNTIFS(Orders!$C$2:$C$20001,$A221,Orders!$E$2:$E$20001,"Prepaid",Orders!$F$2:$F$20001,"RTO"))</f>
        <v/>
      </c>
      <c r="F221" s="17" t="str">
        <f aca="false">IF($A221="","",COUNTIFS(Orders!$C$2:$C$20001,$A221,Orders!$E$2:$E$20001,"Prepaid",Orders!$F$2:$F$20001,"RTO"))</f>
        <v/>
      </c>
      <c r="G221" s="18" t="str">
        <f aca="false">IF($A221="","",IFERROR(F221/E221,0))</f>
        <v/>
      </c>
      <c r="H221" s="19" t="str">
        <f aca="false">IF($A221="","",C221*Settings!$B$11)</f>
        <v/>
      </c>
      <c r="I221" s="20" t="str">
        <f aca="false">IF($A221="","",IF(N(H221)=0,"",RANK(H221,$H$5:$H$2004)))</f>
        <v/>
      </c>
      <c r="J221" s="21" t="str">
        <f aca="false">IF($A221="","",IF(B221=0,"No COD orders",IF(B221&lt;Settings!$B$8,"Too few orders",IF(D221&gt;=Settings!$B$9,"Restrict COD or verify","Keep COD"))))</f>
        <v/>
      </c>
    </row>
    <row r="222" customFormat="false" ht="15" hidden="false" customHeight="false" outlineLevel="0" collapsed="false">
      <c r="A222" s="27"/>
      <c r="B222" s="17" t="str">
        <f aca="false">IF($A222="","",COUNTIFS(Orders!$C$2:$C$20001,$A222,Orders!$E$2:$E$20001,"COD",Orders!$F$2:$F$20001,"Delivered")+COUNTIFS(Orders!$C$2:$C$20001,$A222,Orders!$E$2:$E$20001,"COD",Orders!$F$2:$F$20001,"RTO"))</f>
        <v/>
      </c>
      <c r="C222" s="17" t="str">
        <f aca="false">IF($A222="","",COUNTIFS(Orders!$C$2:$C$20001,$A222,Orders!$E$2:$E$20001,"COD",Orders!$F$2:$F$20001,"RTO"))</f>
        <v/>
      </c>
      <c r="D222" s="18" t="str">
        <f aca="false">IF($A222="","",IFERROR(C222/B222,0))</f>
        <v/>
      </c>
      <c r="E222" s="17" t="str">
        <f aca="false">IF($A222="","",COUNTIFS(Orders!$C$2:$C$20001,$A222,Orders!$E$2:$E$20001,"Prepaid",Orders!$F$2:$F$20001,"Delivered")+COUNTIFS(Orders!$C$2:$C$20001,$A222,Orders!$E$2:$E$20001,"Prepaid",Orders!$F$2:$F$20001,"RTO"))</f>
        <v/>
      </c>
      <c r="F222" s="17" t="str">
        <f aca="false">IF($A222="","",COUNTIFS(Orders!$C$2:$C$20001,$A222,Orders!$E$2:$E$20001,"Prepaid",Orders!$F$2:$F$20001,"RTO"))</f>
        <v/>
      </c>
      <c r="G222" s="18" t="str">
        <f aca="false">IF($A222="","",IFERROR(F222/E222,0))</f>
        <v/>
      </c>
      <c r="H222" s="19" t="str">
        <f aca="false">IF($A222="","",C222*Settings!$B$11)</f>
        <v/>
      </c>
      <c r="I222" s="20" t="str">
        <f aca="false">IF($A222="","",IF(N(H222)=0,"",RANK(H222,$H$5:$H$2004)))</f>
        <v/>
      </c>
      <c r="J222" s="21" t="str">
        <f aca="false">IF($A222="","",IF(B222=0,"No COD orders",IF(B222&lt;Settings!$B$8,"Too few orders",IF(D222&gt;=Settings!$B$9,"Restrict COD or verify","Keep COD"))))</f>
        <v/>
      </c>
    </row>
    <row r="223" customFormat="false" ht="15" hidden="false" customHeight="false" outlineLevel="0" collapsed="false">
      <c r="A223" s="27"/>
      <c r="B223" s="17" t="str">
        <f aca="false">IF($A223="","",COUNTIFS(Orders!$C$2:$C$20001,$A223,Orders!$E$2:$E$20001,"COD",Orders!$F$2:$F$20001,"Delivered")+COUNTIFS(Orders!$C$2:$C$20001,$A223,Orders!$E$2:$E$20001,"COD",Orders!$F$2:$F$20001,"RTO"))</f>
        <v/>
      </c>
      <c r="C223" s="17" t="str">
        <f aca="false">IF($A223="","",COUNTIFS(Orders!$C$2:$C$20001,$A223,Orders!$E$2:$E$20001,"COD",Orders!$F$2:$F$20001,"RTO"))</f>
        <v/>
      </c>
      <c r="D223" s="18" t="str">
        <f aca="false">IF($A223="","",IFERROR(C223/B223,0))</f>
        <v/>
      </c>
      <c r="E223" s="17" t="str">
        <f aca="false">IF($A223="","",COUNTIFS(Orders!$C$2:$C$20001,$A223,Orders!$E$2:$E$20001,"Prepaid",Orders!$F$2:$F$20001,"Delivered")+COUNTIFS(Orders!$C$2:$C$20001,$A223,Orders!$E$2:$E$20001,"Prepaid",Orders!$F$2:$F$20001,"RTO"))</f>
        <v/>
      </c>
      <c r="F223" s="17" t="str">
        <f aca="false">IF($A223="","",COUNTIFS(Orders!$C$2:$C$20001,$A223,Orders!$E$2:$E$20001,"Prepaid",Orders!$F$2:$F$20001,"RTO"))</f>
        <v/>
      </c>
      <c r="G223" s="18" t="str">
        <f aca="false">IF($A223="","",IFERROR(F223/E223,0))</f>
        <v/>
      </c>
      <c r="H223" s="19" t="str">
        <f aca="false">IF($A223="","",C223*Settings!$B$11)</f>
        <v/>
      </c>
      <c r="I223" s="20" t="str">
        <f aca="false">IF($A223="","",IF(N(H223)=0,"",RANK(H223,$H$5:$H$2004)))</f>
        <v/>
      </c>
      <c r="J223" s="21" t="str">
        <f aca="false">IF($A223="","",IF(B223=0,"No COD orders",IF(B223&lt;Settings!$B$8,"Too few orders",IF(D223&gt;=Settings!$B$9,"Restrict COD or verify","Keep COD"))))</f>
        <v/>
      </c>
    </row>
    <row r="224" customFormat="false" ht="15" hidden="false" customHeight="false" outlineLevel="0" collapsed="false">
      <c r="A224" s="27"/>
      <c r="B224" s="17" t="str">
        <f aca="false">IF($A224="","",COUNTIFS(Orders!$C$2:$C$20001,$A224,Orders!$E$2:$E$20001,"COD",Orders!$F$2:$F$20001,"Delivered")+COUNTIFS(Orders!$C$2:$C$20001,$A224,Orders!$E$2:$E$20001,"COD",Orders!$F$2:$F$20001,"RTO"))</f>
        <v/>
      </c>
      <c r="C224" s="17" t="str">
        <f aca="false">IF($A224="","",COUNTIFS(Orders!$C$2:$C$20001,$A224,Orders!$E$2:$E$20001,"COD",Orders!$F$2:$F$20001,"RTO"))</f>
        <v/>
      </c>
      <c r="D224" s="18" t="str">
        <f aca="false">IF($A224="","",IFERROR(C224/B224,0))</f>
        <v/>
      </c>
      <c r="E224" s="17" t="str">
        <f aca="false">IF($A224="","",COUNTIFS(Orders!$C$2:$C$20001,$A224,Orders!$E$2:$E$20001,"Prepaid",Orders!$F$2:$F$20001,"Delivered")+COUNTIFS(Orders!$C$2:$C$20001,$A224,Orders!$E$2:$E$20001,"Prepaid",Orders!$F$2:$F$20001,"RTO"))</f>
        <v/>
      </c>
      <c r="F224" s="17" t="str">
        <f aca="false">IF($A224="","",COUNTIFS(Orders!$C$2:$C$20001,$A224,Orders!$E$2:$E$20001,"Prepaid",Orders!$F$2:$F$20001,"RTO"))</f>
        <v/>
      </c>
      <c r="G224" s="18" t="str">
        <f aca="false">IF($A224="","",IFERROR(F224/E224,0))</f>
        <v/>
      </c>
      <c r="H224" s="19" t="str">
        <f aca="false">IF($A224="","",C224*Settings!$B$11)</f>
        <v/>
      </c>
      <c r="I224" s="20" t="str">
        <f aca="false">IF($A224="","",IF(N(H224)=0,"",RANK(H224,$H$5:$H$2004)))</f>
        <v/>
      </c>
      <c r="J224" s="21" t="str">
        <f aca="false">IF($A224="","",IF(B224=0,"No COD orders",IF(B224&lt;Settings!$B$8,"Too few orders",IF(D224&gt;=Settings!$B$9,"Restrict COD or verify","Keep COD"))))</f>
        <v/>
      </c>
    </row>
    <row r="225" customFormat="false" ht="15" hidden="false" customHeight="false" outlineLevel="0" collapsed="false">
      <c r="A225" s="27"/>
      <c r="B225" s="17" t="str">
        <f aca="false">IF($A225="","",COUNTIFS(Orders!$C$2:$C$20001,$A225,Orders!$E$2:$E$20001,"COD",Orders!$F$2:$F$20001,"Delivered")+COUNTIFS(Orders!$C$2:$C$20001,$A225,Orders!$E$2:$E$20001,"COD",Orders!$F$2:$F$20001,"RTO"))</f>
        <v/>
      </c>
      <c r="C225" s="17" t="str">
        <f aca="false">IF($A225="","",COUNTIFS(Orders!$C$2:$C$20001,$A225,Orders!$E$2:$E$20001,"COD",Orders!$F$2:$F$20001,"RTO"))</f>
        <v/>
      </c>
      <c r="D225" s="18" t="str">
        <f aca="false">IF($A225="","",IFERROR(C225/B225,0))</f>
        <v/>
      </c>
      <c r="E225" s="17" t="str">
        <f aca="false">IF($A225="","",COUNTIFS(Orders!$C$2:$C$20001,$A225,Orders!$E$2:$E$20001,"Prepaid",Orders!$F$2:$F$20001,"Delivered")+COUNTIFS(Orders!$C$2:$C$20001,$A225,Orders!$E$2:$E$20001,"Prepaid",Orders!$F$2:$F$20001,"RTO"))</f>
        <v/>
      </c>
      <c r="F225" s="17" t="str">
        <f aca="false">IF($A225="","",COUNTIFS(Orders!$C$2:$C$20001,$A225,Orders!$E$2:$E$20001,"Prepaid",Orders!$F$2:$F$20001,"RTO"))</f>
        <v/>
      </c>
      <c r="G225" s="18" t="str">
        <f aca="false">IF($A225="","",IFERROR(F225/E225,0))</f>
        <v/>
      </c>
      <c r="H225" s="19" t="str">
        <f aca="false">IF($A225="","",C225*Settings!$B$11)</f>
        <v/>
      </c>
      <c r="I225" s="20" t="str">
        <f aca="false">IF($A225="","",IF(N(H225)=0,"",RANK(H225,$H$5:$H$2004)))</f>
        <v/>
      </c>
      <c r="J225" s="21" t="str">
        <f aca="false">IF($A225="","",IF(B225=0,"No COD orders",IF(B225&lt;Settings!$B$8,"Too few orders",IF(D225&gt;=Settings!$B$9,"Restrict COD or verify","Keep COD"))))</f>
        <v/>
      </c>
    </row>
    <row r="226" customFormat="false" ht="15" hidden="false" customHeight="false" outlineLevel="0" collapsed="false">
      <c r="A226" s="27"/>
      <c r="B226" s="17" t="str">
        <f aca="false">IF($A226="","",COUNTIFS(Orders!$C$2:$C$20001,$A226,Orders!$E$2:$E$20001,"COD",Orders!$F$2:$F$20001,"Delivered")+COUNTIFS(Orders!$C$2:$C$20001,$A226,Orders!$E$2:$E$20001,"COD",Orders!$F$2:$F$20001,"RTO"))</f>
        <v/>
      </c>
      <c r="C226" s="17" t="str">
        <f aca="false">IF($A226="","",COUNTIFS(Orders!$C$2:$C$20001,$A226,Orders!$E$2:$E$20001,"COD",Orders!$F$2:$F$20001,"RTO"))</f>
        <v/>
      </c>
      <c r="D226" s="18" t="str">
        <f aca="false">IF($A226="","",IFERROR(C226/B226,0))</f>
        <v/>
      </c>
      <c r="E226" s="17" t="str">
        <f aca="false">IF($A226="","",COUNTIFS(Orders!$C$2:$C$20001,$A226,Orders!$E$2:$E$20001,"Prepaid",Orders!$F$2:$F$20001,"Delivered")+COUNTIFS(Orders!$C$2:$C$20001,$A226,Orders!$E$2:$E$20001,"Prepaid",Orders!$F$2:$F$20001,"RTO"))</f>
        <v/>
      </c>
      <c r="F226" s="17" t="str">
        <f aca="false">IF($A226="","",COUNTIFS(Orders!$C$2:$C$20001,$A226,Orders!$E$2:$E$20001,"Prepaid",Orders!$F$2:$F$20001,"RTO"))</f>
        <v/>
      </c>
      <c r="G226" s="18" t="str">
        <f aca="false">IF($A226="","",IFERROR(F226/E226,0))</f>
        <v/>
      </c>
      <c r="H226" s="19" t="str">
        <f aca="false">IF($A226="","",C226*Settings!$B$11)</f>
        <v/>
      </c>
      <c r="I226" s="20" t="str">
        <f aca="false">IF($A226="","",IF(N(H226)=0,"",RANK(H226,$H$5:$H$2004)))</f>
        <v/>
      </c>
      <c r="J226" s="21" t="str">
        <f aca="false">IF($A226="","",IF(B226=0,"No COD orders",IF(B226&lt;Settings!$B$8,"Too few orders",IF(D226&gt;=Settings!$B$9,"Restrict COD or verify","Keep COD"))))</f>
        <v/>
      </c>
    </row>
    <row r="227" customFormat="false" ht="15" hidden="false" customHeight="false" outlineLevel="0" collapsed="false">
      <c r="A227" s="27"/>
      <c r="B227" s="17" t="str">
        <f aca="false">IF($A227="","",COUNTIFS(Orders!$C$2:$C$20001,$A227,Orders!$E$2:$E$20001,"COD",Orders!$F$2:$F$20001,"Delivered")+COUNTIFS(Orders!$C$2:$C$20001,$A227,Orders!$E$2:$E$20001,"COD",Orders!$F$2:$F$20001,"RTO"))</f>
        <v/>
      </c>
      <c r="C227" s="17" t="str">
        <f aca="false">IF($A227="","",COUNTIFS(Orders!$C$2:$C$20001,$A227,Orders!$E$2:$E$20001,"COD",Orders!$F$2:$F$20001,"RTO"))</f>
        <v/>
      </c>
      <c r="D227" s="18" t="str">
        <f aca="false">IF($A227="","",IFERROR(C227/B227,0))</f>
        <v/>
      </c>
      <c r="E227" s="17" t="str">
        <f aca="false">IF($A227="","",COUNTIFS(Orders!$C$2:$C$20001,$A227,Orders!$E$2:$E$20001,"Prepaid",Orders!$F$2:$F$20001,"Delivered")+COUNTIFS(Orders!$C$2:$C$20001,$A227,Orders!$E$2:$E$20001,"Prepaid",Orders!$F$2:$F$20001,"RTO"))</f>
        <v/>
      </c>
      <c r="F227" s="17" t="str">
        <f aca="false">IF($A227="","",COUNTIFS(Orders!$C$2:$C$20001,$A227,Orders!$E$2:$E$20001,"Prepaid",Orders!$F$2:$F$20001,"RTO"))</f>
        <v/>
      </c>
      <c r="G227" s="18" t="str">
        <f aca="false">IF($A227="","",IFERROR(F227/E227,0))</f>
        <v/>
      </c>
      <c r="H227" s="19" t="str">
        <f aca="false">IF($A227="","",C227*Settings!$B$11)</f>
        <v/>
      </c>
      <c r="I227" s="20" t="str">
        <f aca="false">IF($A227="","",IF(N(H227)=0,"",RANK(H227,$H$5:$H$2004)))</f>
        <v/>
      </c>
      <c r="J227" s="21" t="str">
        <f aca="false">IF($A227="","",IF(B227=0,"No COD orders",IF(B227&lt;Settings!$B$8,"Too few orders",IF(D227&gt;=Settings!$B$9,"Restrict COD or verify","Keep COD"))))</f>
        <v/>
      </c>
    </row>
    <row r="228" customFormat="false" ht="15" hidden="false" customHeight="false" outlineLevel="0" collapsed="false">
      <c r="A228" s="27"/>
      <c r="B228" s="17" t="str">
        <f aca="false">IF($A228="","",COUNTIFS(Orders!$C$2:$C$20001,$A228,Orders!$E$2:$E$20001,"COD",Orders!$F$2:$F$20001,"Delivered")+COUNTIFS(Orders!$C$2:$C$20001,$A228,Orders!$E$2:$E$20001,"COD",Orders!$F$2:$F$20001,"RTO"))</f>
        <v/>
      </c>
      <c r="C228" s="17" t="str">
        <f aca="false">IF($A228="","",COUNTIFS(Orders!$C$2:$C$20001,$A228,Orders!$E$2:$E$20001,"COD",Orders!$F$2:$F$20001,"RTO"))</f>
        <v/>
      </c>
      <c r="D228" s="18" t="str">
        <f aca="false">IF($A228="","",IFERROR(C228/B228,0))</f>
        <v/>
      </c>
      <c r="E228" s="17" t="str">
        <f aca="false">IF($A228="","",COUNTIFS(Orders!$C$2:$C$20001,$A228,Orders!$E$2:$E$20001,"Prepaid",Orders!$F$2:$F$20001,"Delivered")+COUNTIFS(Orders!$C$2:$C$20001,$A228,Orders!$E$2:$E$20001,"Prepaid",Orders!$F$2:$F$20001,"RTO"))</f>
        <v/>
      </c>
      <c r="F228" s="17" t="str">
        <f aca="false">IF($A228="","",COUNTIFS(Orders!$C$2:$C$20001,$A228,Orders!$E$2:$E$20001,"Prepaid",Orders!$F$2:$F$20001,"RTO"))</f>
        <v/>
      </c>
      <c r="G228" s="18" t="str">
        <f aca="false">IF($A228="","",IFERROR(F228/E228,0))</f>
        <v/>
      </c>
      <c r="H228" s="19" t="str">
        <f aca="false">IF($A228="","",C228*Settings!$B$11)</f>
        <v/>
      </c>
      <c r="I228" s="20" t="str">
        <f aca="false">IF($A228="","",IF(N(H228)=0,"",RANK(H228,$H$5:$H$2004)))</f>
        <v/>
      </c>
      <c r="J228" s="21" t="str">
        <f aca="false">IF($A228="","",IF(B228=0,"No COD orders",IF(B228&lt;Settings!$B$8,"Too few orders",IF(D228&gt;=Settings!$B$9,"Restrict COD or verify","Keep COD"))))</f>
        <v/>
      </c>
    </row>
    <row r="229" customFormat="false" ht="15" hidden="false" customHeight="false" outlineLevel="0" collapsed="false">
      <c r="A229" s="27"/>
      <c r="B229" s="17" t="str">
        <f aca="false">IF($A229="","",COUNTIFS(Orders!$C$2:$C$20001,$A229,Orders!$E$2:$E$20001,"COD",Orders!$F$2:$F$20001,"Delivered")+COUNTIFS(Orders!$C$2:$C$20001,$A229,Orders!$E$2:$E$20001,"COD",Orders!$F$2:$F$20001,"RTO"))</f>
        <v/>
      </c>
      <c r="C229" s="17" t="str">
        <f aca="false">IF($A229="","",COUNTIFS(Orders!$C$2:$C$20001,$A229,Orders!$E$2:$E$20001,"COD",Orders!$F$2:$F$20001,"RTO"))</f>
        <v/>
      </c>
      <c r="D229" s="18" t="str">
        <f aca="false">IF($A229="","",IFERROR(C229/B229,0))</f>
        <v/>
      </c>
      <c r="E229" s="17" t="str">
        <f aca="false">IF($A229="","",COUNTIFS(Orders!$C$2:$C$20001,$A229,Orders!$E$2:$E$20001,"Prepaid",Orders!$F$2:$F$20001,"Delivered")+COUNTIFS(Orders!$C$2:$C$20001,$A229,Orders!$E$2:$E$20001,"Prepaid",Orders!$F$2:$F$20001,"RTO"))</f>
        <v/>
      </c>
      <c r="F229" s="17" t="str">
        <f aca="false">IF($A229="","",COUNTIFS(Orders!$C$2:$C$20001,$A229,Orders!$E$2:$E$20001,"Prepaid",Orders!$F$2:$F$20001,"RTO"))</f>
        <v/>
      </c>
      <c r="G229" s="18" t="str">
        <f aca="false">IF($A229="","",IFERROR(F229/E229,0))</f>
        <v/>
      </c>
      <c r="H229" s="19" t="str">
        <f aca="false">IF($A229="","",C229*Settings!$B$11)</f>
        <v/>
      </c>
      <c r="I229" s="20" t="str">
        <f aca="false">IF($A229="","",IF(N(H229)=0,"",RANK(H229,$H$5:$H$2004)))</f>
        <v/>
      </c>
      <c r="J229" s="21" t="str">
        <f aca="false">IF($A229="","",IF(B229=0,"No COD orders",IF(B229&lt;Settings!$B$8,"Too few orders",IF(D229&gt;=Settings!$B$9,"Restrict COD or verify","Keep COD"))))</f>
        <v/>
      </c>
    </row>
    <row r="230" customFormat="false" ht="15" hidden="false" customHeight="false" outlineLevel="0" collapsed="false">
      <c r="A230" s="27"/>
      <c r="B230" s="17" t="str">
        <f aca="false">IF($A230="","",COUNTIFS(Orders!$C$2:$C$20001,$A230,Orders!$E$2:$E$20001,"COD",Orders!$F$2:$F$20001,"Delivered")+COUNTIFS(Orders!$C$2:$C$20001,$A230,Orders!$E$2:$E$20001,"COD",Orders!$F$2:$F$20001,"RTO"))</f>
        <v/>
      </c>
      <c r="C230" s="17" t="str">
        <f aca="false">IF($A230="","",COUNTIFS(Orders!$C$2:$C$20001,$A230,Orders!$E$2:$E$20001,"COD",Orders!$F$2:$F$20001,"RTO"))</f>
        <v/>
      </c>
      <c r="D230" s="18" t="str">
        <f aca="false">IF($A230="","",IFERROR(C230/B230,0))</f>
        <v/>
      </c>
      <c r="E230" s="17" t="str">
        <f aca="false">IF($A230="","",COUNTIFS(Orders!$C$2:$C$20001,$A230,Orders!$E$2:$E$20001,"Prepaid",Orders!$F$2:$F$20001,"Delivered")+COUNTIFS(Orders!$C$2:$C$20001,$A230,Orders!$E$2:$E$20001,"Prepaid",Orders!$F$2:$F$20001,"RTO"))</f>
        <v/>
      </c>
      <c r="F230" s="17" t="str">
        <f aca="false">IF($A230="","",COUNTIFS(Orders!$C$2:$C$20001,$A230,Orders!$E$2:$E$20001,"Prepaid",Orders!$F$2:$F$20001,"RTO"))</f>
        <v/>
      </c>
      <c r="G230" s="18" t="str">
        <f aca="false">IF($A230="","",IFERROR(F230/E230,0))</f>
        <v/>
      </c>
      <c r="H230" s="19" t="str">
        <f aca="false">IF($A230="","",C230*Settings!$B$11)</f>
        <v/>
      </c>
      <c r="I230" s="20" t="str">
        <f aca="false">IF($A230="","",IF(N(H230)=0,"",RANK(H230,$H$5:$H$2004)))</f>
        <v/>
      </c>
      <c r="J230" s="21" t="str">
        <f aca="false">IF($A230="","",IF(B230=0,"No COD orders",IF(B230&lt;Settings!$B$8,"Too few orders",IF(D230&gt;=Settings!$B$9,"Restrict COD or verify","Keep COD"))))</f>
        <v/>
      </c>
    </row>
    <row r="231" customFormat="false" ht="15" hidden="false" customHeight="false" outlineLevel="0" collapsed="false">
      <c r="A231" s="27"/>
      <c r="B231" s="17" t="str">
        <f aca="false">IF($A231="","",COUNTIFS(Orders!$C$2:$C$20001,$A231,Orders!$E$2:$E$20001,"COD",Orders!$F$2:$F$20001,"Delivered")+COUNTIFS(Orders!$C$2:$C$20001,$A231,Orders!$E$2:$E$20001,"COD",Orders!$F$2:$F$20001,"RTO"))</f>
        <v/>
      </c>
      <c r="C231" s="17" t="str">
        <f aca="false">IF($A231="","",COUNTIFS(Orders!$C$2:$C$20001,$A231,Orders!$E$2:$E$20001,"COD",Orders!$F$2:$F$20001,"RTO"))</f>
        <v/>
      </c>
      <c r="D231" s="18" t="str">
        <f aca="false">IF($A231="","",IFERROR(C231/B231,0))</f>
        <v/>
      </c>
      <c r="E231" s="17" t="str">
        <f aca="false">IF($A231="","",COUNTIFS(Orders!$C$2:$C$20001,$A231,Orders!$E$2:$E$20001,"Prepaid",Orders!$F$2:$F$20001,"Delivered")+COUNTIFS(Orders!$C$2:$C$20001,$A231,Orders!$E$2:$E$20001,"Prepaid",Orders!$F$2:$F$20001,"RTO"))</f>
        <v/>
      </c>
      <c r="F231" s="17" t="str">
        <f aca="false">IF($A231="","",COUNTIFS(Orders!$C$2:$C$20001,$A231,Orders!$E$2:$E$20001,"Prepaid",Orders!$F$2:$F$20001,"RTO"))</f>
        <v/>
      </c>
      <c r="G231" s="18" t="str">
        <f aca="false">IF($A231="","",IFERROR(F231/E231,0))</f>
        <v/>
      </c>
      <c r="H231" s="19" t="str">
        <f aca="false">IF($A231="","",C231*Settings!$B$11)</f>
        <v/>
      </c>
      <c r="I231" s="20" t="str">
        <f aca="false">IF($A231="","",IF(N(H231)=0,"",RANK(H231,$H$5:$H$2004)))</f>
        <v/>
      </c>
      <c r="J231" s="21" t="str">
        <f aca="false">IF($A231="","",IF(B231=0,"No COD orders",IF(B231&lt;Settings!$B$8,"Too few orders",IF(D231&gt;=Settings!$B$9,"Restrict COD or verify","Keep COD"))))</f>
        <v/>
      </c>
    </row>
    <row r="232" customFormat="false" ht="15" hidden="false" customHeight="false" outlineLevel="0" collapsed="false">
      <c r="A232" s="27"/>
      <c r="B232" s="17" t="str">
        <f aca="false">IF($A232="","",COUNTIFS(Orders!$C$2:$C$20001,$A232,Orders!$E$2:$E$20001,"COD",Orders!$F$2:$F$20001,"Delivered")+COUNTIFS(Orders!$C$2:$C$20001,$A232,Orders!$E$2:$E$20001,"COD",Orders!$F$2:$F$20001,"RTO"))</f>
        <v/>
      </c>
      <c r="C232" s="17" t="str">
        <f aca="false">IF($A232="","",COUNTIFS(Orders!$C$2:$C$20001,$A232,Orders!$E$2:$E$20001,"COD",Orders!$F$2:$F$20001,"RTO"))</f>
        <v/>
      </c>
      <c r="D232" s="18" t="str">
        <f aca="false">IF($A232="","",IFERROR(C232/B232,0))</f>
        <v/>
      </c>
      <c r="E232" s="17" t="str">
        <f aca="false">IF($A232="","",COUNTIFS(Orders!$C$2:$C$20001,$A232,Orders!$E$2:$E$20001,"Prepaid",Orders!$F$2:$F$20001,"Delivered")+COUNTIFS(Orders!$C$2:$C$20001,$A232,Orders!$E$2:$E$20001,"Prepaid",Orders!$F$2:$F$20001,"RTO"))</f>
        <v/>
      </c>
      <c r="F232" s="17" t="str">
        <f aca="false">IF($A232="","",COUNTIFS(Orders!$C$2:$C$20001,$A232,Orders!$E$2:$E$20001,"Prepaid",Orders!$F$2:$F$20001,"RTO"))</f>
        <v/>
      </c>
      <c r="G232" s="18" t="str">
        <f aca="false">IF($A232="","",IFERROR(F232/E232,0))</f>
        <v/>
      </c>
      <c r="H232" s="19" t="str">
        <f aca="false">IF($A232="","",C232*Settings!$B$11)</f>
        <v/>
      </c>
      <c r="I232" s="20" t="str">
        <f aca="false">IF($A232="","",IF(N(H232)=0,"",RANK(H232,$H$5:$H$2004)))</f>
        <v/>
      </c>
      <c r="J232" s="21" t="str">
        <f aca="false">IF($A232="","",IF(B232=0,"No COD orders",IF(B232&lt;Settings!$B$8,"Too few orders",IF(D232&gt;=Settings!$B$9,"Restrict COD or verify","Keep COD"))))</f>
        <v/>
      </c>
    </row>
    <row r="233" customFormat="false" ht="15" hidden="false" customHeight="false" outlineLevel="0" collapsed="false">
      <c r="A233" s="27"/>
      <c r="B233" s="17" t="str">
        <f aca="false">IF($A233="","",COUNTIFS(Orders!$C$2:$C$20001,$A233,Orders!$E$2:$E$20001,"COD",Orders!$F$2:$F$20001,"Delivered")+COUNTIFS(Orders!$C$2:$C$20001,$A233,Orders!$E$2:$E$20001,"COD",Orders!$F$2:$F$20001,"RTO"))</f>
        <v/>
      </c>
      <c r="C233" s="17" t="str">
        <f aca="false">IF($A233="","",COUNTIFS(Orders!$C$2:$C$20001,$A233,Orders!$E$2:$E$20001,"COD",Orders!$F$2:$F$20001,"RTO"))</f>
        <v/>
      </c>
      <c r="D233" s="18" t="str">
        <f aca="false">IF($A233="","",IFERROR(C233/B233,0))</f>
        <v/>
      </c>
      <c r="E233" s="17" t="str">
        <f aca="false">IF($A233="","",COUNTIFS(Orders!$C$2:$C$20001,$A233,Orders!$E$2:$E$20001,"Prepaid",Orders!$F$2:$F$20001,"Delivered")+COUNTIFS(Orders!$C$2:$C$20001,$A233,Orders!$E$2:$E$20001,"Prepaid",Orders!$F$2:$F$20001,"RTO"))</f>
        <v/>
      </c>
      <c r="F233" s="17" t="str">
        <f aca="false">IF($A233="","",COUNTIFS(Orders!$C$2:$C$20001,$A233,Orders!$E$2:$E$20001,"Prepaid",Orders!$F$2:$F$20001,"RTO"))</f>
        <v/>
      </c>
      <c r="G233" s="18" t="str">
        <f aca="false">IF($A233="","",IFERROR(F233/E233,0))</f>
        <v/>
      </c>
      <c r="H233" s="19" t="str">
        <f aca="false">IF($A233="","",C233*Settings!$B$11)</f>
        <v/>
      </c>
      <c r="I233" s="20" t="str">
        <f aca="false">IF($A233="","",IF(N(H233)=0,"",RANK(H233,$H$5:$H$2004)))</f>
        <v/>
      </c>
      <c r="J233" s="21" t="str">
        <f aca="false">IF($A233="","",IF(B233=0,"No COD orders",IF(B233&lt;Settings!$B$8,"Too few orders",IF(D233&gt;=Settings!$B$9,"Restrict COD or verify","Keep COD"))))</f>
        <v/>
      </c>
    </row>
    <row r="234" customFormat="false" ht="15" hidden="false" customHeight="false" outlineLevel="0" collapsed="false">
      <c r="A234" s="27"/>
      <c r="B234" s="17" t="str">
        <f aca="false">IF($A234="","",COUNTIFS(Orders!$C$2:$C$20001,$A234,Orders!$E$2:$E$20001,"COD",Orders!$F$2:$F$20001,"Delivered")+COUNTIFS(Orders!$C$2:$C$20001,$A234,Orders!$E$2:$E$20001,"COD",Orders!$F$2:$F$20001,"RTO"))</f>
        <v/>
      </c>
      <c r="C234" s="17" t="str">
        <f aca="false">IF($A234="","",COUNTIFS(Orders!$C$2:$C$20001,$A234,Orders!$E$2:$E$20001,"COD",Orders!$F$2:$F$20001,"RTO"))</f>
        <v/>
      </c>
      <c r="D234" s="18" t="str">
        <f aca="false">IF($A234="","",IFERROR(C234/B234,0))</f>
        <v/>
      </c>
      <c r="E234" s="17" t="str">
        <f aca="false">IF($A234="","",COUNTIFS(Orders!$C$2:$C$20001,$A234,Orders!$E$2:$E$20001,"Prepaid",Orders!$F$2:$F$20001,"Delivered")+COUNTIFS(Orders!$C$2:$C$20001,$A234,Orders!$E$2:$E$20001,"Prepaid",Orders!$F$2:$F$20001,"RTO"))</f>
        <v/>
      </c>
      <c r="F234" s="17" t="str">
        <f aca="false">IF($A234="","",COUNTIFS(Orders!$C$2:$C$20001,$A234,Orders!$E$2:$E$20001,"Prepaid",Orders!$F$2:$F$20001,"RTO"))</f>
        <v/>
      </c>
      <c r="G234" s="18" t="str">
        <f aca="false">IF($A234="","",IFERROR(F234/E234,0))</f>
        <v/>
      </c>
      <c r="H234" s="19" t="str">
        <f aca="false">IF($A234="","",C234*Settings!$B$11)</f>
        <v/>
      </c>
      <c r="I234" s="20" t="str">
        <f aca="false">IF($A234="","",IF(N(H234)=0,"",RANK(H234,$H$5:$H$2004)))</f>
        <v/>
      </c>
      <c r="J234" s="21" t="str">
        <f aca="false">IF($A234="","",IF(B234=0,"No COD orders",IF(B234&lt;Settings!$B$8,"Too few orders",IF(D234&gt;=Settings!$B$9,"Restrict COD or verify","Keep COD"))))</f>
        <v/>
      </c>
    </row>
    <row r="235" customFormat="false" ht="15" hidden="false" customHeight="false" outlineLevel="0" collapsed="false">
      <c r="A235" s="27"/>
      <c r="B235" s="17" t="str">
        <f aca="false">IF($A235="","",COUNTIFS(Orders!$C$2:$C$20001,$A235,Orders!$E$2:$E$20001,"COD",Orders!$F$2:$F$20001,"Delivered")+COUNTIFS(Orders!$C$2:$C$20001,$A235,Orders!$E$2:$E$20001,"COD",Orders!$F$2:$F$20001,"RTO"))</f>
        <v/>
      </c>
      <c r="C235" s="17" t="str">
        <f aca="false">IF($A235="","",COUNTIFS(Orders!$C$2:$C$20001,$A235,Orders!$E$2:$E$20001,"COD",Orders!$F$2:$F$20001,"RTO"))</f>
        <v/>
      </c>
      <c r="D235" s="18" t="str">
        <f aca="false">IF($A235="","",IFERROR(C235/B235,0))</f>
        <v/>
      </c>
      <c r="E235" s="17" t="str">
        <f aca="false">IF($A235="","",COUNTIFS(Orders!$C$2:$C$20001,$A235,Orders!$E$2:$E$20001,"Prepaid",Orders!$F$2:$F$20001,"Delivered")+COUNTIFS(Orders!$C$2:$C$20001,$A235,Orders!$E$2:$E$20001,"Prepaid",Orders!$F$2:$F$20001,"RTO"))</f>
        <v/>
      </c>
      <c r="F235" s="17" t="str">
        <f aca="false">IF($A235="","",COUNTIFS(Orders!$C$2:$C$20001,$A235,Orders!$E$2:$E$20001,"Prepaid",Orders!$F$2:$F$20001,"RTO"))</f>
        <v/>
      </c>
      <c r="G235" s="18" t="str">
        <f aca="false">IF($A235="","",IFERROR(F235/E235,0))</f>
        <v/>
      </c>
      <c r="H235" s="19" t="str">
        <f aca="false">IF($A235="","",C235*Settings!$B$11)</f>
        <v/>
      </c>
      <c r="I235" s="20" t="str">
        <f aca="false">IF($A235="","",IF(N(H235)=0,"",RANK(H235,$H$5:$H$2004)))</f>
        <v/>
      </c>
      <c r="J235" s="21" t="str">
        <f aca="false">IF($A235="","",IF(B235=0,"No COD orders",IF(B235&lt;Settings!$B$8,"Too few orders",IF(D235&gt;=Settings!$B$9,"Restrict COD or verify","Keep COD"))))</f>
        <v/>
      </c>
    </row>
    <row r="236" customFormat="false" ht="15" hidden="false" customHeight="false" outlineLevel="0" collapsed="false">
      <c r="A236" s="27"/>
      <c r="B236" s="17" t="str">
        <f aca="false">IF($A236="","",COUNTIFS(Orders!$C$2:$C$20001,$A236,Orders!$E$2:$E$20001,"COD",Orders!$F$2:$F$20001,"Delivered")+COUNTIFS(Orders!$C$2:$C$20001,$A236,Orders!$E$2:$E$20001,"COD",Orders!$F$2:$F$20001,"RTO"))</f>
        <v/>
      </c>
      <c r="C236" s="17" t="str">
        <f aca="false">IF($A236="","",COUNTIFS(Orders!$C$2:$C$20001,$A236,Orders!$E$2:$E$20001,"COD",Orders!$F$2:$F$20001,"RTO"))</f>
        <v/>
      </c>
      <c r="D236" s="18" t="str">
        <f aca="false">IF($A236="","",IFERROR(C236/B236,0))</f>
        <v/>
      </c>
      <c r="E236" s="17" t="str">
        <f aca="false">IF($A236="","",COUNTIFS(Orders!$C$2:$C$20001,$A236,Orders!$E$2:$E$20001,"Prepaid",Orders!$F$2:$F$20001,"Delivered")+COUNTIFS(Orders!$C$2:$C$20001,$A236,Orders!$E$2:$E$20001,"Prepaid",Orders!$F$2:$F$20001,"RTO"))</f>
        <v/>
      </c>
      <c r="F236" s="17" t="str">
        <f aca="false">IF($A236="","",COUNTIFS(Orders!$C$2:$C$20001,$A236,Orders!$E$2:$E$20001,"Prepaid",Orders!$F$2:$F$20001,"RTO"))</f>
        <v/>
      </c>
      <c r="G236" s="18" t="str">
        <f aca="false">IF($A236="","",IFERROR(F236/E236,0))</f>
        <v/>
      </c>
      <c r="H236" s="19" t="str">
        <f aca="false">IF($A236="","",C236*Settings!$B$11)</f>
        <v/>
      </c>
      <c r="I236" s="20" t="str">
        <f aca="false">IF($A236="","",IF(N(H236)=0,"",RANK(H236,$H$5:$H$2004)))</f>
        <v/>
      </c>
      <c r="J236" s="21" t="str">
        <f aca="false">IF($A236="","",IF(B236=0,"No COD orders",IF(B236&lt;Settings!$B$8,"Too few orders",IF(D236&gt;=Settings!$B$9,"Restrict COD or verify","Keep COD"))))</f>
        <v/>
      </c>
    </row>
    <row r="237" customFormat="false" ht="15" hidden="false" customHeight="false" outlineLevel="0" collapsed="false">
      <c r="A237" s="27"/>
      <c r="B237" s="17" t="str">
        <f aca="false">IF($A237="","",COUNTIFS(Orders!$C$2:$C$20001,$A237,Orders!$E$2:$E$20001,"COD",Orders!$F$2:$F$20001,"Delivered")+COUNTIFS(Orders!$C$2:$C$20001,$A237,Orders!$E$2:$E$20001,"COD",Orders!$F$2:$F$20001,"RTO"))</f>
        <v/>
      </c>
      <c r="C237" s="17" t="str">
        <f aca="false">IF($A237="","",COUNTIFS(Orders!$C$2:$C$20001,$A237,Orders!$E$2:$E$20001,"COD",Orders!$F$2:$F$20001,"RTO"))</f>
        <v/>
      </c>
      <c r="D237" s="18" t="str">
        <f aca="false">IF($A237="","",IFERROR(C237/B237,0))</f>
        <v/>
      </c>
      <c r="E237" s="17" t="str">
        <f aca="false">IF($A237="","",COUNTIFS(Orders!$C$2:$C$20001,$A237,Orders!$E$2:$E$20001,"Prepaid",Orders!$F$2:$F$20001,"Delivered")+COUNTIFS(Orders!$C$2:$C$20001,$A237,Orders!$E$2:$E$20001,"Prepaid",Orders!$F$2:$F$20001,"RTO"))</f>
        <v/>
      </c>
      <c r="F237" s="17" t="str">
        <f aca="false">IF($A237="","",COUNTIFS(Orders!$C$2:$C$20001,$A237,Orders!$E$2:$E$20001,"Prepaid",Orders!$F$2:$F$20001,"RTO"))</f>
        <v/>
      </c>
      <c r="G237" s="18" t="str">
        <f aca="false">IF($A237="","",IFERROR(F237/E237,0))</f>
        <v/>
      </c>
      <c r="H237" s="19" t="str">
        <f aca="false">IF($A237="","",C237*Settings!$B$11)</f>
        <v/>
      </c>
      <c r="I237" s="20" t="str">
        <f aca="false">IF($A237="","",IF(N(H237)=0,"",RANK(H237,$H$5:$H$2004)))</f>
        <v/>
      </c>
      <c r="J237" s="21" t="str">
        <f aca="false">IF($A237="","",IF(B237=0,"No COD orders",IF(B237&lt;Settings!$B$8,"Too few orders",IF(D237&gt;=Settings!$B$9,"Restrict COD or verify","Keep COD"))))</f>
        <v/>
      </c>
    </row>
    <row r="238" customFormat="false" ht="15" hidden="false" customHeight="false" outlineLevel="0" collapsed="false">
      <c r="A238" s="27"/>
      <c r="B238" s="17" t="str">
        <f aca="false">IF($A238="","",COUNTIFS(Orders!$C$2:$C$20001,$A238,Orders!$E$2:$E$20001,"COD",Orders!$F$2:$F$20001,"Delivered")+COUNTIFS(Orders!$C$2:$C$20001,$A238,Orders!$E$2:$E$20001,"COD",Orders!$F$2:$F$20001,"RTO"))</f>
        <v/>
      </c>
      <c r="C238" s="17" t="str">
        <f aca="false">IF($A238="","",COUNTIFS(Orders!$C$2:$C$20001,$A238,Orders!$E$2:$E$20001,"COD",Orders!$F$2:$F$20001,"RTO"))</f>
        <v/>
      </c>
      <c r="D238" s="18" t="str">
        <f aca="false">IF($A238="","",IFERROR(C238/B238,0))</f>
        <v/>
      </c>
      <c r="E238" s="17" t="str">
        <f aca="false">IF($A238="","",COUNTIFS(Orders!$C$2:$C$20001,$A238,Orders!$E$2:$E$20001,"Prepaid",Orders!$F$2:$F$20001,"Delivered")+COUNTIFS(Orders!$C$2:$C$20001,$A238,Orders!$E$2:$E$20001,"Prepaid",Orders!$F$2:$F$20001,"RTO"))</f>
        <v/>
      </c>
      <c r="F238" s="17" t="str">
        <f aca="false">IF($A238="","",COUNTIFS(Orders!$C$2:$C$20001,$A238,Orders!$E$2:$E$20001,"Prepaid",Orders!$F$2:$F$20001,"RTO"))</f>
        <v/>
      </c>
      <c r="G238" s="18" t="str">
        <f aca="false">IF($A238="","",IFERROR(F238/E238,0))</f>
        <v/>
      </c>
      <c r="H238" s="19" t="str">
        <f aca="false">IF($A238="","",C238*Settings!$B$11)</f>
        <v/>
      </c>
      <c r="I238" s="20" t="str">
        <f aca="false">IF($A238="","",IF(N(H238)=0,"",RANK(H238,$H$5:$H$2004)))</f>
        <v/>
      </c>
      <c r="J238" s="21" t="str">
        <f aca="false">IF($A238="","",IF(B238=0,"No COD orders",IF(B238&lt;Settings!$B$8,"Too few orders",IF(D238&gt;=Settings!$B$9,"Restrict COD or verify","Keep COD"))))</f>
        <v/>
      </c>
    </row>
    <row r="239" customFormat="false" ht="15" hidden="false" customHeight="false" outlineLevel="0" collapsed="false">
      <c r="A239" s="27"/>
      <c r="B239" s="17" t="str">
        <f aca="false">IF($A239="","",COUNTIFS(Orders!$C$2:$C$20001,$A239,Orders!$E$2:$E$20001,"COD",Orders!$F$2:$F$20001,"Delivered")+COUNTIFS(Orders!$C$2:$C$20001,$A239,Orders!$E$2:$E$20001,"COD",Orders!$F$2:$F$20001,"RTO"))</f>
        <v/>
      </c>
      <c r="C239" s="17" t="str">
        <f aca="false">IF($A239="","",COUNTIFS(Orders!$C$2:$C$20001,$A239,Orders!$E$2:$E$20001,"COD",Orders!$F$2:$F$20001,"RTO"))</f>
        <v/>
      </c>
      <c r="D239" s="18" t="str">
        <f aca="false">IF($A239="","",IFERROR(C239/B239,0))</f>
        <v/>
      </c>
      <c r="E239" s="17" t="str">
        <f aca="false">IF($A239="","",COUNTIFS(Orders!$C$2:$C$20001,$A239,Orders!$E$2:$E$20001,"Prepaid",Orders!$F$2:$F$20001,"Delivered")+COUNTIFS(Orders!$C$2:$C$20001,$A239,Orders!$E$2:$E$20001,"Prepaid",Orders!$F$2:$F$20001,"RTO"))</f>
        <v/>
      </c>
      <c r="F239" s="17" t="str">
        <f aca="false">IF($A239="","",COUNTIFS(Orders!$C$2:$C$20001,$A239,Orders!$E$2:$E$20001,"Prepaid",Orders!$F$2:$F$20001,"RTO"))</f>
        <v/>
      </c>
      <c r="G239" s="18" t="str">
        <f aca="false">IF($A239="","",IFERROR(F239/E239,0))</f>
        <v/>
      </c>
      <c r="H239" s="19" t="str">
        <f aca="false">IF($A239="","",C239*Settings!$B$11)</f>
        <v/>
      </c>
      <c r="I239" s="20" t="str">
        <f aca="false">IF($A239="","",IF(N(H239)=0,"",RANK(H239,$H$5:$H$2004)))</f>
        <v/>
      </c>
      <c r="J239" s="21" t="str">
        <f aca="false">IF($A239="","",IF(B239=0,"No COD orders",IF(B239&lt;Settings!$B$8,"Too few orders",IF(D239&gt;=Settings!$B$9,"Restrict COD or verify","Keep COD"))))</f>
        <v/>
      </c>
    </row>
    <row r="240" customFormat="false" ht="15" hidden="false" customHeight="false" outlineLevel="0" collapsed="false">
      <c r="A240" s="27"/>
      <c r="B240" s="17" t="str">
        <f aca="false">IF($A240="","",COUNTIFS(Orders!$C$2:$C$20001,$A240,Orders!$E$2:$E$20001,"COD",Orders!$F$2:$F$20001,"Delivered")+COUNTIFS(Orders!$C$2:$C$20001,$A240,Orders!$E$2:$E$20001,"COD",Orders!$F$2:$F$20001,"RTO"))</f>
        <v/>
      </c>
      <c r="C240" s="17" t="str">
        <f aca="false">IF($A240="","",COUNTIFS(Orders!$C$2:$C$20001,$A240,Orders!$E$2:$E$20001,"COD",Orders!$F$2:$F$20001,"RTO"))</f>
        <v/>
      </c>
      <c r="D240" s="18" t="str">
        <f aca="false">IF($A240="","",IFERROR(C240/B240,0))</f>
        <v/>
      </c>
      <c r="E240" s="17" t="str">
        <f aca="false">IF($A240="","",COUNTIFS(Orders!$C$2:$C$20001,$A240,Orders!$E$2:$E$20001,"Prepaid",Orders!$F$2:$F$20001,"Delivered")+COUNTIFS(Orders!$C$2:$C$20001,$A240,Orders!$E$2:$E$20001,"Prepaid",Orders!$F$2:$F$20001,"RTO"))</f>
        <v/>
      </c>
      <c r="F240" s="17" t="str">
        <f aca="false">IF($A240="","",COUNTIFS(Orders!$C$2:$C$20001,$A240,Orders!$E$2:$E$20001,"Prepaid",Orders!$F$2:$F$20001,"RTO"))</f>
        <v/>
      </c>
      <c r="G240" s="18" t="str">
        <f aca="false">IF($A240="","",IFERROR(F240/E240,0))</f>
        <v/>
      </c>
      <c r="H240" s="19" t="str">
        <f aca="false">IF($A240="","",C240*Settings!$B$11)</f>
        <v/>
      </c>
      <c r="I240" s="20" t="str">
        <f aca="false">IF($A240="","",IF(N(H240)=0,"",RANK(H240,$H$5:$H$2004)))</f>
        <v/>
      </c>
      <c r="J240" s="21" t="str">
        <f aca="false">IF($A240="","",IF(B240=0,"No COD orders",IF(B240&lt;Settings!$B$8,"Too few orders",IF(D240&gt;=Settings!$B$9,"Restrict COD or verify","Keep COD"))))</f>
        <v/>
      </c>
    </row>
    <row r="241" customFormat="false" ht="15" hidden="false" customHeight="false" outlineLevel="0" collapsed="false">
      <c r="A241" s="27"/>
      <c r="B241" s="17" t="str">
        <f aca="false">IF($A241="","",COUNTIFS(Orders!$C$2:$C$20001,$A241,Orders!$E$2:$E$20001,"COD",Orders!$F$2:$F$20001,"Delivered")+COUNTIFS(Orders!$C$2:$C$20001,$A241,Orders!$E$2:$E$20001,"COD",Orders!$F$2:$F$20001,"RTO"))</f>
        <v/>
      </c>
      <c r="C241" s="17" t="str">
        <f aca="false">IF($A241="","",COUNTIFS(Orders!$C$2:$C$20001,$A241,Orders!$E$2:$E$20001,"COD",Orders!$F$2:$F$20001,"RTO"))</f>
        <v/>
      </c>
      <c r="D241" s="18" t="str">
        <f aca="false">IF($A241="","",IFERROR(C241/B241,0))</f>
        <v/>
      </c>
      <c r="E241" s="17" t="str">
        <f aca="false">IF($A241="","",COUNTIFS(Orders!$C$2:$C$20001,$A241,Orders!$E$2:$E$20001,"Prepaid",Orders!$F$2:$F$20001,"Delivered")+COUNTIFS(Orders!$C$2:$C$20001,$A241,Orders!$E$2:$E$20001,"Prepaid",Orders!$F$2:$F$20001,"RTO"))</f>
        <v/>
      </c>
      <c r="F241" s="17" t="str">
        <f aca="false">IF($A241="","",COUNTIFS(Orders!$C$2:$C$20001,$A241,Orders!$E$2:$E$20001,"Prepaid",Orders!$F$2:$F$20001,"RTO"))</f>
        <v/>
      </c>
      <c r="G241" s="18" t="str">
        <f aca="false">IF($A241="","",IFERROR(F241/E241,0))</f>
        <v/>
      </c>
      <c r="H241" s="19" t="str">
        <f aca="false">IF($A241="","",C241*Settings!$B$11)</f>
        <v/>
      </c>
      <c r="I241" s="20" t="str">
        <f aca="false">IF($A241="","",IF(N(H241)=0,"",RANK(H241,$H$5:$H$2004)))</f>
        <v/>
      </c>
      <c r="J241" s="21" t="str">
        <f aca="false">IF($A241="","",IF(B241=0,"No COD orders",IF(B241&lt;Settings!$B$8,"Too few orders",IF(D241&gt;=Settings!$B$9,"Restrict COD or verify","Keep COD"))))</f>
        <v/>
      </c>
    </row>
    <row r="242" customFormat="false" ht="15" hidden="false" customHeight="false" outlineLevel="0" collapsed="false">
      <c r="A242" s="27"/>
      <c r="B242" s="17" t="str">
        <f aca="false">IF($A242="","",COUNTIFS(Orders!$C$2:$C$20001,$A242,Orders!$E$2:$E$20001,"COD",Orders!$F$2:$F$20001,"Delivered")+COUNTIFS(Orders!$C$2:$C$20001,$A242,Orders!$E$2:$E$20001,"COD",Orders!$F$2:$F$20001,"RTO"))</f>
        <v/>
      </c>
      <c r="C242" s="17" t="str">
        <f aca="false">IF($A242="","",COUNTIFS(Orders!$C$2:$C$20001,$A242,Orders!$E$2:$E$20001,"COD",Orders!$F$2:$F$20001,"RTO"))</f>
        <v/>
      </c>
      <c r="D242" s="18" t="str">
        <f aca="false">IF($A242="","",IFERROR(C242/B242,0))</f>
        <v/>
      </c>
      <c r="E242" s="17" t="str">
        <f aca="false">IF($A242="","",COUNTIFS(Orders!$C$2:$C$20001,$A242,Orders!$E$2:$E$20001,"Prepaid",Orders!$F$2:$F$20001,"Delivered")+COUNTIFS(Orders!$C$2:$C$20001,$A242,Orders!$E$2:$E$20001,"Prepaid",Orders!$F$2:$F$20001,"RTO"))</f>
        <v/>
      </c>
      <c r="F242" s="17" t="str">
        <f aca="false">IF($A242="","",COUNTIFS(Orders!$C$2:$C$20001,$A242,Orders!$E$2:$E$20001,"Prepaid",Orders!$F$2:$F$20001,"RTO"))</f>
        <v/>
      </c>
      <c r="G242" s="18" t="str">
        <f aca="false">IF($A242="","",IFERROR(F242/E242,0))</f>
        <v/>
      </c>
      <c r="H242" s="19" t="str">
        <f aca="false">IF($A242="","",C242*Settings!$B$11)</f>
        <v/>
      </c>
      <c r="I242" s="20" t="str">
        <f aca="false">IF($A242="","",IF(N(H242)=0,"",RANK(H242,$H$5:$H$2004)))</f>
        <v/>
      </c>
      <c r="J242" s="21" t="str">
        <f aca="false">IF($A242="","",IF(B242=0,"No COD orders",IF(B242&lt;Settings!$B$8,"Too few orders",IF(D242&gt;=Settings!$B$9,"Restrict COD or verify","Keep COD"))))</f>
        <v/>
      </c>
    </row>
    <row r="243" customFormat="false" ht="15" hidden="false" customHeight="false" outlineLevel="0" collapsed="false">
      <c r="A243" s="27"/>
      <c r="B243" s="17" t="str">
        <f aca="false">IF($A243="","",COUNTIFS(Orders!$C$2:$C$20001,$A243,Orders!$E$2:$E$20001,"COD",Orders!$F$2:$F$20001,"Delivered")+COUNTIFS(Orders!$C$2:$C$20001,$A243,Orders!$E$2:$E$20001,"COD",Orders!$F$2:$F$20001,"RTO"))</f>
        <v/>
      </c>
      <c r="C243" s="17" t="str">
        <f aca="false">IF($A243="","",COUNTIFS(Orders!$C$2:$C$20001,$A243,Orders!$E$2:$E$20001,"COD",Orders!$F$2:$F$20001,"RTO"))</f>
        <v/>
      </c>
      <c r="D243" s="18" t="str">
        <f aca="false">IF($A243="","",IFERROR(C243/B243,0))</f>
        <v/>
      </c>
      <c r="E243" s="17" t="str">
        <f aca="false">IF($A243="","",COUNTIFS(Orders!$C$2:$C$20001,$A243,Orders!$E$2:$E$20001,"Prepaid",Orders!$F$2:$F$20001,"Delivered")+COUNTIFS(Orders!$C$2:$C$20001,$A243,Orders!$E$2:$E$20001,"Prepaid",Orders!$F$2:$F$20001,"RTO"))</f>
        <v/>
      </c>
      <c r="F243" s="17" t="str">
        <f aca="false">IF($A243="","",COUNTIFS(Orders!$C$2:$C$20001,$A243,Orders!$E$2:$E$20001,"Prepaid",Orders!$F$2:$F$20001,"RTO"))</f>
        <v/>
      </c>
      <c r="G243" s="18" t="str">
        <f aca="false">IF($A243="","",IFERROR(F243/E243,0))</f>
        <v/>
      </c>
      <c r="H243" s="19" t="str">
        <f aca="false">IF($A243="","",C243*Settings!$B$11)</f>
        <v/>
      </c>
      <c r="I243" s="20" t="str">
        <f aca="false">IF($A243="","",IF(N(H243)=0,"",RANK(H243,$H$5:$H$2004)))</f>
        <v/>
      </c>
      <c r="J243" s="21" t="str">
        <f aca="false">IF($A243="","",IF(B243=0,"No COD orders",IF(B243&lt;Settings!$B$8,"Too few orders",IF(D243&gt;=Settings!$B$9,"Restrict COD or verify","Keep COD"))))</f>
        <v/>
      </c>
    </row>
    <row r="244" customFormat="false" ht="15" hidden="false" customHeight="false" outlineLevel="0" collapsed="false">
      <c r="A244" s="27"/>
      <c r="B244" s="17" t="str">
        <f aca="false">IF($A244="","",COUNTIFS(Orders!$C$2:$C$20001,$A244,Orders!$E$2:$E$20001,"COD",Orders!$F$2:$F$20001,"Delivered")+COUNTIFS(Orders!$C$2:$C$20001,$A244,Orders!$E$2:$E$20001,"COD",Orders!$F$2:$F$20001,"RTO"))</f>
        <v/>
      </c>
      <c r="C244" s="17" t="str">
        <f aca="false">IF($A244="","",COUNTIFS(Orders!$C$2:$C$20001,$A244,Orders!$E$2:$E$20001,"COD",Orders!$F$2:$F$20001,"RTO"))</f>
        <v/>
      </c>
      <c r="D244" s="18" t="str">
        <f aca="false">IF($A244="","",IFERROR(C244/B244,0))</f>
        <v/>
      </c>
      <c r="E244" s="17" t="str">
        <f aca="false">IF($A244="","",COUNTIFS(Orders!$C$2:$C$20001,$A244,Orders!$E$2:$E$20001,"Prepaid",Orders!$F$2:$F$20001,"Delivered")+COUNTIFS(Orders!$C$2:$C$20001,$A244,Orders!$E$2:$E$20001,"Prepaid",Orders!$F$2:$F$20001,"RTO"))</f>
        <v/>
      </c>
      <c r="F244" s="17" t="str">
        <f aca="false">IF($A244="","",COUNTIFS(Orders!$C$2:$C$20001,$A244,Orders!$E$2:$E$20001,"Prepaid",Orders!$F$2:$F$20001,"RTO"))</f>
        <v/>
      </c>
      <c r="G244" s="18" t="str">
        <f aca="false">IF($A244="","",IFERROR(F244/E244,0))</f>
        <v/>
      </c>
      <c r="H244" s="19" t="str">
        <f aca="false">IF($A244="","",C244*Settings!$B$11)</f>
        <v/>
      </c>
      <c r="I244" s="20" t="str">
        <f aca="false">IF($A244="","",IF(N(H244)=0,"",RANK(H244,$H$5:$H$2004)))</f>
        <v/>
      </c>
      <c r="J244" s="21" t="str">
        <f aca="false">IF($A244="","",IF(B244=0,"No COD orders",IF(B244&lt;Settings!$B$8,"Too few orders",IF(D244&gt;=Settings!$B$9,"Restrict COD or verify","Keep COD"))))</f>
        <v/>
      </c>
    </row>
    <row r="245" customFormat="false" ht="15" hidden="false" customHeight="false" outlineLevel="0" collapsed="false">
      <c r="A245" s="27"/>
      <c r="B245" s="17" t="str">
        <f aca="false">IF($A245="","",COUNTIFS(Orders!$C$2:$C$20001,$A245,Orders!$E$2:$E$20001,"COD",Orders!$F$2:$F$20001,"Delivered")+COUNTIFS(Orders!$C$2:$C$20001,$A245,Orders!$E$2:$E$20001,"COD",Orders!$F$2:$F$20001,"RTO"))</f>
        <v/>
      </c>
      <c r="C245" s="17" t="str">
        <f aca="false">IF($A245="","",COUNTIFS(Orders!$C$2:$C$20001,$A245,Orders!$E$2:$E$20001,"COD",Orders!$F$2:$F$20001,"RTO"))</f>
        <v/>
      </c>
      <c r="D245" s="18" t="str">
        <f aca="false">IF($A245="","",IFERROR(C245/B245,0))</f>
        <v/>
      </c>
      <c r="E245" s="17" t="str">
        <f aca="false">IF($A245="","",COUNTIFS(Orders!$C$2:$C$20001,$A245,Orders!$E$2:$E$20001,"Prepaid",Orders!$F$2:$F$20001,"Delivered")+COUNTIFS(Orders!$C$2:$C$20001,$A245,Orders!$E$2:$E$20001,"Prepaid",Orders!$F$2:$F$20001,"RTO"))</f>
        <v/>
      </c>
      <c r="F245" s="17" t="str">
        <f aca="false">IF($A245="","",COUNTIFS(Orders!$C$2:$C$20001,$A245,Orders!$E$2:$E$20001,"Prepaid",Orders!$F$2:$F$20001,"RTO"))</f>
        <v/>
      </c>
      <c r="G245" s="18" t="str">
        <f aca="false">IF($A245="","",IFERROR(F245/E245,0))</f>
        <v/>
      </c>
      <c r="H245" s="19" t="str">
        <f aca="false">IF($A245="","",C245*Settings!$B$11)</f>
        <v/>
      </c>
      <c r="I245" s="20" t="str">
        <f aca="false">IF($A245="","",IF(N(H245)=0,"",RANK(H245,$H$5:$H$2004)))</f>
        <v/>
      </c>
      <c r="J245" s="21" t="str">
        <f aca="false">IF($A245="","",IF(B245=0,"No COD orders",IF(B245&lt;Settings!$B$8,"Too few orders",IF(D245&gt;=Settings!$B$9,"Restrict COD or verify","Keep COD"))))</f>
        <v/>
      </c>
    </row>
    <row r="246" customFormat="false" ht="15" hidden="false" customHeight="false" outlineLevel="0" collapsed="false">
      <c r="A246" s="27"/>
      <c r="B246" s="17" t="str">
        <f aca="false">IF($A246="","",COUNTIFS(Orders!$C$2:$C$20001,$A246,Orders!$E$2:$E$20001,"COD",Orders!$F$2:$F$20001,"Delivered")+COUNTIFS(Orders!$C$2:$C$20001,$A246,Orders!$E$2:$E$20001,"COD",Orders!$F$2:$F$20001,"RTO"))</f>
        <v/>
      </c>
      <c r="C246" s="17" t="str">
        <f aca="false">IF($A246="","",COUNTIFS(Orders!$C$2:$C$20001,$A246,Orders!$E$2:$E$20001,"COD",Orders!$F$2:$F$20001,"RTO"))</f>
        <v/>
      </c>
      <c r="D246" s="18" t="str">
        <f aca="false">IF($A246="","",IFERROR(C246/B246,0))</f>
        <v/>
      </c>
      <c r="E246" s="17" t="str">
        <f aca="false">IF($A246="","",COUNTIFS(Orders!$C$2:$C$20001,$A246,Orders!$E$2:$E$20001,"Prepaid",Orders!$F$2:$F$20001,"Delivered")+COUNTIFS(Orders!$C$2:$C$20001,$A246,Orders!$E$2:$E$20001,"Prepaid",Orders!$F$2:$F$20001,"RTO"))</f>
        <v/>
      </c>
      <c r="F246" s="17" t="str">
        <f aca="false">IF($A246="","",COUNTIFS(Orders!$C$2:$C$20001,$A246,Orders!$E$2:$E$20001,"Prepaid",Orders!$F$2:$F$20001,"RTO"))</f>
        <v/>
      </c>
      <c r="G246" s="18" t="str">
        <f aca="false">IF($A246="","",IFERROR(F246/E246,0))</f>
        <v/>
      </c>
      <c r="H246" s="19" t="str">
        <f aca="false">IF($A246="","",C246*Settings!$B$11)</f>
        <v/>
      </c>
      <c r="I246" s="20" t="str">
        <f aca="false">IF($A246="","",IF(N(H246)=0,"",RANK(H246,$H$5:$H$2004)))</f>
        <v/>
      </c>
      <c r="J246" s="21" t="str">
        <f aca="false">IF($A246="","",IF(B246=0,"No COD orders",IF(B246&lt;Settings!$B$8,"Too few orders",IF(D246&gt;=Settings!$B$9,"Restrict COD or verify","Keep COD"))))</f>
        <v/>
      </c>
    </row>
    <row r="247" customFormat="false" ht="15" hidden="false" customHeight="false" outlineLevel="0" collapsed="false">
      <c r="A247" s="27"/>
      <c r="B247" s="17" t="str">
        <f aca="false">IF($A247="","",COUNTIFS(Orders!$C$2:$C$20001,$A247,Orders!$E$2:$E$20001,"COD",Orders!$F$2:$F$20001,"Delivered")+COUNTIFS(Orders!$C$2:$C$20001,$A247,Orders!$E$2:$E$20001,"COD",Orders!$F$2:$F$20001,"RTO"))</f>
        <v/>
      </c>
      <c r="C247" s="17" t="str">
        <f aca="false">IF($A247="","",COUNTIFS(Orders!$C$2:$C$20001,$A247,Orders!$E$2:$E$20001,"COD",Orders!$F$2:$F$20001,"RTO"))</f>
        <v/>
      </c>
      <c r="D247" s="18" t="str">
        <f aca="false">IF($A247="","",IFERROR(C247/B247,0))</f>
        <v/>
      </c>
      <c r="E247" s="17" t="str">
        <f aca="false">IF($A247="","",COUNTIFS(Orders!$C$2:$C$20001,$A247,Orders!$E$2:$E$20001,"Prepaid",Orders!$F$2:$F$20001,"Delivered")+COUNTIFS(Orders!$C$2:$C$20001,$A247,Orders!$E$2:$E$20001,"Prepaid",Orders!$F$2:$F$20001,"RTO"))</f>
        <v/>
      </c>
      <c r="F247" s="17" t="str">
        <f aca="false">IF($A247="","",COUNTIFS(Orders!$C$2:$C$20001,$A247,Orders!$E$2:$E$20001,"Prepaid",Orders!$F$2:$F$20001,"RTO"))</f>
        <v/>
      </c>
      <c r="G247" s="18" t="str">
        <f aca="false">IF($A247="","",IFERROR(F247/E247,0))</f>
        <v/>
      </c>
      <c r="H247" s="19" t="str">
        <f aca="false">IF($A247="","",C247*Settings!$B$11)</f>
        <v/>
      </c>
      <c r="I247" s="20" t="str">
        <f aca="false">IF($A247="","",IF(N(H247)=0,"",RANK(H247,$H$5:$H$2004)))</f>
        <v/>
      </c>
      <c r="J247" s="21" t="str">
        <f aca="false">IF($A247="","",IF(B247=0,"No COD orders",IF(B247&lt;Settings!$B$8,"Too few orders",IF(D247&gt;=Settings!$B$9,"Restrict COD or verify","Keep COD"))))</f>
        <v/>
      </c>
    </row>
    <row r="248" customFormat="false" ht="15" hidden="false" customHeight="false" outlineLevel="0" collapsed="false">
      <c r="A248" s="27"/>
      <c r="B248" s="17" t="str">
        <f aca="false">IF($A248="","",COUNTIFS(Orders!$C$2:$C$20001,$A248,Orders!$E$2:$E$20001,"COD",Orders!$F$2:$F$20001,"Delivered")+COUNTIFS(Orders!$C$2:$C$20001,$A248,Orders!$E$2:$E$20001,"COD",Orders!$F$2:$F$20001,"RTO"))</f>
        <v/>
      </c>
      <c r="C248" s="17" t="str">
        <f aca="false">IF($A248="","",COUNTIFS(Orders!$C$2:$C$20001,$A248,Orders!$E$2:$E$20001,"COD",Orders!$F$2:$F$20001,"RTO"))</f>
        <v/>
      </c>
      <c r="D248" s="18" t="str">
        <f aca="false">IF($A248="","",IFERROR(C248/B248,0))</f>
        <v/>
      </c>
      <c r="E248" s="17" t="str">
        <f aca="false">IF($A248="","",COUNTIFS(Orders!$C$2:$C$20001,$A248,Orders!$E$2:$E$20001,"Prepaid",Orders!$F$2:$F$20001,"Delivered")+COUNTIFS(Orders!$C$2:$C$20001,$A248,Orders!$E$2:$E$20001,"Prepaid",Orders!$F$2:$F$20001,"RTO"))</f>
        <v/>
      </c>
      <c r="F248" s="17" t="str">
        <f aca="false">IF($A248="","",COUNTIFS(Orders!$C$2:$C$20001,$A248,Orders!$E$2:$E$20001,"Prepaid",Orders!$F$2:$F$20001,"RTO"))</f>
        <v/>
      </c>
      <c r="G248" s="18" t="str">
        <f aca="false">IF($A248="","",IFERROR(F248/E248,0))</f>
        <v/>
      </c>
      <c r="H248" s="19" t="str">
        <f aca="false">IF($A248="","",C248*Settings!$B$11)</f>
        <v/>
      </c>
      <c r="I248" s="20" t="str">
        <f aca="false">IF($A248="","",IF(N(H248)=0,"",RANK(H248,$H$5:$H$2004)))</f>
        <v/>
      </c>
      <c r="J248" s="21" t="str">
        <f aca="false">IF($A248="","",IF(B248=0,"No COD orders",IF(B248&lt;Settings!$B$8,"Too few orders",IF(D248&gt;=Settings!$B$9,"Restrict COD or verify","Keep COD"))))</f>
        <v/>
      </c>
    </row>
    <row r="249" customFormat="false" ht="15" hidden="false" customHeight="false" outlineLevel="0" collapsed="false">
      <c r="A249" s="27"/>
      <c r="B249" s="17" t="str">
        <f aca="false">IF($A249="","",COUNTIFS(Orders!$C$2:$C$20001,$A249,Orders!$E$2:$E$20001,"COD",Orders!$F$2:$F$20001,"Delivered")+COUNTIFS(Orders!$C$2:$C$20001,$A249,Orders!$E$2:$E$20001,"COD",Orders!$F$2:$F$20001,"RTO"))</f>
        <v/>
      </c>
      <c r="C249" s="17" t="str">
        <f aca="false">IF($A249="","",COUNTIFS(Orders!$C$2:$C$20001,$A249,Orders!$E$2:$E$20001,"COD",Orders!$F$2:$F$20001,"RTO"))</f>
        <v/>
      </c>
      <c r="D249" s="18" t="str">
        <f aca="false">IF($A249="","",IFERROR(C249/B249,0))</f>
        <v/>
      </c>
      <c r="E249" s="17" t="str">
        <f aca="false">IF($A249="","",COUNTIFS(Orders!$C$2:$C$20001,$A249,Orders!$E$2:$E$20001,"Prepaid",Orders!$F$2:$F$20001,"Delivered")+COUNTIFS(Orders!$C$2:$C$20001,$A249,Orders!$E$2:$E$20001,"Prepaid",Orders!$F$2:$F$20001,"RTO"))</f>
        <v/>
      </c>
      <c r="F249" s="17" t="str">
        <f aca="false">IF($A249="","",COUNTIFS(Orders!$C$2:$C$20001,$A249,Orders!$E$2:$E$20001,"Prepaid",Orders!$F$2:$F$20001,"RTO"))</f>
        <v/>
      </c>
      <c r="G249" s="18" t="str">
        <f aca="false">IF($A249="","",IFERROR(F249/E249,0))</f>
        <v/>
      </c>
      <c r="H249" s="19" t="str">
        <f aca="false">IF($A249="","",C249*Settings!$B$11)</f>
        <v/>
      </c>
      <c r="I249" s="20" t="str">
        <f aca="false">IF($A249="","",IF(N(H249)=0,"",RANK(H249,$H$5:$H$2004)))</f>
        <v/>
      </c>
      <c r="J249" s="21" t="str">
        <f aca="false">IF($A249="","",IF(B249=0,"No COD orders",IF(B249&lt;Settings!$B$8,"Too few orders",IF(D249&gt;=Settings!$B$9,"Restrict COD or verify","Keep COD"))))</f>
        <v/>
      </c>
    </row>
    <row r="250" customFormat="false" ht="15" hidden="false" customHeight="false" outlineLevel="0" collapsed="false">
      <c r="A250" s="27"/>
      <c r="B250" s="17" t="str">
        <f aca="false">IF($A250="","",COUNTIFS(Orders!$C$2:$C$20001,$A250,Orders!$E$2:$E$20001,"COD",Orders!$F$2:$F$20001,"Delivered")+COUNTIFS(Orders!$C$2:$C$20001,$A250,Orders!$E$2:$E$20001,"COD",Orders!$F$2:$F$20001,"RTO"))</f>
        <v/>
      </c>
      <c r="C250" s="17" t="str">
        <f aca="false">IF($A250="","",COUNTIFS(Orders!$C$2:$C$20001,$A250,Orders!$E$2:$E$20001,"COD",Orders!$F$2:$F$20001,"RTO"))</f>
        <v/>
      </c>
      <c r="D250" s="18" t="str">
        <f aca="false">IF($A250="","",IFERROR(C250/B250,0))</f>
        <v/>
      </c>
      <c r="E250" s="17" t="str">
        <f aca="false">IF($A250="","",COUNTIFS(Orders!$C$2:$C$20001,$A250,Orders!$E$2:$E$20001,"Prepaid",Orders!$F$2:$F$20001,"Delivered")+COUNTIFS(Orders!$C$2:$C$20001,$A250,Orders!$E$2:$E$20001,"Prepaid",Orders!$F$2:$F$20001,"RTO"))</f>
        <v/>
      </c>
      <c r="F250" s="17" t="str">
        <f aca="false">IF($A250="","",COUNTIFS(Orders!$C$2:$C$20001,$A250,Orders!$E$2:$E$20001,"Prepaid",Orders!$F$2:$F$20001,"RTO"))</f>
        <v/>
      </c>
      <c r="G250" s="18" t="str">
        <f aca="false">IF($A250="","",IFERROR(F250/E250,0))</f>
        <v/>
      </c>
      <c r="H250" s="19" t="str">
        <f aca="false">IF($A250="","",C250*Settings!$B$11)</f>
        <v/>
      </c>
      <c r="I250" s="20" t="str">
        <f aca="false">IF($A250="","",IF(N(H250)=0,"",RANK(H250,$H$5:$H$2004)))</f>
        <v/>
      </c>
      <c r="J250" s="21" t="str">
        <f aca="false">IF($A250="","",IF(B250=0,"No COD orders",IF(B250&lt;Settings!$B$8,"Too few orders",IF(D250&gt;=Settings!$B$9,"Restrict COD or verify","Keep COD"))))</f>
        <v/>
      </c>
    </row>
    <row r="251" customFormat="false" ht="15" hidden="false" customHeight="false" outlineLevel="0" collapsed="false">
      <c r="A251" s="27"/>
      <c r="B251" s="17" t="str">
        <f aca="false">IF($A251="","",COUNTIFS(Orders!$C$2:$C$20001,$A251,Orders!$E$2:$E$20001,"COD",Orders!$F$2:$F$20001,"Delivered")+COUNTIFS(Orders!$C$2:$C$20001,$A251,Orders!$E$2:$E$20001,"COD",Orders!$F$2:$F$20001,"RTO"))</f>
        <v/>
      </c>
      <c r="C251" s="17" t="str">
        <f aca="false">IF($A251="","",COUNTIFS(Orders!$C$2:$C$20001,$A251,Orders!$E$2:$E$20001,"COD",Orders!$F$2:$F$20001,"RTO"))</f>
        <v/>
      </c>
      <c r="D251" s="18" t="str">
        <f aca="false">IF($A251="","",IFERROR(C251/B251,0))</f>
        <v/>
      </c>
      <c r="E251" s="17" t="str">
        <f aca="false">IF($A251="","",COUNTIFS(Orders!$C$2:$C$20001,$A251,Orders!$E$2:$E$20001,"Prepaid",Orders!$F$2:$F$20001,"Delivered")+COUNTIFS(Orders!$C$2:$C$20001,$A251,Orders!$E$2:$E$20001,"Prepaid",Orders!$F$2:$F$20001,"RTO"))</f>
        <v/>
      </c>
      <c r="F251" s="17" t="str">
        <f aca="false">IF($A251="","",COUNTIFS(Orders!$C$2:$C$20001,$A251,Orders!$E$2:$E$20001,"Prepaid",Orders!$F$2:$F$20001,"RTO"))</f>
        <v/>
      </c>
      <c r="G251" s="18" t="str">
        <f aca="false">IF($A251="","",IFERROR(F251/E251,0))</f>
        <v/>
      </c>
      <c r="H251" s="19" t="str">
        <f aca="false">IF($A251="","",C251*Settings!$B$11)</f>
        <v/>
      </c>
      <c r="I251" s="20" t="str">
        <f aca="false">IF($A251="","",IF(N(H251)=0,"",RANK(H251,$H$5:$H$2004)))</f>
        <v/>
      </c>
      <c r="J251" s="21" t="str">
        <f aca="false">IF($A251="","",IF(B251=0,"No COD orders",IF(B251&lt;Settings!$B$8,"Too few orders",IF(D251&gt;=Settings!$B$9,"Restrict COD or verify","Keep COD"))))</f>
        <v/>
      </c>
    </row>
    <row r="252" customFormat="false" ht="15" hidden="false" customHeight="false" outlineLevel="0" collapsed="false">
      <c r="A252" s="27"/>
      <c r="B252" s="17" t="str">
        <f aca="false">IF($A252="","",COUNTIFS(Orders!$C$2:$C$20001,$A252,Orders!$E$2:$E$20001,"COD",Orders!$F$2:$F$20001,"Delivered")+COUNTIFS(Orders!$C$2:$C$20001,$A252,Orders!$E$2:$E$20001,"COD",Orders!$F$2:$F$20001,"RTO"))</f>
        <v/>
      </c>
      <c r="C252" s="17" t="str">
        <f aca="false">IF($A252="","",COUNTIFS(Orders!$C$2:$C$20001,$A252,Orders!$E$2:$E$20001,"COD",Orders!$F$2:$F$20001,"RTO"))</f>
        <v/>
      </c>
      <c r="D252" s="18" t="str">
        <f aca="false">IF($A252="","",IFERROR(C252/B252,0))</f>
        <v/>
      </c>
      <c r="E252" s="17" t="str">
        <f aca="false">IF($A252="","",COUNTIFS(Orders!$C$2:$C$20001,$A252,Orders!$E$2:$E$20001,"Prepaid",Orders!$F$2:$F$20001,"Delivered")+COUNTIFS(Orders!$C$2:$C$20001,$A252,Orders!$E$2:$E$20001,"Prepaid",Orders!$F$2:$F$20001,"RTO"))</f>
        <v/>
      </c>
      <c r="F252" s="17" t="str">
        <f aca="false">IF($A252="","",COUNTIFS(Orders!$C$2:$C$20001,$A252,Orders!$E$2:$E$20001,"Prepaid",Orders!$F$2:$F$20001,"RTO"))</f>
        <v/>
      </c>
      <c r="G252" s="18" t="str">
        <f aca="false">IF($A252="","",IFERROR(F252/E252,0))</f>
        <v/>
      </c>
      <c r="H252" s="19" t="str">
        <f aca="false">IF($A252="","",C252*Settings!$B$11)</f>
        <v/>
      </c>
      <c r="I252" s="20" t="str">
        <f aca="false">IF($A252="","",IF(N(H252)=0,"",RANK(H252,$H$5:$H$2004)))</f>
        <v/>
      </c>
      <c r="J252" s="21" t="str">
        <f aca="false">IF($A252="","",IF(B252=0,"No COD orders",IF(B252&lt;Settings!$B$8,"Too few orders",IF(D252&gt;=Settings!$B$9,"Restrict COD or verify","Keep COD"))))</f>
        <v/>
      </c>
    </row>
    <row r="253" customFormat="false" ht="15" hidden="false" customHeight="false" outlineLevel="0" collapsed="false">
      <c r="A253" s="27"/>
      <c r="B253" s="17" t="str">
        <f aca="false">IF($A253="","",COUNTIFS(Orders!$C$2:$C$20001,$A253,Orders!$E$2:$E$20001,"COD",Orders!$F$2:$F$20001,"Delivered")+COUNTIFS(Orders!$C$2:$C$20001,$A253,Orders!$E$2:$E$20001,"COD",Orders!$F$2:$F$20001,"RTO"))</f>
        <v/>
      </c>
      <c r="C253" s="17" t="str">
        <f aca="false">IF($A253="","",COUNTIFS(Orders!$C$2:$C$20001,$A253,Orders!$E$2:$E$20001,"COD",Orders!$F$2:$F$20001,"RTO"))</f>
        <v/>
      </c>
      <c r="D253" s="18" t="str">
        <f aca="false">IF($A253="","",IFERROR(C253/B253,0))</f>
        <v/>
      </c>
      <c r="E253" s="17" t="str">
        <f aca="false">IF($A253="","",COUNTIFS(Orders!$C$2:$C$20001,$A253,Orders!$E$2:$E$20001,"Prepaid",Orders!$F$2:$F$20001,"Delivered")+COUNTIFS(Orders!$C$2:$C$20001,$A253,Orders!$E$2:$E$20001,"Prepaid",Orders!$F$2:$F$20001,"RTO"))</f>
        <v/>
      </c>
      <c r="F253" s="17" t="str">
        <f aca="false">IF($A253="","",COUNTIFS(Orders!$C$2:$C$20001,$A253,Orders!$E$2:$E$20001,"Prepaid",Orders!$F$2:$F$20001,"RTO"))</f>
        <v/>
      </c>
      <c r="G253" s="18" t="str">
        <f aca="false">IF($A253="","",IFERROR(F253/E253,0))</f>
        <v/>
      </c>
      <c r="H253" s="19" t="str">
        <f aca="false">IF($A253="","",C253*Settings!$B$11)</f>
        <v/>
      </c>
      <c r="I253" s="20" t="str">
        <f aca="false">IF($A253="","",IF(N(H253)=0,"",RANK(H253,$H$5:$H$2004)))</f>
        <v/>
      </c>
      <c r="J253" s="21" t="str">
        <f aca="false">IF($A253="","",IF(B253=0,"No COD orders",IF(B253&lt;Settings!$B$8,"Too few orders",IF(D253&gt;=Settings!$B$9,"Restrict COD or verify","Keep COD"))))</f>
        <v/>
      </c>
    </row>
    <row r="254" customFormat="false" ht="15" hidden="false" customHeight="false" outlineLevel="0" collapsed="false">
      <c r="A254" s="27"/>
      <c r="B254" s="17" t="str">
        <f aca="false">IF($A254="","",COUNTIFS(Orders!$C$2:$C$20001,$A254,Orders!$E$2:$E$20001,"COD",Orders!$F$2:$F$20001,"Delivered")+COUNTIFS(Orders!$C$2:$C$20001,$A254,Orders!$E$2:$E$20001,"COD",Orders!$F$2:$F$20001,"RTO"))</f>
        <v/>
      </c>
      <c r="C254" s="17" t="str">
        <f aca="false">IF($A254="","",COUNTIFS(Orders!$C$2:$C$20001,$A254,Orders!$E$2:$E$20001,"COD",Orders!$F$2:$F$20001,"RTO"))</f>
        <v/>
      </c>
      <c r="D254" s="18" t="str">
        <f aca="false">IF($A254="","",IFERROR(C254/B254,0))</f>
        <v/>
      </c>
      <c r="E254" s="17" t="str">
        <f aca="false">IF($A254="","",COUNTIFS(Orders!$C$2:$C$20001,$A254,Orders!$E$2:$E$20001,"Prepaid",Orders!$F$2:$F$20001,"Delivered")+COUNTIFS(Orders!$C$2:$C$20001,$A254,Orders!$E$2:$E$20001,"Prepaid",Orders!$F$2:$F$20001,"RTO"))</f>
        <v/>
      </c>
      <c r="F254" s="17" t="str">
        <f aca="false">IF($A254="","",COUNTIFS(Orders!$C$2:$C$20001,$A254,Orders!$E$2:$E$20001,"Prepaid",Orders!$F$2:$F$20001,"RTO"))</f>
        <v/>
      </c>
      <c r="G254" s="18" t="str">
        <f aca="false">IF($A254="","",IFERROR(F254/E254,0))</f>
        <v/>
      </c>
      <c r="H254" s="19" t="str">
        <f aca="false">IF($A254="","",C254*Settings!$B$11)</f>
        <v/>
      </c>
      <c r="I254" s="20" t="str">
        <f aca="false">IF($A254="","",IF(N(H254)=0,"",RANK(H254,$H$5:$H$2004)))</f>
        <v/>
      </c>
      <c r="J254" s="21" t="str">
        <f aca="false">IF($A254="","",IF(B254=0,"No COD orders",IF(B254&lt;Settings!$B$8,"Too few orders",IF(D254&gt;=Settings!$B$9,"Restrict COD or verify","Keep COD"))))</f>
        <v/>
      </c>
    </row>
    <row r="255" customFormat="false" ht="15" hidden="false" customHeight="false" outlineLevel="0" collapsed="false">
      <c r="A255" s="27"/>
      <c r="B255" s="17" t="str">
        <f aca="false">IF($A255="","",COUNTIFS(Orders!$C$2:$C$20001,$A255,Orders!$E$2:$E$20001,"COD",Orders!$F$2:$F$20001,"Delivered")+COUNTIFS(Orders!$C$2:$C$20001,$A255,Orders!$E$2:$E$20001,"COD",Orders!$F$2:$F$20001,"RTO"))</f>
        <v/>
      </c>
      <c r="C255" s="17" t="str">
        <f aca="false">IF($A255="","",COUNTIFS(Orders!$C$2:$C$20001,$A255,Orders!$E$2:$E$20001,"COD",Orders!$F$2:$F$20001,"RTO"))</f>
        <v/>
      </c>
      <c r="D255" s="18" t="str">
        <f aca="false">IF($A255="","",IFERROR(C255/B255,0))</f>
        <v/>
      </c>
      <c r="E255" s="17" t="str">
        <f aca="false">IF($A255="","",COUNTIFS(Orders!$C$2:$C$20001,$A255,Orders!$E$2:$E$20001,"Prepaid",Orders!$F$2:$F$20001,"Delivered")+COUNTIFS(Orders!$C$2:$C$20001,$A255,Orders!$E$2:$E$20001,"Prepaid",Orders!$F$2:$F$20001,"RTO"))</f>
        <v/>
      </c>
      <c r="F255" s="17" t="str">
        <f aca="false">IF($A255="","",COUNTIFS(Orders!$C$2:$C$20001,$A255,Orders!$E$2:$E$20001,"Prepaid",Orders!$F$2:$F$20001,"RTO"))</f>
        <v/>
      </c>
      <c r="G255" s="18" t="str">
        <f aca="false">IF($A255="","",IFERROR(F255/E255,0))</f>
        <v/>
      </c>
      <c r="H255" s="19" t="str">
        <f aca="false">IF($A255="","",C255*Settings!$B$11)</f>
        <v/>
      </c>
      <c r="I255" s="20" t="str">
        <f aca="false">IF($A255="","",IF(N(H255)=0,"",RANK(H255,$H$5:$H$2004)))</f>
        <v/>
      </c>
      <c r="J255" s="21" t="str">
        <f aca="false">IF($A255="","",IF(B255=0,"No COD orders",IF(B255&lt;Settings!$B$8,"Too few orders",IF(D255&gt;=Settings!$B$9,"Restrict COD or verify","Keep COD"))))</f>
        <v/>
      </c>
    </row>
    <row r="256" customFormat="false" ht="15" hidden="false" customHeight="false" outlineLevel="0" collapsed="false">
      <c r="A256" s="27"/>
      <c r="B256" s="17" t="str">
        <f aca="false">IF($A256="","",COUNTIFS(Orders!$C$2:$C$20001,$A256,Orders!$E$2:$E$20001,"COD",Orders!$F$2:$F$20001,"Delivered")+COUNTIFS(Orders!$C$2:$C$20001,$A256,Orders!$E$2:$E$20001,"COD",Orders!$F$2:$F$20001,"RTO"))</f>
        <v/>
      </c>
      <c r="C256" s="17" t="str">
        <f aca="false">IF($A256="","",COUNTIFS(Orders!$C$2:$C$20001,$A256,Orders!$E$2:$E$20001,"COD",Orders!$F$2:$F$20001,"RTO"))</f>
        <v/>
      </c>
      <c r="D256" s="18" t="str">
        <f aca="false">IF($A256="","",IFERROR(C256/B256,0))</f>
        <v/>
      </c>
      <c r="E256" s="17" t="str">
        <f aca="false">IF($A256="","",COUNTIFS(Orders!$C$2:$C$20001,$A256,Orders!$E$2:$E$20001,"Prepaid",Orders!$F$2:$F$20001,"Delivered")+COUNTIFS(Orders!$C$2:$C$20001,$A256,Orders!$E$2:$E$20001,"Prepaid",Orders!$F$2:$F$20001,"RTO"))</f>
        <v/>
      </c>
      <c r="F256" s="17" t="str">
        <f aca="false">IF($A256="","",COUNTIFS(Orders!$C$2:$C$20001,$A256,Orders!$E$2:$E$20001,"Prepaid",Orders!$F$2:$F$20001,"RTO"))</f>
        <v/>
      </c>
      <c r="G256" s="18" t="str">
        <f aca="false">IF($A256="","",IFERROR(F256/E256,0))</f>
        <v/>
      </c>
      <c r="H256" s="19" t="str">
        <f aca="false">IF($A256="","",C256*Settings!$B$11)</f>
        <v/>
      </c>
      <c r="I256" s="20" t="str">
        <f aca="false">IF($A256="","",IF(N(H256)=0,"",RANK(H256,$H$5:$H$2004)))</f>
        <v/>
      </c>
      <c r="J256" s="21" t="str">
        <f aca="false">IF($A256="","",IF(B256=0,"No COD orders",IF(B256&lt;Settings!$B$8,"Too few orders",IF(D256&gt;=Settings!$B$9,"Restrict COD or verify","Keep COD"))))</f>
        <v/>
      </c>
    </row>
    <row r="257" customFormat="false" ht="15" hidden="false" customHeight="false" outlineLevel="0" collapsed="false">
      <c r="A257" s="27"/>
      <c r="B257" s="17" t="str">
        <f aca="false">IF($A257="","",COUNTIFS(Orders!$C$2:$C$20001,$A257,Orders!$E$2:$E$20001,"COD",Orders!$F$2:$F$20001,"Delivered")+COUNTIFS(Orders!$C$2:$C$20001,$A257,Orders!$E$2:$E$20001,"COD",Orders!$F$2:$F$20001,"RTO"))</f>
        <v/>
      </c>
      <c r="C257" s="17" t="str">
        <f aca="false">IF($A257="","",COUNTIFS(Orders!$C$2:$C$20001,$A257,Orders!$E$2:$E$20001,"COD",Orders!$F$2:$F$20001,"RTO"))</f>
        <v/>
      </c>
      <c r="D257" s="18" t="str">
        <f aca="false">IF($A257="","",IFERROR(C257/B257,0))</f>
        <v/>
      </c>
      <c r="E257" s="17" t="str">
        <f aca="false">IF($A257="","",COUNTIFS(Orders!$C$2:$C$20001,$A257,Orders!$E$2:$E$20001,"Prepaid",Orders!$F$2:$F$20001,"Delivered")+COUNTIFS(Orders!$C$2:$C$20001,$A257,Orders!$E$2:$E$20001,"Prepaid",Orders!$F$2:$F$20001,"RTO"))</f>
        <v/>
      </c>
      <c r="F257" s="17" t="str">
        <f aca="false">IF($A257="","",COUNTIFS(Orders!$C$2:$C$20001,$A257,Orders!$E$2:$E$20001,"Prepaid",Orders!$F$2:$F$20001,"RTO"))</f>
        <v/>
      </c>
      <c r="G257" s="18" t="str">
        <f aca="false">IF($A257="","",IFERROR(F257/E257,0))</f>
        <v/>
      </c>
      <c r="H257" s="19" t="str">
        <f aca="false">IF($A257="","",C257*Settings!$B$11)</f>
        <v/>
      </c>
      <c r="I257" s="20" t="str">
        <f aca="false">IF($A257="","",IF(N(H257)=0,"",RANK(H257,$H$5:$H$2004)))</f>
        <v/>
      </c>
      <c r="J257" s="21" t="str">
        <f aca="false">IF($A257="","",IF(B257=0,"No COD orders",IF(B257&lt;Settings!$B$8,"Too few orders",IF(D257&gt;=Settings!$B$9,"Restrict COD or verify","Keep COD"))))</f>
        <v/>
      </c>
    </row>
    <row r="258" customFormat="false" ht="15" hidden="false" customHeight="false" outlineLevel="0" collapsed="false">
      <c r="A258" s="27"/>
      <c r="B258" s="17" t="str">
        <f aca="false">IF($A258="","",COUNTIFS(Orders!$C$2:$C$20001,$A258,Orders!$E$2:$E$20001,"COD",Orders!$F$2:$F$20001,"Delivered")+COUNTIFS(Orders!$C$2:$C$20001,$A258,Orders!$E$2:$E$20001,"COD",Orders!$F$2:$F$20001,"RTO"))</f>
        <v/>
      </c>
      <c r="C258" s="17" t="str">
        <f aca="false">IF($A258="","",COUNTIFS(Orders!$C$2:$C$20001,$A258,Orders!$E$2:$E$20001,"COD",Orders!$F$2:$F$20001,"RTO"))</f>
        <v/>
      </c>
      <c r="D258" s="18" t="str">
        <f aca="false">IF($A258="","",IFERROR(C258/B258,0))</f>
        <v/>
      </c>
      <c r="E258" s="17" t="str">
        <f aca="false">IF($A258="","",COUNTIFS(Orders!$C$2:$C$20001,$A258,Orders!$E$2:$E$20001,"Prepaid",Orders!$F$2:$F$20001,"Delivered")+COUNTIFS(Orders!$C$2:$C$20001,$A258,Orders!$E$2:$E$20001,"Prepaid",Orders!$F$2:$F$20001,"RTO"))</f>
        <v/>
      </c>
      <c r="F258" s="17" t="str">
        <f aca="false">IF($A258="","",COUNTIFS(Orders!$C$2:$C$20001,$A258,Orders!$E$2:$E$20001,"Prepaid",Orders!$F$2:$F$20001,"RTO"))</f>
        <v/>
      </c>
      <c r="G258" s="18" t="str">
        <f aca="false">IF($A258="","",IFERROR(F258/E258,0))</f>
        <v/>
      </c>
      <c r="H258" s="19" t="str">
        <f aca="false">IF($A258="","",C258*Settings!$B$11)</f>
        <v/>
      </c>
      <c r="I258" s="20" t="str">
        <f aca="false">IF($A258="","",IF(N(H258)=0,"",RANK(H258,$H$5:$H$2004)))</f>
        <v/>
      </c>
      <c r="J258" s="21" t="str">
        <f aca="false">IF($A258="","",IF(B258=0,"No COD orders",IF(B258&lt;Settings!$B$8,"Too few orders",IF(D258&gt;=Settings!$B$9,"Restrict COD or verify","Keep COD"))))</f>
        <v/>
      </c>
    </row>
    <row r="259" customFormat="false" ht="15" hidden="false" customHeight="false" outlineLevel="0" collapsed="false">
      <c r="A259" s="27"/>
      <c r="B259" s="17" t="str">
        <f aca="false">IF($A259="","",COUNTIFS(Orders!$C$2:$C$20001,$A259,Orders!$E$2:$E$20001,"COD",Orders!$F$2:$F$20001,"Delivered")+COUNTIFS(Orders!$C$2:$C$20001,$A259,Orders!$E$2:$E$20001,"COD",Orders!$F$2:$F$20001,"RTO"))</f>
        <v/>
      </c>
      <c r="C259" s="17" t="str">
        <f aca="false">IF($A259="","",COUNTIFS(Orders!$C$2:$C$20001,$A259,Orders!$E$2:$E$20001,"COD",Orders!$F$2:$F$20001,"RTO"))</f>
        <v/>
      </c>
      <c r="D259" s="18" t="str">
        <f aca="false">IF($A259="","",IFERROR(C259/B259,0))</f>
        <v/>
      </c>
      <c r="E259" s="17" t="str">
        <f aca="false">IF($A259="","",COUNTIFS(Orders!$C$2:$C$20001,$A259,Orders!$E$2:$E$20001,"Prepaid",Orders!$F$2:$F$20001,"Delivered")+COUNTIFS(Orders!$C$2:$C$20001,$A259,Orders!$E$2:$E$20001,"Prepaid",Orders!$F$2:$F$20001,"RTO"))</f>
        <v/>
      </c>
      <c r="F259" s="17" t="str">
        <f aca="false">IF($A259="","",COUNTIFS(Orders!$C$2:$C$20001,$A259,Orders!$E$2:$E$20001,"Prepaid",Orders!$F$2:$F$20001,"RTO"))</f>
        <v/>
      </c>
      <c r="G259" s="18" t="str">
        <f aca="false">IF($A259="","",IFERROR(F259/E259,0))</f>
        <v/>
      </c>
      <c r="H259" s="19" t="str">
        <f aca="false">IF($A259="","",C259*Settings!$B$11)</f>
        <v/>
      </c>
      <c r="I259" s="20" t="str">
        <f aca="false">IF($A259="","",IF(N(H259)=0,"",RANK(H259,$H$5:$H$2004)))</f>
        <v/>
      </c>
      <c r="J259" s="21" t="str">
        <f aca="false">IF($A259="","",IF(B259=0,"No COD orders",IF(B259&lt;Settings!$B$8,"Too few orders",IF(D259&gt;=Settings!$B$9,"Restrict COD or verify","Keep COD"))))</f>
        <v/>
      </c>
    </row>
    <row r="260" customFormat="false" ht="15" hidden="false" customHeight="false" outlineLevel="0" collapsed="false">
      <c r="A260" s="27"/>
      <c r="B260" s="17" t="str">
        <f aca="false">IF($A260="","",COUNTIFS(Orders!$C$2:$C$20001,$A260,Orders!$E$2:$E$20001,"COD",Orders!$F$2:$F$20001,"Delivered")+COUNTIFS(Orders!$C$2:$C$20001,$A260,Orders!$E$2:$E$20001,"COD",Orders!$F$2:$F$20001,"RTO"))</f>
        <v/>
      </c>
      <c r="C260" s="17" t="str">
        <f aca="false">IF($A260="","",COUNTIFS(Orders!$C$2:$C$20001,$A260,Orders!$E$2:$E$20001,"COD",Orders!$F$2:$F$20001,"RTO"))</f>
        <v/>
      </c>
      <c r="D260" s="18" t="str">
        <f aca="false">IF($A260="","",IFERROR(C260/B260,0))</f>
        <v/>
      </c>
      <c r="E260" s="17" t="str">
        <f aca="false">IF($A260="","",COUNTIFS(Orders!$C$2:$C$20001,$A260,Orders!$E$2:$E$20001,"Prepaid",Orders!$F$2:$F$20001,"Delivered")+COUNTIFS(Orders!$C$2:$C$20001,$A260,Orders!$E$2:$E$20001,"Prepaid",Orders!$F$2:$F$20001,"RTO"))</f>
        <v/>
      </c>
      <c r="F260" s="17" t="str">
        <f aca="false">IF($A260="","",COUNTIFS(Orders!$C$2:$C$20001,$A260,Orders!$E$2:$E$20001,"Prepaid",Orders!$F$2:$F$20001,"RTO"))</f>
        <v/>
      </c>
      <c r="G260" s="18" t="str">
        <f aca="false">IF($A260="","",IFERROR(F260/E260,0))</f>
        <v/>
      </c>
      <c r="H260" s="19" t="str">
        <f aca="false">IF($A260="","",C260*Settings!$B$11)</f>
        <v/>
      </c>
      <c r="I260" s="20" t="str">
        <f aca="false">IF($A260="","",IF(N(H260)=0,"",RANK(H260,$H$5:$H$2004)))</f>
        <v/>
      </c>
      <c r="J260" s="21" t="str">
        <f aca="false">IF($A260="","",IF(B260=0,"No COD orders",IF(B260&lt;Settings!$B$8,"Too few orders",IF(D260&gt;=Settings!$B$9,"Restrict COD or verify","Keep COD"))))</f>
        <v/>
      </c>
    </row>
    <row r="261" customFormat="false" ht="15" hidden="false" customHeight="false" outlineLevel="0" collapsed="false">
      <c r="A261" s="27"/>
      <c r="B261" s="17" t="str">
        <f aca="false">IF($A261="","",COUNTIFS(Orders!$C$2:$C$20001,$A261,Orders!$E$2:$E$20001,"COD",Orders!$F$2:$F$20001,"Delivered")+COUNTIFS(Orders!$C$2:$C$20001,$A261,Orders!$E$2:$E$20001,"COD",Orders!$F$2:$F$20001,"RTO"))</f>
        <v/>
      </c>
      <c r="C261" s="17" t="str">
        <f aca="false">IF($A261="","",COUNTIFS(Orders!$C$2:$C$20001,$A261,Orders!$E$2:$E$20001,"COD",Orders!$F$2:$F$20001,"RTO"))</f>
        <v/>
      </c>
      <c r="D261" s="18" t="str">
        <f aca="false">IF($A261="","",IFERROR(C261/B261,0))</f>
        <v/>
      </c>
      <c r="E261" s="17" t="str">
        <f aca="false">IF($A261="","",COUNTIFS(Orders!$C$2:$C$20001,$A261,Orders!$E$2:$E$20001,"Prepaid",Orders!$F$2:$F$20001,"Delivered")+COUNTIFS(Orders!$C$2:$C$20001,$A261,Orders!$E$2:$E$20001,"Prepaid",Orders!$F$2:$F$20001,"RTO"))</f>
        <v/>
      </c>
      <c r="F261" s="17" t="str">
        <f aca="false">IF($A261="","",COUNTIFS(Orders!$C$2:$C$20001,$A261,Orders!$E$2:$E$20001,"Prepaid",Orders!$F$2:$F$20001,"RTO"))</f>
        <v/>
      </c>
      <c r="G261" s="18" t="str">
        <f aca="false">IF($A261="","",IFERROR(F261/E261,0))</f>
        <v/>
      </c>
      <c r="H261" s="19" t="str">
        <f aca="false">IF($A261="","",C261*Settings!$B$11)</f>
        <v/>
      </c>
      <c r="I261" s="20" t="str">
        <f aca="false">IF($A261="","",IF(N(H261)=0,"",RANK(H261,$H$5:$H$2004)))</f>
        <v/>
      </c>
      <c r="J261" s="21" t="str">
        <f aca="false">IF($A261="","",IF(B261=0,"No COD orders",IF(B261&lt;Settings!$B$8,"Too few orders",IF(D261&gt;=Settings!$B$9,"Restrict COD or verify","Keep COD"))))</f>
        <v/>
      </c>
    </row>
    <row r="262" customFormat="false" ht="15" hidden="false" customHeight="false" outlineLevel="0" collapsed="false">
      <c r="A262" s="27"/>
      <c r="B262" s="17" t="str">
        <f aca="false">IF($A262="","",COUNTIFS(Orders!$C$2:$C$20001,$A262,Orders!$E$2:$E$20001,"COD",Orders!$F$2:$F$20001,"Delivered")+COUNTIFS(Orders!$C$2:$C$20001,$A262,Orders!$E$2:$E$20001,"COD",Orders!$F$2:$F$20001,"RTO"))</f>
        <v/>
      </c>
      <c r="C262" s="17" t="str">
        <f aca="false">IF($A262="","",COUNTIFS(Orders!$C$2:$C$20001,$A262,Orders!$E$2:$E$20001,"COD",Orders!$F$2:$F$20001,"RTO"))</f>
        <v/>
      </c>
      <c r="D262" s="18" t="str">
        <f aca="false">IF($A262="","",IFERROR(C262/B262,0))</f>
        <v/>
      </c>
      <c r="E262" s="17" t="str">
        <f aca="false">IF($A262="","",COUNTIFS(Orders!$C$2:$C$20001,$A262,Orders!$E$2:$E$20001,"Prepaid",Orders!$F$2:$F$20001,"Delivered")+COUNTIFS(Orders!$C$2:$C$20001,$A262,Orders!$E$2:$E$20001,"Prepaid",Orders!$F$2:$F$20001,"RTO"))</f>
        <v/>
      </c>
      <c r="F262" s="17" t="str">
        <f aca="false">IF($A262="","",COUNTIFS(Orders!$C$2:$C$20001,$A262,Orders!$E$2:$E$20001,"Prepaid",Orders!$F$2:$F$20001,"RTO"))</f>
        <v/>
      </c>
      <c r="G262" s="18" t="str">
        <f aca="false">IF($A262="","",IFERROR(F262/E262,0))</f>
        <v/>
      </c>
      <c r="H262" s="19" t="str">
        <f aca="false">IF($A262="","",C262*Settings!$B$11)</f>
        <v/>
      </c>
      <c r="I262" s="20" t="str">
        <f aca="false">IF($A262="","",IF(N(H262)=0,"",RANK(H262,$H$5:$H$2004)))</f>
        <v/>
      </c>
      <c r="J262" s="21" t="str">
        <f aca="false">IF($A262="","",IF(B262=0,"No COD orders",IF(B262&lt;Settings!$B$8,"Too few orders",IF(D262&gt;=Settings!$B$9,"Restrict COD or verify","Keep COD"))))</f>
        <v/>
      </c>
    </row>
    <row r="263" customFormat="false" ht="15" hidden="false" customHeight="false" outlineLevel="0" collapsed="false">
      <c r="A263" s="27"/>
      <c r="B263" s="17" t="str">
        <f aca="false">IF($A263="","",COUNTIFS(Orders!$C$2:$C$20001,$A263,Orders!$E$2:$E$20001,"COD",Orders!$F$2:$F$20001,"Delivered")+COUNTIFS(Orders!$C$2:$C$20001,$A263,Orders!$E$2:$E$20001,"COD",Orders!$F$2:$F$20001,"RTO"))</f>
        <v/>
      </c>
      <c r="C263" s="17" t="str">
        <f aca="false">IF($A263="","",COUNTIFS(Orders!$C$2:$C$20001,$A263,Orders!$E$2:$E$20001,"COD",Orders!$F$2:$F$20001,"RTO"))</f>
        <v/>
      </c>
      <c r="D263" s="18" t="str">
        <f aca="false">IF($A263="","",IFERROR(C263/B263,0))</f>
        <v/>
      </c>
      <c r="E263" s="17" t="str">
        <f aca="false">IF($A263="","",COUNTIFS(Orders!$C$2:$C$20001,$A263,Orders!$E$2:$E$20001,"Prepaid",Orders!$F$2:$F$20001,"Delivered")+COUNTIFS(Orders!$C$2:$C$20001,$A263,Orders!$E$2:$E$20001,"Prepaid",Orders!$F$2:$F$20001,"RTO"))</f>
        <v/>
      </c>
      <c r="F263" s="17" t="str">
        <f aca="false">IF($A263="","",COUNTIFS(Orders!$C$2:$C$20001,$A263,Orders!$E$2:$E$20001,"Prepaid",Orders!$F$2:$F$20001,"RTO"))</f>
        <v/>
      </c>
      <c r="G263" s="18" t="str">
        <f aca="false">IF($A263="","",IFERROR(F263/E263,0))</f>
        <v/>
      </c>
      <c r="H263" s="19" t="str">
        <f aca="false">IF($A263="","",C263*Settings!$B$11)</f>
        <v/>
      </c>
      <c r="I263" s="20" t="str">
        <f aca="false">IF($A263="","",IF(N(H263)=0,"",RANK(H263,$H$5:$H$2004)))</f>
        <v/>
      </c>
      <c r="J263" s="21" t="str">
        <f aca="false">IF($A263="","",IF(B263=0,"No COD orders",IF(B263&lt;Settings!$B$8,"Too few orders",IF(D263&gt;=Settings!$B$9,"Restrict COD or verify","Keep COD"))))</f>
        <v/>
      </c>
    </row>
    <row r="264" customFormat="false" ht="15" hidden="false" customHeight="false" outlineLevel="0" collapsed="false">
      <c r="A264" s="27"/>
      <c r="B264" s="17" t="str">
        <f aca="false">IF($A264="","",COUNTIFS(Orders!$C$2:$C$20001,$A264,Orders!$E$2:$E$20001,"COD",Orders!$F$2:$F$20001,"Delivered")+COUNTIFS(Orders!$C$2:$C$20001,$A264,Orders!$E$2:$E$20001,"COD",Orders!$F$2:$F$20001,"RTO"))</f>
        <v/>
      </c>
      <c r="C264" s="17" t="str">
        <f aca="false">IF($A264="","",COUNTIFS(Orders!$C$2:$C$20001,$A264,Orders!$E$2:$E$20001,"COD",Orders!$F$2:$F$20001,"RTO"))</f>
        <v/>
      </c>
      <c r="D264" s="18" t="str">
        <f aca="false">IF($A264="","",IFERROR(C264/B264,0))</f>
        <v/>
      </c>
      <c r="E264" s="17" t="str">
        <f aca="false">IF($A264="","",COUNTIFS(Orders!$C$2:$C$20001,$A264,Orders!$E$2:$E$20001,"Prepaid",Orders!$F$2:$F$20001,"Delivered")+COUNTIFS(Orders!$C$2:$C$20001,$A264,Orders!$E$2:$E$20001,"Prepaid",Orders!$F$2:$F$20001,"RTO"))</f>
        <v/>
      </c>
      <c r="F264" s="17" t="str">
        <f aca="false">IF($A264="","",COUNTIFS(Orders!$C$2:$C$20001,$A264,Orders!$E$2:$E$20001,"Prepaid",Orders!$F$2:$F$20001,"RTO"))</f>
        <v/>
      </c>
      <c r="G264" s="18" t="str">
        <f aca="false">IF($A264="","",IFERROR(F264/E264,0))</f>
        <v/>
      </c>
      <c r="H264" s="19" t="str">
        <f aca="false">IF($A264="","",C264*Settings!$B$11)</f>
        <v/>
      </c>
      <c r="I264" s="20" t="str">
        <f aca="false">IF($A264="","",IF(N(H264)=0,"",RANK(H264,$H$5:$H$2004)))</f>
        <v/>
      </c>
      <c r="J264" s="21" t="str">
        <f aca="false">IF($A264="","",IF(B264=0,"No COD orders",IF(B264&lt;Settings!$B$8,"Too few orders",IF(D264&gt;=Settings!$B$9,"Restrict COD or verify","Keep COD"))))</f>
        <v/>
      </c>
    </row>
    <row r="265" customFormat="false" ht="15" hidden="false" customHeight="false" outlineLevel="0" collapsed="false">
      <c r="A265" s="27"/>
      <c r="B265" s="17" t="str">
        <f aca="false">IF($A265="","",COUNTIFS(Orders!$C$2:$C$20001,$A265,Orders!$E$2:$E$20001,"COD",Orders!$F$2:$F$20001,"Delivered")+COUNTIFS(Orders!$C$2:$C$20001,$A265,Orders!$E$2:$E$20001,"COD",Orders!$F$2:$F$20001,"RTO"))</f>
        <v/>
      </c>
      <c r="C265" s="17" t="str">
        <f aca="false">IF($A265="","",COUNTIFS(Orders!$C$2:$C$20001,$A265,Orders!$E$2:$E$20001,"COD",Orders!$F$2:$F$20001,"RTO"))</f>
        <v/>
      </c>
      <c r="D265" s="18" t="str">
        <f aca="false">IF($A265="","",IFERROR(C265/B265,0))</f>
        <v/>
      </c>
      <c r="E265" s="17" t="str">
        <f aca="false">IF($A265="","",COUNTIFS(Orders!$C$2:$C$20001,$A265,Orders!$E$2:$E$20001,"Prepaid",Orders!$F$2:$F$20001,"Delivered")+COUNTIFS(Orders!$C$2:$C$20001,$A265,Orders!$E$2:$E$20001,"Prepaid",Orders!$F$2:$F$20001,"RTO"))</f>
        <v/>
      </c>
      <c r="F265" s="17" t="str">
        <f aca="false">IF($A265="","",COUNTIFS(Orders!$C$2:$C$20001,$A265,Orders!$E$2:$E$20001,"Prepaid",Orders!$F$2:$F$20001,"RTO"))</f>
        <v/>
      </c>
      <c r="G265" s="18" t="str">
        <f aca="false">IF($A265="","",IFERROR(F265/E265,0))</f>
        <v/>
      </c>
      <c r="H265" s="19" t="str">
        <f aca="false">IF($A265="","",C265*Settings!$B$11)</f>
        <v/>
      </c>
      <c r="I265" s="20" t="str">
        <f aca="false">IF($A265="","",IF(N(H265)=0,"",RANK(H265,$H$5:$H$2004)))</f>
        <v/>
      </c>
      <c r="J265" s="21" t="str">
        <f aca="false">IF($A265="","",IF(B265=0,"No COD orders",IF(B265&lt;Settings!$B$8,"Too few orders",IF(D265&gt;=Settings!$B$9,"Restrict COD or verify","Keep COD"))))</f>
        <v/>
      </c>
    </row>
    <row r="266" customFormat="false" ht="15" hidden="false" customHeight="false" outlineLevel="0" collapsed="false">
      <c r="A266" s="27"/>
      <c r="B266" s="17" t="str">
        <f aca="false">IF($A266="","",COUNTIFS(Orders!$C$2:$C$20001,$A266,Orders!$E$2:$E$20001,"COD",Orders!$F$2:$F$20001,"Delivered")+COUNTIFS(Orders!$C$2:$C$20001,$A266,Orders!$E$2:$E$20001,"COD",Orders!$F$2:$F$20001,"RTO"))</f>
        <v/>
      </c>
      <c r="C266" s="17" t="str">
        <f aca="false">IF($A266="","",COUNTIFS(Orders!$C$2:$C$20001,$A266,Orders!$E$2:$E$20001,"COD",Orders!$F$2:$F$20001,"RTO"))</f>
        <v/>
      </c>
      <c r="D266" s="18" t="str">
        <f aca="false">IF($A266="","",IFERROR(C266/B266,0))</f>
        <v/>
      </c>
      <c r="E266" s="17" t="str">
        <f aca="false">IF($A266="","",COUNTIFS(Orders!$C$2:$C$20001,$A266,Orders!$E$2:$E$20001,"Prepaid",Orders!$F$2:$F$20001,"Delivered")+COUNTIFS(Orders!$C$2:$C$20001,$A266,Orders!$E$2:$E$20001,"Prepaid",Orders!$F$2:$F$20001,"RTO"))</f>
        <v/>
      </c>
      <c r="F266" s="17" t="str">
        <f aca="false">IF($A266="","",COUNTIFS(Orders!$C$2:$C$20001,$A266,Orders!$E$2:$E$20001,"Prepaid",Orders!$F$2:$F$20001,"RTO"))</f>
        <v/>
      </c>
      <c r="G266" s="18" t="str">
        <f aca="false">IF($A266="","",IFERROR(F266/E266,0))</f>
        <v/>
      </c>
      <c r="H266" s="19" t="str">
        <f aca="false">IF($A266="","",C266*Settings!$B$11)</f>
        <v/>
      </c>
      <c r="I266" s="20" t="str">
        <f aca="false">IF($A266="","",IF(N(H266)=0,"",RANK(H266,$H$5:$H$2004)))</f>
        <v/>
      </c>
      <c r="J266" s="21" t="str">
        <f aca="false">IF($A266="","",IF(B266=0,"No COD orders",IF(B266&lt;Settings!$B$8,"Too few orders",IF(D266&gt;=Settings!$B$9,"Restrict COD or verify","Keep COD"))))</f>
        <v/>
      </c>
    </row>
    <row r="267" customFormat="false" ht="15" hidden="false" customHeight="false" outlineLevel="0" collapsed="false">
      <c r="A267" s="27"/>
      <c r="B267" s="17" t="str">
        <f aca="false">IF($A267="","",COUNTIFS(Orders!$C$2:$C$20001,$A267,Orders!$E$2:$E$20001,"COD",Orders!$F$2:$F$20001,"Delivered")+COUNTIFS(Orders!$C$2:$C$20001,$A267,Orders!$E$2:$E$20001,"COD",Orders!$F$2:$F$20001,"RTO"))</f>
        <v/>
      </c>
      <c r="C267" s="17" t="str">
        <f aca="false">IF($A267="","",COUNTIFS(Orders!$C$2:$C$20001,$A267,Orders!$E$2:$E$20001,"COD",Orders!$F$2:$F$20001,"RTO"))</f>
        <v/>
      </c>
      <c r="D267" s="18" t="str">
        <f aca="false">IF($A267="","",IFERROR(C267/B267,0))</f>
        <v/>
      </c>
      <c r="E267" s="17" t="str">
        <f aca="false">IF($A267="","",COUNTIFS(Orders!$C$2:$C$20001,$A267,Orders!$E$2:$E$20001,"Prepaid",Orders!$F$2:$F$20001,"Delivered")+COUNTIFS(Orders!$C$2:$C$20001,$A267,Orders!$E$2:$E$20001,"Prepaid",Orders!$F$2:$F$20001,"RTO"))</f>
        <v/>
      </c>
      <c r="F267" s="17" t="str">
        <f aca="false">IF($A267="","",COUNTIFS(Orders!$C$2:$C$20001,$A267,Orders!$E$2:$E$20001,"Prepaid",Orders!$F$2:$F$20001,"RTO"))</f>
        <v/>
      </c>
      <c r="G267" s="18" t="str">
        <f aca="false">IF($A267="","",IFERROR(F267/E267,0))</f>
        <v/>
      </c>
      <c r="H267" s="19" t="str">
        <f aca="false">IF($A267="","",C267*Settings!$B$11)</f>
        <v/>
      </c>
      <c r="I267" s="20" t="str">
        <f aca="false">IF($A267="","",IF(N(H267)=0,"",RANK(H267,$H$5:$H$2004)))</f>
        <v/>
      </c>
      <c r="J267" s="21" t="str">
        <f aca="false">IF($A267="","",IF(B267=0,"No COD orders",IF(B267&lt;Settings!$B$8,"Too few orders",IF(D267&gt;=Settings!$B$9,"Restrict COD or verify","Keep COD"))))</f>
        <v/>
      </c>
    </row>
    <row r="268" customFormat="false" ht="15" hidden="false" customHeight="false" outlineLevel="0" collapsed="false">
      <c r="A268" s="27"/>
      <c r="B268" s="17" t="str">
        <f aca="false">IF($A268="","",COUNTIFS(Orders!$C$2:$C$20001,$A268,Orders!$E$2:$E$20001,"COD",Orders!$F$2:$F$20001,"Delivered")+COUNTIFS(Orders!$C$2:$C$20001,$A268,Orders!$E$2:$E$20001,"COD",Orders!$F$2:$F$20001,"RTO"))</f>
        <v/>
      </c>
      <c r="C268" s="17" t="str">
        <f aca="false">IF($A268="","",COUNTIFS(Orders!$C$2:$C$20001,$A268,Orders!$E$2:$E$20001,"COD",Orders!$F$2:$F$20001,"RTO"))</f>
        <v/>
      </c>
      <c r="D268" s="18" t="str">
        <f aca="false">IF($A268="","",IFERROR(C268/B268,0))</f>
        <v/>
      </c>
      <c r="E268" s="17" t="str">
        <f aca="false">IF($A268="","",COUNTIFS(Orders!$C$2:$C$20001,$A268,Orders!$E$2:$E$20001,"Prepaid",Orders!$F$2:$F$20001,"Delivered")+COUNTIFS(Orders!$C$2:$C$20001,$A268,Orders!$E$2:$E$20001,"Prepaid",Orders!$F$2:$F$20001,"RTO"))</f>
        <v/>
      </c>
      <c r="F268" s="17" t="str">
        <f aca="false">IF($A268="","",COUNTIFS(Orders!$C$2:$C$20001,$A268,Orders!$E$2:$E$20001,"Prepaid",Orders!$F$2:$F$20001,"RTO"))</f>
        <v/>
      </c>
      <c r="G268" s="18" t="str">
        <f aca="false">IF($A268="","",IFERROR(F268/E268,0))</f>
        <v/>
      </c>
      <c r="H268" s="19" t="str">
        <f aca="false">IF($A268="","",C268*Settings!$B$11)</f>
        <v/>
      </c>
      <c r="I268" s="20" t="str">
        <f aca="false">IF($A268="","",IF(N(H268)=0,"",RANK(H268,$H$5:$H$2004)))</f>
        <v/>
      </c>
      <c r="J268" s="21" t="str">
        <f aca="false">IF($A268="","",IF(B268=0,"No COD orders",IF(B268&lt;Settings!$B$8,"Too few orders",IF(D268&gt;=Settings!$B$9,"Restrict COD or verify","Keep COD"))))</f>
        <v/>
      </c>
    </row>
    <row r="269" customFormat="false" ht="15" hidden="false" customHeight="false" outlineLevel="0" collapsed="false">
      <c r="A269" s="27"/>
      <c r="B269" s="17" t="str">
        <f aca="false">IF($A269="","",COUNTIFS(Orders!$C$2:$C$20001,$A269,Orders!$E$2:$E$20001,"COD",Orders!$F$2:$F$20001,"Delivered")+COUNTIFS(Orders!$C$2:$C$20001,$A269,Orders!$E$2:$E$20001,"COD",Orders!$F$2:$F$20001,"RTO"))</f>
        <v/>
      </c>
      <c r="C269" s="17" t="str">
        <f aca="false">IF($A269="","",COUNTIFS(Orders!$C$2:$C$20001,$A269,Orders!$E$2:$E$20001,"COD",Orders!$F$2:$F$20001,"RTO"))</f>
        <v/>
      </c>
      <c r="D269" s="18" t="str">
        <f aca="false">IF($A269="","",IFERROR(C269/B269,0))</f>
        <v/>
      </c>
      <c r="E269" s="17" t="str">
        <f aca="false">IF($A269="","",COUNTIFS(Orders!$C$2:$C$20001,$A269,Orders!$E$2:$E$20001,"Prepaid",Orders!$F$2:$F$20001,"Delivered")+COUNTIFS(Orders!$C$2:$C$20001,$A269,Orders!$E$2:$E$20001,"Prepaid",Orders!$F$2:$F$20001,"RTO"))</f>
        <v/>
      </c>
      <c r="F269" s="17" t="str">
        <f aca="false">IF($A269="","",COUNTIFS(Orders!$C$2:$C$20001,$A269,Orders!$E$2:$E$20001,"Prepaid",Orders!$F$2:$F$20001,"RTO"))</f>
        <v/>
      </c>
      <c r="G269" s="18" t="str">
        <f aca="false">IF($A269="","",IFERROR(F269/E269,0))</f>
        <v/>
      </c>
      <c r="H269" s="19" t="str">
        <f aca="false">IF($A269="","",C269*Settings!$B$11)</f>
        <v/>
      </c>
      <c r="I269" s="20" t="str">
        <f aca="false">IF($A269="","",IF(N(H269)=0,"",RANK(H269,$H$5:$H$2004)))</f>
        <v/>
      </c>
      <c r="J269" s="21" t="str">
        <f aca="false">IF($A269="","",IF(B269=0,"No COD orders",IF(B269&lt;Settings!$B$8,"Too few orders",IF(D269&gt;=Settings!$B$9,"Restrict COD or verify","Keep COD"))))</f>
        <v/>
      </c>
    </row>
    <row r="270" customFormat="false" ht="15" hidden="false" customHeight="false" outlineLevel="0" collapsed="false">
      <c r="A270" s="27"/>
      <c r="B270" s="17" t="str">
        <f aca="false">IF($A270="","",COUNTIFS(Orders!$C$2:$C$20001,$A270,Orders!$E$2:$E$20001,"COD",Orders!$F$2:$F$20001,"Delivered")+COUNTIFS(Orders!$C$2:$C$20001,$A270,Orders!$E$2:$E$20001,"COD",Orders!$F$2:$F$20001,"RTO"))</f>
        <v/>
      </c>
      <c r="C270" s="17" t="str">
        <f aca="false">IF($A270="","",COUNTIFS(Orders!$C$2:$C$20001,$A270,Orders!$E$2:$E$20001,"COD",Orders!$F$2:$F$20001,"RTO"))</f>
        <v/>
      </c>
      <c r="D270" s="18" t="str">
        <f aca="false">IF($A270="","",IFERROR(C270/B270,0))</f>
        <v/>
      </c>
      <c r="E270" s="17" t="str">
        <f aca="false">IF($A270="","",COUNTIFS(Orders!$C$2:$C$20001,$A270,Orders!$E$2:$E$20001,"Prepaid",Orders!$F$2:$F$20001,"Delivered")+COUNTIFS(Orders!$C$2:$C$20001,$A270,Orders!$E$2:$E$20001,"Prepaid",Orders!$F$2:$F$20001,"RTO"))</f>
        <v/>
      </c>
      <c r="F270" s="17" t="str">
        <f aca="false">IF($A270="","",COUNTIFS(Orders!$C$2:$C$20001,$A270,Orders!$E$2:$E$20001,"Prepaid",Orders!$F$2:$F$20001,"RTO"))</f>
        <v/>
      </c>
      <c r="G270" s="18" t="str">
        <f aca="false">IF($A270="","",IFERROR(F270/E270,0))</f>
        <v/>
      </c>
      <c r="H270" s="19" t="str">
        <f aca="false">IF($A270="","",C270*Settings!$B$11)</f>
        <v/>
      </c>
      <c r="I270" s="20" t="str">
        <f aca="false">IF($A270="","",IF(N(H270)=0,"",RANK(H270,$H$5:$H$2004)))</f>
        <v/>
      </c>
      <c r="J270" s="21" t="str">
        <f aca="false">IF($A270="","",IF(B270=0,"No COD orders",IF(B270&lt;Settings!$B$8,"Too few orders",IF(D270&gt;=Settings!$B$9,"Restrict COD or verify","Keep COD"))))</f>
        <v/>
      </c>
    </row>
    <row r="271" customFormat="false" ht="15" hidden="false" customHeight="false" outlineLevel="0" collapsed="false">
      <c r="A271" s="27"/>
      <c r="B271" s="17" t="str">
        <f aca="false">IF($A271="","",COUNTIFS(Orders!$C$2:$C$20001,$A271,Orders!$E$2:$E$20001,"COD",Orders!$F$2:$F$20001,"Delivered")+COUNTIFS(Orders!$C$2:$C$20001,$A271,Orders!$E$2:$E$20001,"COD",Orders!$F$2:$F$20001,"RTO"))</f>
        <v/>
      </c>
      <c r="C271" s="17" t="str">
        <f aca="false">IF($A271="","",COUNTIFS(Orders!$C$2:$C$20001,$A271,Orders!$E$2:$E$20001,"COD",Orders!$F$2:$F$20001,"RTO"))</f>
        <v/>
      </c>
      <c r="D271" s="18" t="str">
        <f aca="false">IF($A271="","",IFERROR(C271/B271,0))</f>
        <v/>
      </c>
      <c r="E271" s="17" t="str">
        <f aca="false">IF($A271="","",COUNTIFS(Orders!$C$2:$C$20001,$A271,Orders!$E$2:$E$20001,"Prepaid",Orders!$F$2:$F$20001,"Delivered")+COUNTIFS(Orders!$C$2:$C$20001,$A271,Orders!$E$2:$E$20001,"Prepaid",Orders!$F$2:$F$20001,"RTO"))</f>
        <v/>
      </c>
      <c r="F271" s="17" t="str">
        <f aca="false">IF($A271="","",COUNTIFS(Orders!$C$2:$C$20001,$A271,Orders!$E$2:$E$20001,"Prepaid",Orders!$F$2:$F$20001,"RTO"))</f>
        <v/>
      </c>
      <c r="G271" s="18" t="str">
        <f aca="false">IF($A271="","",IFERROR(F271/E271,0))</f>
        <v/>
      </c>
      <c r="H271" s="19" t="str">
        <f aca="false">IF($A271="","",C271*Settings!$B$11)</f>
        <v/>
      </c>
      <c r="I271" s="20" t="str">
        <f aca="false">IF($A271="","",IF(N(H271)=0,"",RANK(H271,$H$5:$H$2004)))</f>
        <v/>
      </c>
      <c r="J271" s="21" t="str">
        <f aca="false">IF($A271="","",IF(B271=0,"No COD orders",IF(B271&lt;Settings!$B$8,"Too few orders",IF(D271&gt;=Settings!$B$9,"Restrict COD or verify","Keep COD"))))</f>
        <v/>
      </c>
    </row>
    <row r="272" customFormat="false" ht="15" hidden="false" customHeight="false" outlineLevel="0" collapsed="false">
      <c r="A272" s="27"/>
      <c r="B272" s="17" t="str">
        <f aca="false">IF($A272="","",COUNTIFS(Orders!$C$2:$C$20001,$A272,Orders!$E$2:$E$20001,"COD",Orders!$F$2:$F$20001,"Delivered")+COUNTIFS(Orders!$C$2:$C$20001,$A272,Orders!$E$2:$E$20001,"COD",Orders!$F$2:$F$20001,"RTO"))</f>
        <v/>
      </c>
      <c r="C272" s="17" t="str">
        <f aca="false">IF($A272="","",COUNTIFS(Orders!$C$2:$C$20001,$A272,Orders!$E$2:$E$20001,"COD",Orders!$F$2:$F$20001,"RTO"))</f>
        <v/>
      </c>
      <c r="D272" s="18" t="str">
        <f aca="false">IF($A272="","",IFERROR(C272/B272,0))</f>
        <v/>
      </c>
      <c r="E272" s="17" t="str">
        <f aca="false">IF($A272="","",COUNTIFS(Orders!$C$2:$C$20001,$A272,Orders!$E$2:$E$20001,"Prepaid",Orders!$F$2:$F$20001,"Delivered")+COUNTIFS(Orders!$C$2:$C$20001,$A272,Orders!$E$2:$E$20001,"Prepaid",Orders!$F$2:$F$20001,"RTO"))</f>
        <v/>
      </c>
      <c r="F272" s="17" t="str">
        <f aca="false">IF($A272="","",COUNTIFS(Orders!$C$2:$C$20001,$A272,Orders!$E$2:$E$20001,"Prepaid",Orders!$F$2:$F$20001,"RTO"))</f>
        <v/>
      </c>
      <c r="G272" s="18" t="str">
        <f aca="false">IF($A272="","",IFERROR(F272/E272,0))</f>
        <v/>
      </c>
      <c r="H272" s="19" t="str">
        <f aca="false">IF($A272="","",C272*Settings!$B$11)</f>
        <v/>
      </c>
      <c r="I272" s="20" t="str">
        <f aca="false">IF($A272="","",IF(N(H272)=0,"",RANK(H272,$H$5:$H$2004)))</f>
        <v/>
      </c>
      <c r="J272" s="21" t="str">
        <f aca="false">IF($A272="","",IF(B272=0,"No COD orders",IF(B272&lt;Settings!$B$8,"Too few orders",IF(D272&gt;=Settings!$B$9,"Restrict COD or verify","Keep COD"))))</f>
        <v/>
      </c>
    </row>
    <row r="273" customFormat="false" ht="15" hidden="false" customHeight="false" outlineLevel="0" collapsed="false">
      <c r="A273" s="27"/>
      <c r="B273" s="17" t="str">
        <f aca="false">IF($A273="","",COUNTIFS(Orders!$C$2:$C$20001,$A273,Orders!$E$2:$E$20001,"COD",Orders!$F$2:$F$20001,"Delivered")+COUNTIFS(Orders!$C$2:$C$20001,$A273,Orders!$E$2:$E$20001,"COD",Orders!$F$2:$F$20001,"RTO"))</f>
        <v/>
      </c>
      <c r="C273" s="17" t="str">
        <f aca="false">IF($A273="","",COUNTIFS(Orders!$C$2:$C$20001,$A273,Orders!$E$2:$E$20001,"COD",Orders!$F$2:$F$20001,"RTO"))</f>
        <v/>
      </c>
      <c r="D273" s="18" t="str">
        <f aca="false">IF($A273="","",IFERROR(C273/B273,0))</f>
        <v/>
      </c>
      <c r="E273" s="17" t="str">
        <f aca="false">IF($A273="","",COUNTIFS(Orders!$C$2:$C$20001,$A273,Orders!$E$2:$E$20001,"Prepaid",Orders!$F$2:$F$20001,"Delivered")+COUNTIFS(Orders!$C$2:$C$20001,$A273,Orders!$E$2:$E$20001,"Prepaid",Orders!$F$2:$F$20001,"RTO"))</f>
        <v/>
      </c>
      <c r="F273" s="17" t="str">
        <f aca="false">IF($A273="","",COUNTIFS(Orders!$C$2:$C$20001,$A273,Orders!$E$2:$E$20001,"Prepaid",Orders!$F$2:$F$20001,"RTO"))</f>
        <v/>
      </c>
      <c r="G273" s="18" t="str">
        <f aca="false">IF($A273="","",IFERROR(F273/E273,0))</f>
        <v/>
      </c>
      <c r="H273" s="19" t="str">
        <f aca="false">IF($A273="","",C273*Settings!$B$11)</f>
        <v/>
      </c>
      <c r="I273" s="20" t="str">
        <f aca="false">IF($A273="","",IF(N(H273)=0,"",RANK(H273,$H$5:$H$2004)))</f>
        <v/>
      </c>
      <c r="J273" s="21" t="str">
        <f aca="false">IF($A273="","",IF(B273=0,"No COD orders",IF(B273&lt;Settings!$B$8,"Too few orders",IF(D273&gt;=Settings!$B$9,"Restrict COD or verify","Keep COD"))))</f>
        <v/>
      </c>
    </row>
    <row r="274" customFormat="false" ht="15" hidden="false" customHeight="false" outlineLevel="0" collapsed="false">
      <c r="A274" s="27"/>
      <c r="B274" s="17" t="str">
        <f aca="false">IF($A274="","",COUNTIFS(Orders!$C$2:$C$20001,$A274,Orders!$E$2:$E$20001,"COD",Orders!$F$2:$F$20001,"Delivered")+COUNTIFS(Orders!$C$2:$C$20001,$A274,Orders!$E$2:$E$20001,"COD",Orders!$F$2:$F$20001,"RTO"))</f>
        <v/>
      </c>
      <c r="C274" s="17" t="str">
        <f aca="false">IF($A274="","",COUNTIFS(Orders!$C$2:$C$20001,$A274,Orders!$E$2:$E$20001,"COD",Orders!$F$2:$F$20001,"RTO"))</f>
        <v/>
      </c>
      <c r="D274" s="18" t="str">
        <f aca="false">IF($A274="","",IFERROR(C274/B274,0))</f>
        <v/>
      </c>
      <c r="E274" s="17" t="str">
        <f aca="false">IF($A274="","",COUNTIFS(Orders!$C$2:$C$20001,$A274,Orders!$E$2:$E$20001,"Prepaid",Orders!$F$2:$F$20001,"Delivered")+COUNTIFS(Orders!$C$2:$C$20001,$A274,Orders!$E$2:$E$20001,"Prepaid",Orders!$F$2:$F$20001,"RTO"))</f>
        <v/>
      </c>
      <c r="F274" s="17" t="str">
        <f aca="false">IF($A274="","",COUNTIFS(Orders!$C$2:$C$20001,$A274,Orders!$E$2:$E$20001,"Prepaid",Orders!$F$2:$F$20001,"RTO"))</f>
        <v/>
      </c>
      <c r="G274" s="18" t="str">
        <f aca="false">IF($A274="","",IFERROR(F274/E274,0))</f>
        <v/>
      </c>
      <c r="H274" s="19" t="str">
        <f aca="false">IF($A274="","",C274*Settings!$B$11)</f>
        <v/>
      </c>
      <c r="I274" s="20" t="str">
        <f aca="false">IF($A274="","",IF(N(H274)=0,"",RANK(H274,$H$5:$H$2004)))</f>
        <v/>
      </c>
      <c r="J274" s="21" t="str">
        <f aca="false">IF($A274="","",IF(B274=0,"No COD orders",IF(B274&lt;Settings!$B$8,"Too few orders",IF(D274&gt;=Settings!$B$9,"Restrict COD or verify","Keep COD"))))</f>
        <v/>
      </c>
    </row>
    <row r="275" customFormat="false" ht="15" hidden="false" customHeight="false" outlineLevel="0" collapsed="false">
      <c r="A275" s="27"/>
      <c r="B275" s="17" t="str">
        <f aca="false">IF($A275="","",COUNTIFS(Orders!$C$2:$C$20001,$A275,Orders!$E$2:$E$20001,"COD",Orders!$F$2:$F$20001,"Delivered")+COUNTIFS(Orders!$C$2:$C$20001,$A275,Orders!$E$2:$E$20001,"COD",Orders!$F$2:$F$20001,"RTO"))</f>
        <v/>
      </c>
      <c r="C275" s="17" t="str">
        <f aca="false">IF($A275="","",COUNTIFS(Orders!$C$2:$C$20001,$A275,Orders!$E$2:$E$20001,"COD",Orders!$F$2:$F$20001,"RTO"))</f>
        <v/>
      </c>
      <c r="D275" s="18" t="str">
        <f aca="false">IF($A275="","",IFERROR(C275/B275,0))</f>
        <v/>
      </c>
      <c r="E275" s="17" t="str">
        <f aca="false">IF($A275="","",COUNTIFS(Orders!$C$2:$C$20001,$A275,Orders!$E$2:$E$20001,"Prepaid",Orders!$F$2:$F$20001,"Delivered")+COUNTIFS(Orders!$C$2:$C$20001,$A275,Orders!$E$2:$E$20001,"Prepaid",Orders!$F$2:$F$20001,"RTO"))</f>
        <v/>
      </c>
      <c r="F275" s="17" t="str">
        <f aca="false">IF($A275="","",COUNTIFS(Orders!$C$2:$C$20001,$A275,Orders!$E$2:$E$20001,"Prepaid",Orders!$F$2:$F$20001,"RTO"))</f>
        <v/>
      </c>
      <c r="G275" s="18" t="str">
        <f aca="false">IF($A275="","",IFERROR(F275/E275,0))</f>
        <v/>
      </c>
      <c r="H275" s="19" t="str">
        <f aca="false">IF($A275="","",C275*Settings!$B$11)</f>
        <v/>
      </c>
      <c r="I275" s="20" t="str">
        <f aca="false">IF($A275="","",IF(N(H275)=0,"",RANK(H275,$H$5:$H$2004)))</f>
        <v/>
      </c>
      <c r="J275" s="21" t="str">
        <f aca="false">IF($A275="","",IF(B275=0,"No COD orders",IF(B275&lt;Settings!$B$8,"Too few orders",IF(D275&gt;=Settings!$B$9,"Restrict COD or verify","Keep COD"))))</f>
        <v/>
      </c>
    </row>
    <row r="276" customFormat="false" ht="15" hidden="false" customHeight="false" outlineLevel="0" collapsed="false">
      <c r="A276" s="27"/>
      <c r="B276" s="17" t="str">
        <f aca="false">IF($A276="","",COUNTIFS(Orders!$C$2:$C$20001,$A276,Orders!$E$2:$E$20001,"COD",Orders!$F$2:$F$20001,"Delivered")+COUNTIFS(Orders!$C$2:$C$20001,$A276,Orders!$E$2:$E$20001,"COD",Orders!$F$2:$F$20001,"RTO"))</f>
        <v/>
      </c>
      <c r="C276" s="17" t="str">
        <f aca="false">IF($A276="","",COUNTIFS(Orders!$C$2:$C$20001,$A276,Orders!$E$2:$E$20001,"COD",Orders!$F$2:$F$20001,"RTO"))</f>
        <v/>
      </c>
      <c r="D276" s="18" t="str">
        <f aca="false">IF($A276="","",IFERROR(C276/B276,0))</f>
        <v/>
      </c>
      <c r="E276" s="17" t="str">
        <f aca="false">IF($A276="","",COUNTIFS(Orders!$C$2:$C$20001,$A276,Orders!$E$2:$E$20001,"Prepaid",Orders!$F$2:$F$20001,"Delivered")+COUNTIFS(Orders!$C$2:$C$20001,$A276,Orders!$E$2:$E$20001,"Prepaid",Orders!$F$2:$F$20001,"RTO"))</f>
        <v/>
      </c>
      <c r="F276" s="17" t="str">
        <f aca="false">IF($A276="","",COUNTIFS(Orders!$C$2:$C$20001,$A276,Orders!$E$2:$E$20001,"Prepaid",Orders!$F$2:$F$20001,"RTO"))</f>
        <v/>
      </c>
      <c r="G276" s="18" t="str">
        <f aca="false">IF($A276="","",IFERROR(F276/E276,0))</f>
        <v/>
      </c>
      <c r="H276" s="19" t="str">
        <f aca="false">IF($A276="","",C276*Settings!$B$11)</f>
        <v/>
      </c>
      <c r="I276" s="20" t="str">
        <f aca="false">IF($A276="","",IF(N(H276)=0,"",RANK(H276,$H$5:$H$2004)))</f>
        <v/>
      </c>
      <c r="J276" s="21" t="str">
        <f aca="false">IF($A276="","",IF(B276=0,"No COD orders",IF(B276&lt;Settings!$B$8,"Too few orders",IF(D276&gt;=Settings!$B$9,"Restrict COD or verify","Keep COD"))))</f>
        <v/>
      </c>
    </row>
    <row r="277" customFormat="false" ht="15" hidden="false" customHeight="false" outlineLevel="0" collapsed="false">
      <c r="A277" s="27"/>
      <c r="B277" s="17" t="str">
        <f aca="false">IF($A277="","",COUNTIFS(Orders!$C$2:$C$20001,$A277,Orders!$E$2:$E$20001,"COD",Orders!$F$2:$F$20001,"Delivered")+COUNTIFS(Orders!$C$2:$C$20001,$A277,Orders!$E$2:$E$20001,"COD",Orders!$F$2:$F$20001,"RTO"))</f>
        <v/>
      </c>
      <c r="C277" s="17" t="str">
        <f aca="false">IF($A277="","",COUNTIFS(Orders!$C$2:$C$20001,$A277,Orders!$E$2:$E$20001,"COD",Orders!$F$2:$F$20001,"RTO"))</f>
        <v/>
      </c>
      <c r="D277" s="18" t="str">
        <f aca="false">IF($A277="","",IFERROR(C277/B277,0))</f>
        <v/>
      </c>
      <c r="E277" s="17" t="str">
        <f aca="false">IF($A277="","",COUNTIFS(Orders!$C$2:$C$20001,$A277,Orders!$E$2:$E$20001,"Prepaid",Orders!$F$2:$F$20001,"Delivered")+COUNTIFS(Orders!$C$2:$C$20001,$A277,Orders!$E$2:$E$20001,"Prepaid",Orders!$F$2:$F$20001,"RTO"))</f>
        <v/>
      </c>
      <c r="F277" s="17" t="str">
        <f aca="false">IF($A277="","",COUNTIFS(Orders!$C$2:$C$20001,$A277,Orders!$E$2:$E$20001,"Prepaid",Orders!$F$2:$F$20001,"RTO"))</f>
        <v/>
      </c>
      <c r="G277" s="18" t="str">
        <f aca="false">IF($A277="","",IFERROR(F277/E277,0))</f>
        <v/>
      </c>
      <c r="H277" s="19" t="str">
        <f aca="false">IF($A277="","",C277*Settings!$B$11)</f>
        <v/>
      </c>
      <c r="I277" s="20" t="str">
        <f aca="false">IF($A277="","",IF(N(H277)=0,"",RANK(H277,$H$5:$H$2004)))</f>
        <v/>
      </c>
      <c r="J277" s="21" t="str">
        <f aca="false">IF($A277="","",IF(B277=0,"No COD orders",IF(B277&lt;Settings!$B$8,"Too few orders",IF(D277&gt;=Settings!$B$9,"Restrict COD or verify","Keep COD"))))</f>
        <v/>
      </c>
    </row>
    <row r="278" customFormat="false" ht="15" hidden="false" customHeight="false" outlineLevel="0" collapsed="false">
      <c r="A278" s="27"/>
      <c r="B278" s="17" t="str">
        <f aca="false">IF($A278="","",COUNTIFS(Orders!$C$2:$C$20001,$A278,Orders!$E$2:$E$20001,"COD",Orders!$F$2:$F$20001,"Delivered")+COUNTIFS(Orders!$C$2:$C$20001,$A278,Orders!$E$2:$E$20001,"COD",Orders!$F$2:$F$20001,"RTO"))</f>
        <v/>
      </c>
      <c r="C278" s="17" t="str">
        <f aca="false">IF($A278="","",COUNTIFS(Orders!$C$2:$C$20001,$A278,Orders!$E$2:$E$20001,"COD",Orders!$F$2:$F$20001,"RTO"))</f>
        <v/>
      </c>
      <c r="D278" s="18" t="str">
        <f aca="false">IF($A278="","",IFERROR(C278/B278,0))</f>
        <v/>
      </c>
      <c r="E278" s="17" t="str">
        <f aca="false">IF($A278="","",COUNTIFS(Orders!$C$2:$C$20001,$A278,Orders!$E$2:$E$20001,"Prepaid",Orders!$F$2:$F$20001,"Delivered")+COUNTIFS(Orders!$C$2:$C$20001,$A278,Orders!$E$2:$E$20001,"Prepaid",Orders!$F$2:$F$20001,"RTO"))</f>
        <v/>
      </c>
      <c r="F278" s="17" t="str">
        <f aca="false">IF($A278="","",COUNTIFS(Orders!$C$2:$C$20001,$A278,Orders!$E$2:$E$20001,"Prepaid",Orders!$F$2:$F$20001,"RTO"))</f>
        <v/>
      </c>
      <c r="G278" s="18" t="str">
        <f aca="false">IF($A278="","",IFERROR(F278/E278,0))</f>
        <v/>
      </c>
      <c r="H278" s="19" t="str">
        <f aca="false">IF($A278="","",C278*Settings!$B$11)</f>
        <v/>
      </c>
      <c r="I278" s="20" t="str">
        <f aca="false">IF($A278="","",IF(N(H278)=0,"",RANK(H278,$H$5:$H$2004)))</f>
        <v/>
      </c>
      <c r="J278" s="21" t="str">
        <f aca="false">IF($A278="","",IF(B278=0,"No COD orders",IF(B278&lt;Settings!$B$8,"Too few orders",IF(D278&gt;=Settings!$B$9,"Restrict COD or verify","Keep COD"))))</f>
        <v/>
      </c>
    </row>
    <row r="279" customFormat="false" ht="15" hidden="false" customHeight="false" outlineLevel="0" collapsed="false">
      <c r="A279" s="27"/>
      <c r="B279" s="17" t="str">
        <f aca="false">IF($A279="","",COUNTIFS(Orders!$C$2:$C$20001,$A279,Orders!$E$2:$E$20001,"COD",Orders!$F$2:$F$20001,"Delivered")+COUNTIFS(Orders!$C$2:$C$20001,$A279,Orders!$E$2:$E$20001,"COD",Orders!$F$2:$F$20001,"RTO"))</f>
        <v/>
      </c>
      <c r="C279" s="17" t="str">
        <f aca="false">IF($A279="","",COUNTIFS(Orders!$C$2:$C$20001,$A279,Orders!$E$2:$E$20001,"COD",Orders!$F$2:$F$20001,"RTO"))</f>
        <v/>
      </c>
      <c r="D279" s="18" t="str">
        <f aca="false">IF($A279="","",IFERROR(C279/B279,0))</f>
        <v/>
      </c>
      <c r="E279" s="17" t="str">
        <f aca="false">IF($A279="","",COUNTIFS(Orders!$C$2:$C$20001,$A279,Orders!$E$2:$E$20001,"Prepaid",Orders!$F$2:$F$20001,"Delivered")+COUNTIFS(Orders!$C$2:$C$20001,$A279,Orders!$E$2:$E$20001,"Prepaid",Orders!$F$2:$F$20001,"RTO"))</f>
        <v/>
      </c>
      <c r="F279" s="17" t="str">
        <f aca="false">IF($A279="","",COUNTIFS(Orders!$C$2:$C$20001,$A279,Orders!$E$2:$E$20001,"Prepaid",Orders!$F$2:$F$20001,"RTO"))</f>
        <v/>
      </c>
      <c r="G279" s="18" t="str">
        <f aca="false">IF($A279="","",IFERROR(F279/E279,0))</f>
        <v/>
      </c>
      <c r="H279" s="19" t="str">
        <f aca="false">IF($A279="","",C279*Settings!$B$11)</f>
        <v/>
      </c>
      <c r="I279" s="20" t="str">
        <f aca="false">IF($A279="","",IF(N(H279)=0,"",RANK(H279,$H$5:$H$2004)))</f>
        <v/>
      </c>
      <c r="J279" s="21" t="str">
        <f aca="false">IF($A279="","",IF(B279=0,"No COD orders",IF(B279&lt;Settings!$B$8,"Too few orders",IF(D279&gt;=Settings!$B$9,"Restrict COD or verify","Keep COD"))))</f>
        <v/>
      </c>
    </row>
    <row r="280" customFormat="false" ht="15" hidden="false" customHeight="false" outlineLevel="0" collapsed="false">
      <c r="A280" s="27"/>
      <c r="B280" s="17" t="str">
        <f aca="false">IF($A280="","",COUNTIFS(Orders!$C$2:$C$20001,$A280,Orders!$E$2:$E$20001,"COD",Orders!$F$2:$F$20001,"Delivered")+COUNTIFS(Orders!$C$2:$C$20001,$A280,Orders!$E$2:$E$20001,"COD",Orders!$F$2:$F$20001,"RTO"))</f>
        <v/>
      </c>
      <c r="C280" s="17" t="str">
        <f aca="false">IF($A280="","",COUNTIFS(Orders!$C$2:$C$20001,$A280,Orders!$E$2:$E$20001,"COD",Orders!$F$2:$F$20001,"RTO"))</f>
        <v/>
      </c>
      <c r="D280" s="18" t="str">
        <f aca="false">IF($A280="","",IFERROR(C280/B280,0))</f>
        <v/>
      </c>
      <c r="E280" s="17" t="str">
        <f aca="false">IF($A280="","",COUNTIFS(Orders!$C$2:$C$20001,$A280,Orders!$E$2:$E$20001,"Prepaid",Orders!$F$2:$F$20001,"Delivered")+COUNTIFS(Orders!$C$2:$C$20001,$A280,Orders!$E$2:$E$20001,"Prepaid",Orders!$F$2:$F$20001,"RTO"))</f>
        <v/>
      </c>
      <c r="F280" s="17" t="str">
        <f aca="false">IF($A280="","",COUNTIFS(Orders!$C$2:$C$20001,$A280,Orders!$E$2:$E$20001,"Prepaid",Orders!$F$2:$F$20001,"RTO"))</f>
        <v/>
      </c>
      <c r="G280" s="18" t="str">
        <f aca="false">IF($A280="","",IFERROR(F280/E280,0))</f>
        <v/>
      </c>
      <c r="H280" s="19" t="str">
        <f aca="false">IF($A280="","",C280*Settings!$B$11)</f>
        <v/>
      </c>
      <c r="I280" s="20" t="str">
        <f aca="false">IF($A280="","",IF(N(H280)=0,"",RANK(H280,$H$5:$H$2004)))</f>
        <v/>
      </c>
      <c r="J280" s="21" t="str">
        <f aca="false">IF($A280="","",IF(B280=0,"No COD orders",IF(B280&lt;Settings!$B$8,"Too few orders",IF(D280&gt;=Settings!$B$9,"Restrict COD or verify","Keep COD"))))</f>
        <v/>
      </c>
    </row>
    <row r="281" customFormat="false" ht="15" hidden="false" customHeight="false" outlineLevel="0" collapsed="false">
      <c r="A281" s="27"/>
      <c r="B281" s="17" t="str">
        <f aca="false">IF($A281="","",COUNTIFS(Orders!$C$2:$C$20001,$A281,Orders!$E$2:$E$20001,"COD",Orders!$F$2:$F$20001,"Delivered")+COUNTIFS(Orders!$C$2:$C$20001,$A281,Orders!$E$2:$E$20001,"COD",Orders!$F$2:$F$20001,"RTO"))</f>
        <v/>
      </c>
      <c r="C281" s="17" t="str">
        <f aca="false">IF($A281="","",COUNTIFS(Orders!$C$2:$C$20001,$A281,Orders!$E$2:$E$20001,"COD",Orders!$F$2:$F$20001,"RTO"))</f>
        <v/>
      </c>
      <c r="D281" s="18" t="str">
        <f aca="false">IF($A281="","",IFERROR(C281/B281,0))</f>
        <v/>
      </c>
      <c r="E281" s="17" t="str">
        <f aca="false">IF($A281="","",COUNTIFS(Orders!$C$2:$C$20001,$A281,Orders!$E$2:$E$20001,"Prepaid",Orders!$F$2:$F$20001,"Delivered")+COUNTIFS(Orders!$C$2:$C$20001,$A281,Orders!$E$2:$E$20001,"Prepaid",Orders!$F$2:$F$20001,"RTO"))</f>
        <v/>
      </c>
      <c r="F281" s="17" t="str">
        <f aca="false">IF($A281="","",COUNTIFS(Orders!$C$2:$C$20001,$A281,Orders!$E$2:$E$20001,"Prepaid",Orders!$F$2:$F$20001,"RTO"))</f>
        <v/>
      </c>
      <c r="G281" s="18" t="str">
        <f aca="false">IF($A281="","",IFERROR(F281/E281,0))</f>
        <v/>
      </c>
      <c r="H281" s="19" t="str">
        <f aca="false">IF($A281="","",C281*Settings!$B$11)</f>
        <v/>
      </c>
      <c r="I281" s="20" t="str">
        <f aca="false">IF($A281="","",IF(N(H281)=0,"",RANK(H281,$H$5:$H$2004)))</f>
        <v/>
      </c>
      <c r="J281" s="21" t="str">
        <f aca="false">IF($A281="","",IF(B281=0,"No COD orders",IF(B281&lt;Settings!$B$8,"Too few orders",IF(D281&gt;=Settings!$B$9,"Restrict COD or verify","Keep COD"))))</f>
        <v/>
      </c>
    </row>
    <row r="282" customFormat="false" ht="15" hidden="false" customHeight="false" outlineLevel="0" collapsed="false">
      <c r="A282" s="27"/>
      <c r="B282" s="17" t="str">
        <f aca="false">IF($A282="","",COUNTIFS(Orders!$C$2:$C$20001,$A282,Orders!$E$2:$E$20001,"COD",Orders!$F$2:$F$20001,"Delivered")+COUNTIFS(Orders!$C$2:$C$20001,$A282,Orders!$E$2:$E$20001,"COD",Orders!$F$2:$F$20001,"RTO"))</f>
        <v/>
      </c>
      <c r="C282" s="17" t="str">
        <f aca="false">IF($A282="","",COUNTIFS(Orders!$C$2:$C$20001,$A282,Orders!$E$2:$E$20001,"COD",Orders!$F$2:$F$20001,"RTO"))</f>
        <v/>
      </c>
      <c r="D282" s="18" t="str">
        <f aca="false">IF($A282="","",IFERROR(C282/B282,0))</f>
        <v/>
      </c>
      <c r="E282" s="17" t="str">
        <f aca="false">IF($A282="","",COUNTIFS(Orders!$C$2:$C$20001,$A282,Orders!$E$2:$E$20001,"Prepaid",Orders!$F$2:$F$20001,"Delivered")+COUNTIFS(Orders!$C$2:$C$20001,$A282,Orders!$E$2:$E$20001,"Prepaid",Orders!$F$2:$F$20001,"RTO"))</f>
        <v/>
      </c>
      <c r="F282" s="17" t="str">
        <f aca="false">IF($A282="","",COUNTIFS(Orders!$C$2:$C$20001,$A282,Orders!$E$2:$E$20001,"Prepaid",Orders!$F$2:$F$20001,"RTO"))</f>
        <v/>
      </c>
      <c r="G282" s="18" t="str">
        <f aca="false">IF($A282="","",IFERROR(F282/E282,0))</f>
        <v/>
      </c>
      <c r="H282" s="19" t="str">
        <f aca="false">IF($A282="","",C282*Settings!$B$11)</f>
        <v/>
      </c>
      <c r="I282" s="20" t="str">
        <f aca="false">IF($A282="","",IF(N(H282)=0,"",RANK(H282,$H$5:$H$2004)))</f>
        <v/>
      </c>
      <c r="J282" s="21" t="str">
        <f aca="false">IF($A282="","",IF(B282=0,"No COD orders",IF(B282&lt;Settings!$B$8,"Too few orders",IF(D282&gt;=Settings!$B$9,"Restrict COD or verify","Keep COD"))))</f>
        <v/>
      </c>
    </row>
    <row r="283" customFormat="false" ht="15" hidden="false" customHeight="false" outlineLevel="0" collapsed="false">
      <c r="A283" s="27"/>
      <c r="B283" s="17" t="str">
        <f aca="false">IF($A283="","",COUNTIFS(Orders!$C$2:$C$20001,$A283,Orders!$E$2:$E$20001,"COD",Orders!$F$2:$F$20001,"Delivered")+COUNTIFS(Orders!$C$2:$C$20001,$A283,Orders!$E$2:$E$20001,"COD",Orders!$F$2:$F$20001,"RTO"))</f>
        <v/>
      </c>
      <c r="C283" s="17" t="str">
        <f aca="false">IF($A283="","",COUNTIFS(Orders!$C$2:$C$20001,$A283,Orders!$E$2:$E$20001,"COD",Orders!$F$2:$F$20001,"RTO"))</f>
        <v/>
      </c>
      <c r="D283" s="18" t="str">
        <f aca="false">IF($A283="","",IFERROR(C283/B283,0))</f>
        <v/>
      </c>
      <c r="E283" s="17" t="str">
        <f aca="false">IF($A283="","",COUNTIFS(Orders!$C$2:$C$20001,$A283,Orders!$E$2:$E$20001,"Prepaid",Orders!$F$2:$F$20001,"Delivered")+COUNTIFS(Orders!$C$2:$C$20001,$A283,Orders!$E$2:$E$20001,"Prepaid",Orders!$F$2:$F$20001,"RTO"))</f>
        <v/>
      </c>
      <c r="F283" s="17" t="str">
        <f aca="false">IF($A283="","",COUNTIFS(Orders!$C$2:$C$20001,$A283,Orders!$E$2:$E$20001,"Prepaid",Orders!$F$2:$F$20001,"RTO"))</f>
        <v/>
      </c>
      <c r="G283" s="18" t="str">
        <f aca="false">IF($A283="","",IFERROR(F283/E283,0))</f>
        <v/>
      </c>
      <c r="H283" s="19" t="str">
        <f aca="false">IF($A283="","",C283*Settings!$B$11)</f>
        <v/>
      </c>
      <c r="I283" s="20" t="str">
        <f aca="false">IF($A283="","",IF(N(H283)=0,"",RANK(H283,$H$5:$H$2004)))</f>
        <v/>
      </c>
      <c r="J283" s="21" t="str">
        <f aca="false">IF($A283="","",IF(B283=0,"No COD orders",IF(B283&lt;Settings!$B$8,"Too few orders",IF(D283&gt;=Settings!$B$9,"Restrict COD or verify","Keep COD"))))</f>
        <v/>
      </c>
    </row>
    <row r="284" customFormat="false" ht="15" hidden="false" customHeight="false" outlineLevel="0" collapsed="false">
      <c r="A284" s="27"/>
      <c r="B284" s="17" t="str">
        <f aca="false">IF($A284="","",COUNTIFS(Orders!$C$2:$C$20001,$A284,Orders!$E$2:$E$20001,"COD",Orders!$F$2:$F$20001,"Delivered")+COUNTIFS(Orders!$C$2:$C$20001,$A284,Orders!$E$2:$E$20001,"COD",Orders!$F$2:$F$20001,"RTO"))</f>
        <v/>
      </c>
      <c r="C284" s="17" t="str">
        <f aca="false">IF($A284="","",COUNTIFS(Orders!$C$2:$C$20001,$A284,Orders!$E$2:$E$20001,"COD",Orders!$F$2:$F$20001,"RTO"))</f>
        <v/>
      </c>
      <c r="D284" s="18" t="str">
        <f aca="false">IF($A284="","",IFERROR(C284/B284,0))</f>
        <v/>
      </c>
      <c r="E284" s="17" t="str">
        <f aca="false">IF($A284="","",COUNTIFS(Orders!$C$2:$C$20001,$A284,Orders!$E$2:$E$20001,"Prepaid",Orders!$F$2:$F$20001,"Delivered")+COUNTIFS(Orders!$C$2:$C$20001,$A284,Orders!$E$2:$E$20001,"Prepaid",Orders!$F$2:$F$20001,"RTO"))</f>
        <v/>
      </c>
      <c r="F284" s="17" t="str">
        <f aca="false">IF($A284="","",COUNTIFS(Orders!$C$2:$C$20001,$A284,Orders!$E$2:$E$20001,"Prepaid",Orders!$F$2:$F$20001,"RTO"))</f>
        <v/>
      </c>
      <c r="G284" s="18" t="str">
        <f aca="false">IF($A284="","",IFERROR(F284/E284,0))</f>
        <v/>
      </c>
      <c r="H284" s="19" t="str">
        <f aca="false">IF($A284="","",C284*Settings!$B$11)</f>
        <v/>
      </c>
      <c r="I284" s="20" t="str">
        <f aca="false">IF($A284="","",IF(N(H284)=0,"",RANK(H284,$H$5:$H$2004)))</f>
        <v/>
      </c>
      <c r="J284" s="21" t="str">
        <f aca="false">IF($A284="","",IF(B284=0,"No COD orders",IF(B284&lt;Settings!$B$8,"Too few orders",IF(D284&gt;=Settings!$B$9,"Restrict COD or verify","Keep COD"))))</f>
        <v/>
      </c>
    </row>
    <row r="285" customFormat="false" ht="15" hidden="false" customHeight="false" outlineLevel="0" collapsed="false">
      <c r="A285" s="27"/>
      <c r="B285" s="17" t="str">
        <f aca="false">IF($A285="","",COUNTIFS(Orders!$C$2:$C$20001,$A285,Orders!$E$2:$E$20001,"COD",Orders!$F$2:$F$20001,"Delivered")+COUNTIFS(Orders!$C$2:$C$20001,$A285,Orders!$E$2:$E$20001,"COD",Orders!$F$2:$F$20001,"RTO"))</f>
        <v/>
      </c>
      <c r="C285" s="17" t="str">
        <f aca="false">IF($A285="","",COUNTIFS(Orders!$C$2:$C$20001,$A285,Orders!$E$2:$E$20001,"COD",Orders!$F$2:$F$20001,"RTO"))</f>
        <v/>
      </c>
      <c r="D285" s="18" t="str">
        <f aca="false">IF($A285="","",IFERROR(C285/B285,0))</f>
        <v/>
      </c>
      <c r="E285" s="17" t="str">
        <f aca="false">IF($A285="","",COUNTIFS(Orders!$C$2:$C$20001,$A285,Orders!$E$2:$E$20001,"Prepaid",Orders!$F$2:$F$20001,"Delivered")+COUNTIFS(Orders!$C$2:$C$20001,$A285,Orders!$E$2:$E$20001,"Prepaid",Orders!$F$2:$F$20001,"RTO"))</f>
        <v/>
      </c>
      <c r="F285" s="17" t="str">
        <f aca="false">IF($A285="","",COUNTIFS(Orders!$C$2:$C$20001,$A285,Orders!$E$2:$E$20001,"Prepaid",Orders!$F$2:$F$20001,"RTO"))</f>
        <v/>
      </c>
      <c r="G285" s="18" t="str">
        <f aca="false">IF($A285="","",IFERROR(F285/E285,0))</f>
        <v/>
      </c>
      <c r="H285" s="19" t="str">
        <f aca="false">IF($A285="","",C285*Settings!$B$11)</f>
        <v/>
      </c>
      <c r="I285" s="20" t="str">
        <f aca="false">IF($A285="","",IF(N(H285)=0,"",RANK(H285,$H$5:$H$2004)))</f>
        <v/>
      </c>
      <c r="J285" s="21" t="str">
        <f aca="false">IF($A285="","",IF(B285=0,"No COD orders",IF(B285&lt;Settings!$B$8,"Too few orders",IF(D285&gt;=Settings!$B$9,"Restrict COD or verify","Keep COD"))))</f>
        <v/>
      </c>
    </row>
    <row r="286" customFormat="false" ht="15" hidden="false" customHeight="false" outlineLevel="0" collapsed="false">
      <c r="A286" s="27"/>
      <c r="B286" s="17" t="str">
        <f aca="false">IF($A286="","",COUNTIFS(Orders!$C$2:$C$20001,$A286,Orders!$E$2:$E$20001,"COD",Orders!$F$2:$F$20001,"Delivered")+COUNTIFS(Orders!$C$2:$C$20001,$A286,Orders!$E$2:$E$20001,"COD",Orders!$F$2:$F$20001,"RTO"))</f>
        <v/>
      </c>
      <c r="C286" s="17" t="str">
        <f aca="false">IF($A286="","",COUNTIFS(Orders!$C$2:$C$20001,$A286,Orders!$E$2:$E$20001,"COD",Orders!$F$2:$F$20001,"RTO"))</f>
        <v/>
      </c>
      <c r="D286" s="18" t="str">
        <f aca="false">IF($A286="","",IFERROR(C286/B286,0))</f>
        <v/>
      </c>
      <c r="E286" s="17" t="str">
        <f aca="false">IF($A286="","",COUNTIFS(Orders!$C$2:$C$20001,$A286,Orders!$E$2:$E$20001,"Prepaid",Orders!$F$2:$F$20001,"Delivered")+COUNTIFS(Orders!$C$2:$C$20001,$A286,Orders!$E$2:$E$20001,"Prepaid",Orders!$F$2:$F$20001,"RTO"))</f>
        <v/>
      </c>
      <c r="F286" s="17" t="str">
        <f aca="false">IF($A286="","",COUNTIFS(Orders!$C$2:$C$20001,$A286,Orders!$E$2:$E$20001,"Prepaid",Orders!$F$2:$F$20001,"RTO"))</f>
        <v/>
      </c>
      <c r="G286" s="18" t="str">
        <f aca="false">IF($A286="","",IFERROR(F286/E286,0))</f>
        <v/>
      </c>
      <c r="H286" s="19" t="str">
        <f aca="false">IF($A286="","",C286*Settings!$B$11)</f>
        <v/>
      </c>
      <c r="I286" s="20" t="str">
        <f aca="false">IF($A286="","",IF(N(H286)=0,"",RANK(H286,$H$5:$H$2004)))</f>
        <v/>
      </c>
      <c r="J286" s="21" t="str">
        <f aca="false">IF($A286="","",IF(B286=0,"No COD orders",IF(B286&lt;Settings!$B$8,"Too few orders",IF(D286&gt;=Settings!$B$9,"Restrict COD or verify","Keep COD"))))</f>
        <v/>
      </c>
    </row>
    <row r="287" customFormat="false" ht="15" hidden="false" customHeight="false" outlineLevel="0" collapsed="false">
      <c r="A287" s="27"/>
      <c r="B287" s="17" t="str">
        <f aca="false">IF($A287="","",COUNTIFS(Orders!$C$2:$C$20001,$A287,Orders!$E$2:$E$20001,"COD",Orders!$F$2:$F$20001,"Delivered")+COUNTIFS(Orders!$C$2:$C$20001,$A287,Orders!$E$2:$E$20001,"COD",Orders!$F$2:$F$20001,"RTO"))</f>
        <v/>
      </c>
      <c r="C287" s="17" t="str">
        <f aca="false">IF($A287="","",COUNTIFS(Orders!$C$2:$C$20001,$A287,Orders!$E$2:$E$20001,"COD",Orders!$F$2:$F$20001,"RTO"))</f>
        <v/>
      </c>
      <c r="D287" s="18" t="str">
        <f aca="false">IF($A287="","",IFERROR(C287/B287,0))</f>
        <v/>
      </c>
      <c r="E287" s="17" t="str">
        <f aca="false">IF($A287="","",COUNTIFS(Orders!$C$2:$C$20001,$A287,Orders!$E$2:$E$20001,"Prepaid",Orders!$F$2:$F$20001,"Delivered")+COUNTIFS(Orders!$C$2:$C$20001,$A287,Orders!$E$2:$E$20001,"Prepaid",Orders!$F$2:$F$20001,"RTO"))</f>
        <v/>
      </c>
      <c r="F287" s="17" t="str">
        <f aca="false">IF($A287="","",COUNTIFS(Orders!$C$2:$C$20001,$A287,Orders!$E$2:$E$20001,"Prepaid",Orders!$F$2:$F$20001,"RTO"))</f>
        <v/>
      </c>
      <c r="G287" s="18" t="str">
        <f aca="false">IF($A287="","",IFERROR(F287/E287,0))</f>
        <v/>
      </c>
      <c r="H287" s="19" t="str">
        <f aca="false">IF($A287="","",C287*Settings!$B$11)</f>
        <v/>
      </c>
      <c r="I287" s="20" t="str">
        <f aca="false">IF($A287="","",IF(N(H287)=0,"",RANK(H287,$H$5:$H$2004)))</f>
        <v/>
      </c>
      <c r="J287" s="21" t="str">
        <f aca="false">IF($A287="","",IF(B287=0,"No COD orders",IF(B287&lt;Settings!$B$8,"Too few orders",IF(D287&gt;=Settings!$B$9,"Restrict COD or verify","Keep COD"))))</f>
        <v/>
      </c>
    </row>
    <row r="288" customFormat="false" ht="15" hidden="false" customHeight="false" outlineLevel="0" collapsed="false">
      <c r="A288" s="27"/>
      <c r="B288" s="17" t="str">
        <f aca="false">IF($A288="","",COUNTIFS(Orders!$C$2:$C$20001,$A288,Orders!$E$2:$E$20001,"COD",Orders!$F$2:$F$20001,"Delivered")+COUNTIFS(Orders!$C$2:$C$20001,$A288,Orders!$E$2:$E$20001,"COD",Orders!$F$2:$F$20001,"RTO"))</f>
        <v/>
      </c>
      <c r="C288" s="17" t="str">
        <f aca="false">IF($A288="","",COUNTIFS(Orders!$C$2:$C$20001,$A288,Orders!$E$2:$E$20001,"COD",Orders!$F$2:$F$20001,"RTO"))</f>
        <v/>
      </c>
      <c r="D288" s="18" t="str">
        <f aca="false">IF($A288="","",IFERROR(C288/B288,0))</f>
        <v/>
      </c>
      <c r="E288" s="17" t="str">
        <f aca="false">IF($A288="","",COUNTIFS(Orders!$C$2:$C$20001,$A288,Orders!$E$2:$E$20001,"Prepaid",Orders!$F$2:$F$20001,"Delivered")+COUNTIFS(Orders!$C$2:$C$20001,$A288,Orders!$E$2:$E$20001,"Prepaid",Orders!$F$2:$F$20001,"RTO"))</f>
        <v/>
      </c>
      <c r="F288" s="17" t="str">
        <f aca="false">IF($A288="","",COUNTIFS(Orders!$C$2:$C$20001,$A288,Orders!$E$2:$E$20001,"Prepaid",Orders!$F$2:$F$20001,"RTO"))</f>
        <v/>
      </c>
      <c r="G288" s="18" t="str">
        <f aca="false">IF($A288="","",IFERROR(F288/E288,0))</f>
        <v/>
      </c>
      <c r="H288" s="19" t="str">
        <f aca="false">IF($A288="","",C288*Settings!$B$11)</f>
        <v/>
      </c>
      <c r="I288" s="20" t="str">
        <f aca="false">IF($A288="","",IF(N(H288)=0,"",RANK(H288,$H$5:$H$2004)))</f>
        <v/>
      </c>
      <c r="J288" s="21" t="str">
        <f aca="false">IF($A288="","",IF(B288=0,"No COD orders",IF(B288&lt;Settings!$B$8,"Too few orders",IF(D288&gt;=Settings!$B$9,"Restrict COD or verify","Keep COD"))))</f>
        <v/>
      </c>
    </row>
    <row r="289" customFormat="false" ht="15" hidden="false" customHeight="false" outlineLevel="0" collapsed="false">
      <c r="A289" s="27"/>
      <c r="B289" s="17" t="str">
        <f aca="false">IF($A289="","",COUNTIFS(Orders!$C$2:$C$20001,$A289,Orders!$E$2:$E$20001,"COD",Orders!$F$2:$F$20001,"Delivered")+COUNTIFS(Orders!$C$2:$C$20001,$A289,Orders!$E$2:$E$20001,"COD",Orders!$F$2:$F$20001,"RTO"))</f>
        <v/>
      </c>
      <c r="C289" s="17" t="str">
        <f aca="false">IF($A289="","",COUNTIFS(Orders!$C$2:$C$20001,$A289,Orders!$E$2:$E$20001,"COD",Orders!$F$2:$F$20001,"RTO"))</f>
        <v/>
      </c>
      <c r="D289" s="18" t="str">
        <f aca="false">IF($A289="","",IFERROR(C289/B289,0))</f>
        <v/>
      </c>
      <c r="E289" s="17" t="str">
        <f aca="false">IF($A289="","",COUNTIFS(Orders!$C$2:$C$20001,$A289,Orders!$E$2:$E$20001,"Prepaid",Orders!$F$2:$F$20001,"Delivered")+COUNTIFS(Orders!$C$2:$C$20001,$A289,Orders!$E$2:$E$20001,"Prepaid",Orders!$F$2:$F$20001,"RTO"))</f>
        <v/>
      </c>
      <c r="F289" s="17" t="str">
        <f aca="false">IF($A289="","",COUNTIFS(Orders!$C$2:$C$20001,$A289,Orders!$E$2:$E$20001,"Prepaid",Orders!$F$2:$F$20001,"RTO"))</f>
        <v/>
      </c>
      <c r="G289" s="18" t="str">
        <f aca="false">IF($A289="","",IFERROR(F289/E289,0))</f>
        <v/>
      </c>
      <c r="H289" s="19" t="str">
        <f aca="false">IF($A289="","",C289*Settings!$B$11)</f>
        <v/>
      </c>
      <c r="I289" s="20" t="str">
        <f aca="false">IF($A289="","",IF(N(H289)=0,"",RANK(H289,$H$5:$H$2004)))</f>
        <v/>
      </c>
      <c r="J289" s="21" t="str">
        <f aca="false">IF($A289="","",IF(B289=0,"No COD orders",IF(B289&lt;Settings!$B$8,"Too few orders",IF(D289&gt;=Settings!$B$9,"Restrict COD or verify","Keep COD"))))</f>
        <v/>
      </c>
    </row>
    <row r="290" customFormat="false" ht="15" hidden="false" customHeight="false" outlineLevel="0" collapsed="false">
      <c r="A290" s="27"/>
      <c r="B290" s="17" t="str">
        <f aca="false">IF($A290="","",COUNTIFS(Orders!$C$2:$C$20001,$A290,Orders!$E$2:$E$20001,"COD",Orders!$F$2:$F$20001,"Delivered")+COUNTIFS(Orders!$C$2:$C$20001,$A290,Orders!$E$2:$E$20001,"COD",Orders!$F$2:$F$20001,"RTO"))</f>
        <v/>
      </c>
      <c r="C290" s="17" t="str">
        <f aca="false">IF($A290="","",COUNTIFS(Orders!$C$2:$C$20001,$A290,Orders!$E$2:$E$20001,"COD",Orders!$F$2:$F$20001,"RTO"))</f>
        <v/>
      </c>
      <c r="D290" s="18" t="str">
        <f aca="false">IF($A290="","",IFERROR(C290/B290,0))</f>
        <v/>
      </c>
      <c r="E290" s="17" t="str">
        <f aca="false">IF($A290="","",COUNTIFS(Orders!$C$2:$C$20001,$A290,Orders!$E$2:$E$20001,"Prepaid",Orders!$F$2:$F$20001,"Delivered")+COUNTIFS(Orders!$C$2:$C$20001,$A290,Orders!$E$2:$E$20001,"Prepaid",Orders!$F$2:$F$20001,"RTO"))</f>
        <v/>
      </c>
      <c r="F290" s="17" t="str">
        <f aca="false">IF($A290="","",COUNTIFS(Orders!$C$2:$C$20001,$A290,Orders!$E$2:$E$20001,"Prepaid",Orders!$F$2:$F$20001,"RTO"))</f>
        <v/>
      </c>
      <c r="G290" s="18" t="str">
        <f aca="false">IF($A290="","",IFERROR(F290/E290,0))</f>
        <v/>
      </c>
      <c r="H290" s="19" t="str">
        <f aca="false">IF($A290="","",C290*Settings!$B$11)</f>
        <v/>
      </c>
      <c r="I290" s="20" t="str">
        <f aca="false">IF($A290="","",IF(N(H290)=0,"",RANK(H290,$H$5:$H$2004)))</f>
        <v/>
      </c>
      <c r="J290" s="21" t="str">
        <f aca="false">IF($A290="","",IF(B290=0,"No COD orders",IF(B290&lt;Settings!$B$8,"Too few orders",IF(D290&gt;=Settings!$B$9,"Restrict COD or verify","Keep COD"))))</f>
        <v/>
      </c>
    </row>
    <row r="291" customFormat="false" ht="15" hidden="false" customHeight="false" outlineLevel="0" collapsed="false">
      <c r="A291" s="27"/>
      <c r="B291" s="17" t="str">
        <f aca="false">IF($A291="","",COUNTIFS(Orders!$C$2:$C$20001,$A291,Orders!$E$2:$E$20001,"COD",Orders!$F$2:$F$20001,"Delivered")+COUNTIFS(Orders!$C$2:$C$20001,$A291,Orders!$E$2:$E$20001,"COD",Orders!$F$2:$F$20001,"RTO"))</f>
        <v/>
      </c>
      <c r="C291" s="17" t="str">
        <f aca="false">IF($A291="","",COUNTIFS(Orders!$C$2:$C$20001,$A291,Orders!$E$2:$E$20001,"COD",Orders!$F$2:$F$20001,"RTO"))</f>
        <v/>
      </c>
      <c r="D291" s="18" t="str">
        <f aca="false">IF($A291="","",IFERROR(C291/B291,0))</f>
        <v/>
      </c>
      <c r="E291" s="17" t="str">
        <f aca="false">IF($A291="","",COUNTIFS(Orders!$C$2:$C$20001,$A291,Orders!$E$2:$E$20001,"Prepaid",Orders!$F$2:$F$20001,"Delivered")+COUNTIFS(Orders!$C$2:$C$20001,$A291,Orders!$E$2:$E$20001,"Prepaid",Orders!$F$2:$F$20001,"RTO"))</f>
        <v/>
      </c>
      <c r="F291" s="17" t="str">
        <f aca="false">IF($A291="","",COUNTIFS(Orders!$C$2:$C$20001,$A291,Orders!$E$2:$E$20001,"Prepaid",Orders!$F$2:$F$20001,"RTO"))</f>
        <v/>
      </c>
      <c r="G291" s="18" t="str">
        <f aca="false">IF($A291="","",IFERROR(F291/E291,0))</f>
        <v/>
      </c>
      <c r="H291" s="19" t="str">
        <f aca="false">IF($A291="","",C291*Settings!$B$11)</f>
        <v/>
      </c>
      <c r="I291" s="20" t="str">
        <f aca="false">IF($A291="","",IF(N(H291)=0,"",RANK(H291,$H$5:$H$2004)))</f>
        <v/>
      </c>
      <c r="J291" s="21" t="str">
        <f aca="false">IF($A291="","",IF(B291=0,"No COD orders",IF(B291&lt;Settings!$B$8,"Too few orders",IF(D291&gt;=Settings!$B$9,"Restrict COD or verify","Keep COD"))))</f>
        <v/>
      </c>
    </row>
    <row r="292" customFormat="false" ht="15" hidden="false" customHeight="false" outlineLevel="0" collapsed="false">
      <c r="A292" s="27"/>
      <c r="B292" s="17" t="str">
        <f aca="false">IF($A292="","",COUNTIFS(Orders!$C$2:$C$20001,$A292,Orders!$E$2:$E$20001,"COD",Orders!$F$2:$F$20001,"Delivered")+COUNTIFS(Orders!$C$2:$C$20001,$A292,Orders!$E$2:$E$20001,"COD",Orders!$F$2:$F$20001,"RTO"))</f>
        <v/>
      </c>
      <c r="C292" s="17" t="str">
        <f aca="false">IF($A292="","",COUNTIFS(Orders!$C$2:$C$20001,$A292,Orders!$E$2:$E$20001,"COD",Orders!$F$2:$F$20001,"RTO"))</f>
        <v/>
      </c>
      <c r="D292" s="18" t="str">
        <f aca="false">IF($A292="","",IFERROR(C292/B292,0))</f>
        <v/>
      </c>
      <c r="E292" s="17" t="str">
        <f aca="false">IF($A292="","",COUNTIFS(Orders!$C$2:$C$20001,$A292,Orders!$E$2:$E$20001,"Prepaid",Orders!$F$2:$F$20001,"Delivered")+COUNTIFS(Orders!$C$2:$C$20001,$A292,Orders!$E$2:$E$20001,"Prepaid",Orders!$F$2:$F$20001,"RTO"))</f>
        <v/>
      </c>
      <c r="F292" s="17" t="str">
        <f aca="false">IF($A292="","",COUNTIFS(Orders!$C$2:$C$20001,$A292,Orders!$E$2:$E$20001,"Prepaid",Orders!$F$2:$F$20001,"RTO"))</f>
        <v/>
      </c>
      <c r="G292" s="18" t="str">
        <f aca="false">IF($A292="","",IFERROR(F292/E292,0))</f>
        <v/>
      </c>
      <c r="H292" s="19" t="str">
        <f aca="false">IF($A292="","",C292*Settings!$B$11)</f>
        <v/>
      </c>
      <c r="I292" s="20" t="str">
        <f aca="false">IF($A292="","",IF(N(H292)=0,"",RANK(H292,$H$5:$H$2004)))</f>
        <v/>
      </c>
      <c r="J292" s="21" t="str">
        <f aca="false">IF($A292="","",IF(B292=0,"No COD orders",IF(B292&lt;Settings!$B$8,"Too few orders",IF(D292&gt;=Settings!$B$9,"Restrict COD or verify","Keep COD"))))</f>
        <v/>
      </c>
    </row>
    <row r="293" customFormat="false" ht="15" hidden="false" customHeight="false" outlineLevel="0" collapsed="false">
      <c r="A293" s="27"/>
      <c r="B293" s="17" t="str">
        <f aca="false">IF($A293="","",COUNTIFS(Orders!$C$2:$C$20001,$A293,Orders!$E$2:$E$20001,"COD",Orders!$F$2:$F$20001,"Delivered")+COUNTIFS(Orders!$C$2:$C$20001,$A293,Orders!$E$2:$E$20001,"COD",Orders!$F$2:$F$20001,"RTO"))</f>
        <v/>
      </c>
      <c r="C293" s="17" t="str">
        <f aca="false">IF($A293="","",COUNTIFS(Orders!$C$2:$C$20001,$A293,Orders!$E$2:$E$20001,"COD",Orders!$F$2:$F$20001,"RTO"))</f>
        <v/>
      </c>
      <c r="D293" s="18" t="str">
        <f aca="false">IF($A293="","",IFERROR(C293/B293,0))</f>
        <v/>
      </c>
      <c r="E293" s="17" t="str">
        <f aca="false">IF($A293="","",COUNTIFS(Orders!$C$2:$C$20001,$A293,Orders!$E$2:$E$20001,"Prepaid",Orders!$F$2:$F$20001,"Delivered")+COUNTIFS(Orders!$C$2:$C$20001,$A293,Orders!$E$2:$E$20001,"Prepaid",Orders!$F$2:$F$20001,"RTO"))</f>
        <v/>
      </c>
      <c r="F293" s="17" t="str">
        <f aca="false">IF($A293="","",COUNTIFS(Orders!$C$2:$C$20001,$A293,Orders!$E$2:$E$20001,"Prepaid",Orders!$F$2:$F$20001,"RTO"))</f>
        <v/>
      </c>
      <c r="G293" s="18" t="str">
        <f aca="false">IF($A293="","",IFERROR(F293/E293,0))</f>
        <v/>
      </c>
      <c r="H293" s="19" t="str">
        <f aca="false">IF($A293="","",C293*Settings!$B$11)</f>
        <v/>
      </c>
      <c r="I293" s="20" t="str">
        <f aca="false">IF($A293="","",IF(N(H293)=0,"",RANK(H293,$H$5:$H$2004)))</f>
        <v/>
      </c>
      <c r="J293" s="21" t="str">
        <f aca="false">IF($A293="","",IF(B293=0,"No COD orders",IF(B293&lt;Settings!$B$8,"Too few orders",IF(D293&gt;=Settings!$B$9,"Restrict COD or verify","Keep COD"))))</f>
        <v/>
      </c>
    </row>
    <row r="294" customFormat="false" ht="15" hidden="false" customHeight="false" outlineLevel="0" collapsed="false">
      <c r="A294" s="27"/>
      <c r="B294" s="17" t="str">
        <f aca="false">IF($A294="","",COUNTIFS(Orders!$C$2:$C$20001,$A294,Orders!$E$2:$E$20001,"COD",Orders!$F$2:$F$20001,"Delivered")+COUNTIFS(Orders!$C$2:$C$20001,$A294,Orders!$E$2:$E$20001,"COD",Orders!$F$2:$F$20001,"RTO"))</f>
        <v/>
      </c>
      <c r="C294" s="17" t="str">
        <f aca="false">IF($A294="","",COUNTIFS(Orders!$C$2:$C$20001,$A294,Orders!$E$2:$E$20001,"COD",Orders!$F$2:$F$20001,"RTO"))</f>
        <v/>
      </c>
      <c r="D294" s="18" t="str">
        <f aca="false">IF($A294="","",IFERROR(C294/B294,0))</f>
        <v/>
      </c>
      <c r="E294" s="17" t="str">
        <f aca="false">IF($A294="","",COUNTIFS(Orders!$C$2:$C$20001,$A294,Orders!$E$2:$E$20001,"Prepaid",Orders!$F$2:$F$20001,"Delivered")+COUNTIFS(Orders!$C$2:$C$20001,$A294,Orders!$E$2:$E$20001,"Prepaid",Orders!$F$2:$F$20001,"RTO"))</f>
        <v/>
      </c>
      <c r="F294" s="17" t="str">
        <f aca="false">IF($A294="","",COUNTIFS(Orders!$C$2:$C$20001,$A294,Orders!$E$2:$E$20001,"Prepaid",Orders!$F$2:$F$20001,"RTO"))</f>
        <v/>
      </c>
      <c r="G294" s="18" t="str">
        <f aca="false">IF($A294="","",IFERROR(F294/E294,0))</f>
        <v/>
      </c>
      <c r="H294" s="19" t="str">
        <f aca="false">IF($A294="","",C294*Settings!$B$11)</f>
        <v/>
      </c>
      <c r="I294" s="20" t="str">
        <f aca="false">IF($A294="","",IF(N(H294)=0,"",RANK(H294,$H$5:$H$2004)))</f>
        <v/>
      </c>
      <c r="J294" s="21" t="str">
        <f aca="false">IF($A294="","",IF(B294=0,"No COD orders",IF(B294&lt;Settings!$B$8,"Too few orders",IF(D294&gt;=Settings!$B$9,"Restrict COD or verify","Keep COD"))))</f>
        <v/>
      </c>
    </row>
    <row r="295" customFormat="false" ht="15" hidden="false" customHeight="false" outlineLevel="0" collapsed="false">
      <c r="A295" s="27"/>
      <c r="B295" s="17" t="str">
        <f aca="false">IF($A295="","",COUNTIFS(Orders!$C$2:$C$20001,$A295,Orders!$E$2:$E$20001,"COD",Orders!$F$2:$F$20001,"Delivered")+COUNTIFS(Orders!$C$2:$C$20001,$A295,Orders!$E$2:$E$20001,"COD",Orders!$F$2:$F$20001,"RTO"))</f>
        <v/>
      </c>
      <c r="C295" s="17" t="str">
        <f aca="false">IF($A295="","",COUNTIFS(Orders!$C$2:$C$20001,$A295,Orders!$E$2:$E$20001,"COD",Orders!$F$2:$F$20001,"RTO"))</f>
        <v/>
      </c>
      <c r="D295" s="18" t="str">
        <f aca="false">IF($A295="","",IFERROR(C295/B295,0))</f>
        <v/>
      </c>
      <c r="E295" s="17" t="str">
        <f aca="false">IF($A295="","",COUNTIFS(Orders!$C$2:$C$20001,$A295,Orders!$E$2:$E$20001,"Prepaid",Orders!$F$2:$F$20001,"Delivered")+COUNTIFS(Orders!$C$2:$C$20001,$A295,Orders!$E$2:$E$20001,"Prepaid",Orders!$F$2:$F$20001,"RTO"))</f>
        <v/>
      </c>
      <c r="F295" s="17" t="str">
        <f aca="false">IF($A295="","",COUNTIFS(Orders!$C$2:$C$20001,$A295,Orders!$E$2:$E$20001,"Prepaid",Orders!$F$2:$F$20001,"RTO"))</f>
        <v/>
      </c>
      <c r="G295" s="18" t="str">
        <f aca="false">IF($A295="","",IFERROR(F295/E295,0))</f>
        <v/>
      </c>
      <c r="H295" s="19" t="str">
        <f aca="false">IF($A295="","",C295*Settings!$B$11)</f>
        <v/>
      </c>
      <c r="I295" s="20" t="str">
        <f aca="false">IF($A295="","",IF(N(H295)=0,"",RANK(H295,$H$5:$H$2004)))</f>
        <v/>
      </c>
      <c r="J295" s="21" t="str">
        <f aca="false">IF($A295="","",IF(B295=0,"No COD orders",IF(B295&lt;Settings!$B$8,"Too few orders",IF(D295&gt;=Settings!$B$9,"Restrict COD or verify","Keep COD"))))</f>
        <v/>
      </c>
    </row>
    <row r="296" customFormat="false" ht="15" hidden="false" customHeight="false" outlineLevel="0" collapsed="false">
      <c r="A296" s="27"/>
      <c r="B296" s="17" t="str">
        <f aca="false">IF($A296="","",COUNTIFS(Orders!$C$2:$C$20001,$A296,Orders!$E$2:$E$20001,"COD",Orders!$F$2:$F$20001,"Delivered")+COUNTIFS(Orders!$C$2:$C$20001,$A296,Orders!$E$2:$E$20001,"COD",Orders!$F$2:$F$20001,"RTO"))</f>
        <v/>
      </c>
      <c r="C296" s="17" t="str">
        <f aca="false">IF($A296="","",COUNTIFS(Orders!$C$2:$C$20001,$A296,Orders!$E$2:$E$20001,"COD",Orders!$F$2:$F$20001,"RTO"))</f>
        <v/>
      </c>
      <c r="D296" s="18" t="str">
        <f aca="false">IF($A296="","",IFERROR(C296/B296,0))</f>
        <v/>
      </c>
      <c r="E296" s="17" t="str">
        <f aca="false">IF($A296="","",COUNTIFS(Orders!$C$2:$C$20001,$A296,Orders!$E$2:$E$20001,"Prepaid",Orders!$F$2:$F$20001,"Delivered")+COUNTIFS(Orders!$C$2:$C$20001,$A296,Orders!$E$2:$E$20001,"Prepaid",Orders!$F$2:$F$20001,"RTO"))</f>
        <v/>
      </c>
      <c r="F296" s="17" t="str">
        <f aca="false">IF($A296="","",COUNTIFS(Orders!$C$2:$C$20001,$A296,Orders!$E$2:$E$20001,"Prepaid",Orders!$F$2:$F$20001,"RTO"))</f>
        <v/>
      </c>
      <c r="G296" s="18" t="str">
        <f aca="false">IF($A296="","",IFERROR(F296/E296,0))</f>
        <v/>
      </c>
      <c r="H296" s="19" t="str">
        <f aca="false">IF($A296="","",C296*Settings!$B$11)</f>
        <v/>
      </c>
      <c r="I296" s="20" t="str">
        <f aca="false">IF($A296="","",IF(N(H296)=0,"",RANK(H296,$H$5:$H$2004)))</f>
        <v/>
      </c>
      <c r="J296" s="21" t="str">
        <f aca="false">IF($A296="","",IF(B296=0,"No COD orders",IF(B296&lt;Settings!$B$8,"Too few orders",IF(D296&gt;=Settings!$B$9,"Restrict COD or verify","Keep COD"))))</f>
        <v/>
      </c>
    </row>
    <row r="297" customFormat="false" ht="15" hidden="false" customHeight="false" outlineLevel="0" collapsed="false">
      <c r="A297" s="27"/>
      <c r="B297" s="17" t="str">
        <f aca="false">IF($A297="","",COUNTIFS(Orders!$C$2:$C$20001,$A297,Orders!$E$2:$E$20001,"COD",Orders!$F$2:$F$20001,"Delivered")+COUNTIFS(Orders!$C$2:$C$20001,$A297,Orders!$E$2:$E$20001,"COD",Orders!$F$2:$F$20001,"RTO"))</f>
        <v/>
      </c>
      <c r="C297" s="17" t="str">
        <f aca="false">IF($A297="","",COUNTIFS(Orders!$C$2:$C$20001,$A297,Orders!$E$2:$E$20001,"COD",Orders!$F$2:$F$20001,"RTO"))</f>
        <v/>
      </c>
      <c r="D297" s="18" t="str">
        <f aca="false">IF($A297="","",IFERROR(C297/B297,0))</f>
        <v/>
      </c>
      <c r="E297" s="17" t="str">
        <f aca="false">IF($A297="","",COUNTIFS(Orders!$C$2:$C$20001,$A297,Orders!$E$2:$E$20001,"Prepaid",Orders!$F$2:$F$20001,"Delivered")+COUNTIFS(Orders!$C$2:$C$20001,$A297,Orders!$E$2:$E$20001,"Prepaid",Orders!$F$2:$F$20001,"RTO"))</f>
        <v/>
      </c>
      <c r="F297" s="17" t="str">
        <f aca="false">IF($A297="","",COUNTIFS(Orders!$C$2:$C$20001,$A297,Orders!$E$2:$E$20001,"Prepaid",Orders!$F$2:$F$20001,"RTO"))</f>
        <v/>
      </c>
      <c r="G297" s="18" t="str">
        <f aca="false">IF($A297="","",IFERROR(F297/E297,0))</f>
        <v/>
      </c>
      <c r="H297" s="19" t="str">
        <f aca="false">IF($A297="","",C297*Settings!$B$11)</f>
        <v/>
      </c>
      <c r="I297" s="20" t="str">
        <f aca="false">IF($A297="","",IF(N(H297)=0,"",RANK(H297,$H$5:$H$2004)))</f>
        <v/>
      </c>
      <c r="J297" s="21" t="str">
        <f aca="false">IF($A297="","",IF(B297=0,"No COD orders",IF(B297&lt;Settings!$B$8,"Too few orders",IF(D297&gt;=Settings!$B$9,"Restrict COD or verify","Keep COD"))))</f>
        <v/>
      </c>
    </row>
    <row r="298" customFormat="false" ht="15" hidden="false" customHeight="false" outlineLevel="0" collapsed="false">
      <c r="A298" s="27"/>
      <c r="B298" s="17" t="str">
        <f aca="false">IF($A298="","",COUNTIFS(Orders!$C$2:$C$20001,$A298,Orders!$E$2:$E$20001,"COD",Orders!$F$2:$F$20001,"Delivered")+COUNTIFS(Orders!$C$2:$C$20001,$A298,Orders!$E$2:$E$20001,"COD",Orders!$F$2:$F$20001,"RTO"))</f>
        <v/>
      </c>
      <c r="C298" s="17" t="str">
        <f aca="false">IF($A298="","",COUNTIFS(Orders!$C$2:$C$20001,$A298,Orders!$E$2:$E$20001,"COD",Orders!$F$2:$F$20001,"RTO"))</f>
        <v/>
      </c>
      <c r="D298" s="18" t="str">
        <f aca="false">IF($A298="","",IFERROR(C298/B298,0))</f>
        <v/>
      </c>
      <c r="E298" s="17" t="str">
        <f aca="false">IF($A298="","",COUNTIFS(Orders!$C$2:$C$20001,$A298,Orders!$E$2:$E$20001,"Prepaid",Orders!$F$2:$F$20001,"Delivered")+COUNTIFS(Orders!$C$2:$C$20001,$A298,Orders!$E$2:$E$20001,"Prepaid",Orders!$F$2:$F$20001,"RTO"))</f>
        <v/>
      </c>
      <c r="F298" s="17" t="str">
        <f aca="false">IF($A298="","",COUNTIFS(Orders!$C$2:$C$20001,$A298,Orders!$E$2:$E$20001,"Prepaid",Orders!$F$2:$F$20001,"RTO"))</f>
        <v/>
      </c>
      <c r="G298" s="18" t="str">
        <f aca="false">IF($A298="","",IFERROR(F298/E298,0))</f>
        <v/>
      </c>
      <c r="H298" s="19" t="str">
        <f aca="false">IF($A298="","",C298*Settings!$B$11)</f>
        <v/>
      </c>
      <c r="I298" s="20" t="str">
        <f aca="false">IF($A298="","",IF(N(H298)=0,"",RANK(H298,$H$5:$H$2004)))</f>
        <v/>
      </c>
      <c r="J298" s="21" t="str">
        <f aca="false">IF($A298="","",IF(B298=0,"No COD orders",IF(B298&lt;Settings!$B$8,"Too few orders",IF(D298&gt;=Settings!$B$9,"Restrict COD or verify","Keep COD"))))</f>
        <v/>
      </c>
    </row>
    <row r="299" customFormat="false" ht="15" hidden="false" customHeight="false" outlineLevel="0" collapsed="false">
      <c r="A299" s="27"/>
      <c r="B299" s="17" t="str">
        <f aca="false">IF($A299="","",COUNTIFS(Orders!$C$2:$C$20001,$A299,Orders!$E$2:$E$20001,"COD",Orders!$F$2:$F$20001,"Delivered")+COUNTIFS(Orders!$C$2:$C$20001,$A299,Orders!$E$2:$E$20001,"COD",Orders!$F$2:$F$20001,"RTO"))</f>
        <v/>
      </c>
      <c r="C299" s="17" t="str">
        <f aca="false">IF($A299="","",COUNTIFS(Orders!$C$2:$C$20001,$A299,Orders!$E$2:$E$20001,"COD",Orders!$F$2:$F$20001,"RTO"))</f>
        <v/>
      </c>
      <c r="D299" s="18" t="str">
        <f aca="false">IF($A299="","",IFERROR(C299/B299,0))</f>
        <v/>
      </c>
      <c r="E299" s="17" t="str">
        <f aca="false">IF($A299="","",COUNTIFS(Orders!$C$2:$C$20001,$A299,Orders!$E$2:$E$20001,"Prepaid",Orders!$F$2:$F$20001,"Delivered")+COUNTIFS(Orders!$C$2:$C$20001,$A299,Orders!$E$2:$E$20001,"Prepaid",Orders!$F$2:$F$20001,"RTO"))</f>
        <v/>
      </c>
      <c r="F299" s="17" t="str">
        <f aca="false">IF($A299="","",COUNTIFS(Orders!$C$2:$C$20001,$A299,Orders!$E$2:$E$20001,"Prepaid",Orders!$F$2:$F$20001,"RTO"))</f>
        <v/>
      </c>
      <c r="G299" s="18" t="str">
        <f aca="false">IF($A299="","",IFERROR(F299/E299,0))</f>
        <v/>
      </c>
      <c r="H299" s="19" t="str">
        <f aca="false">IF($A299="","",C299*Settings!$B$11)</f>
        <v/>
      </c>
      <c r="I299" s="20" t="str">
        <f aca="false">IF($A299="","",IF(N(H299)=0,"",RANK(H299,$H$5:$H$2004)))</f>
        <v/>
      </c>
      <c r="J299" s="21" t="str">
        <f aca="false">IF($A299="","",IF(B299=0,"No COD orders",IF(B299&lt;Settings!$B$8,"Too few orders",IF(D299&gt;=Settings!$B$9,"Restrict COD or verify","Keep COD"))))</f>
        <v/>
      </c>
    </row>
    <row r="300" customFormat="false" ht="15" hidden="false" customHeight="false" outlineLevel="0" collapsed="false">
      <c r="A300" s="27"/>
      <c r="B300" s="17" t="str">
        <f aca="false">IF($A300="","",COUNTIFS(Orders!$C$2:$C$20001,$A300,Orders!$E$2:$E$20001,"COD",Orders!$F$2:$F$20001,"Delivered")+COUNTIFS(Orders!$C$2:$C$20001,$A300,Orders!$E$2:$E$20001,"COD",Orders!$F$2:$F$20001,"RTO"))</f>
        <v/>
      </c>
      <c r="C300" s="17" t="str">
        <f aca="false">IF($A300="","",COUNTIFS(Orders!$C$2:$C$20001,$A300,Orders!$E$2:$E$20001,"COD",Orders!$F$2:$F$20001,"RTO"))</f>
        <v/>
      </c>
      <c r="D300" s="18" t="str">
        <f aca="false">IF($A300="","",IFERROR(C300/B300,0))</f>
        <v/>
      </c>
      <c r="E300" s="17" t="str">
        <f aca="false">IF($A300="","",COUNTIFS(Orders!$C$2:$C$20001,$A300,Orders!$E$2:$E$20001,"Prepaid",Orders!$F$2:$F$20001,"Delivered")+COUNTIFS(Orders!$C$2:$C$20001,$A300,Orders!$E$2:$E$20001,"Prepaid",Orders!$F$2:$F$20001,"RTO"))</f>
        <v/>
      </c>
      <c r="F300" s="17" t="str">
        <f aca="false">IF($A300="","",COUNTIFS(Orders!$C$2:$C$20001,$A300,Orders!$E$2:$E$20001,"Prepaid",Orders!$F$2:$F$20001,"RTO"))</f>
        <v/>
      </c>
      <c r="G300" s="18" t="str">
        <f aca="false">IF($A300="","",IFERROR(F300/E300,0))</f>
        <v/>
      </c>
      <c r="H300" s="19" t="str">
        <f aca="false">IF($A300="","",C300*Settings!$B$11)</f>
        <v/>
      </c>
      <c r="I300" s="20" t="str">
        <f aca="false">IF($A300="","",IF(N(H300)=0,"",RANK(H300,$H$5:$H$2004)))</f>
        <v/>
      </c>
      <c r="J300" s="21" t="str">
        <f aca="false">IF($A300="","",IF(B300=0,"No COD orders",IF(B300&lt;Settings!$B$8,"Too few orders",IF(D300&gt;=Settings!$B$9,"Restrict COD or verify","Keep COD"))))</f>
        <v/>
      </c>
    </row>
    <row r="301" customFormat="false" ht="15" hidden="false" customHeight="false" outlineLevel="0" collapsed="false">
      <c r="A301" s="27"/>
      <c r="B301" s="17" t="str">
        <f aca="false">IF($A301="","",COUNTIFS(Orders!$C$2:$C$20001,$A301,Orders!$E$2:$E$20001,"COD",Orders!$F$2:$F$20001,"Delivered")+COUNTIFS(Orders!$C$2:$C$20001,$A301,Orders!$E$2:$E$20001,"COD",Orders!$F$2:$F$20001,"RTO"))</f>
        <v/>
      </c>
      <c r="C301" s="17" t="str">
        <f aca="false">IF($A301="","",COUNTIFS(Orders!$C$2:$C$20001,$A301,Orders!$E$2:$E$20001,"COD",Orders!$F$2:$F$20001,"RTO"))</f>
        <v/>
      </c>
      <c r="D301" s="18" t="str">
        <f aca="false">IF($A301="","",IFERROR(C301/B301,0))</f>
        <v/>
      </c>
      <c r="E301" s="17" t="str">
        <f aca="false">IF($A301="","",COUNTIFS(Orders!$C$2:$C$20001,$A301,Orders!$E$2:$E$20001,"Prepaid",Orders!$F$2:$F$20001,"Delivered")+COUNTIFS(Orders!$C$2:$C$20001,$A301,Orders!$E$2:$E$20001,"Prepaid",Orders!$F$2:$F$20001,"RTO"))</f>
        <v/>
      </c>
      <c r="F301" s="17" t="str">
        <f aca="false">IF($A301="","",COUNTIFS(Orders!$C$2:$C$20001,$A301,Orders!$E$2:$E$20001,"Prepaid",Orders!$F$2:$F$20001,"RTO"))</f>
        <v/>
      </c>
      <c r="G301" s="18" t="str">
        <f aca="false">IF($A301="","",IFERROR(F301/E301,0))</f>
        <v/>
      </c>
      <c r="H301" s="19" t="str">
        <f aca="false">IF($A301="","",C301*Settings!$B$11)</f>
        <v/>
      </c>
      <c r="I301" s="20" t="str">
        <f aca="false">IF($A301="","",IF(N(H301)=0,"",RANK(H301,$H$5:$H$2004)))</f>
        <v/>
      </c>
      <c r="J301" s="21" t="str">
        <f aca="false">IF($A301="","",IF(B301=0,"No COD orders",IF(B301&lt;Settings!$B$8,"Too few orders",IF(D301&gt;=Settings!$B$9,"Restrict COD or verify","Keep COD"))))</f>
        <v/>
      </c>
    </row>
    <row r="302" customFormat="false" ht="15" hidden="false" customHeight="false" outlineLevel="0" collapsed="false">
      <c r="A302" s="27"/>
      <c r="B302" s="17" t="str">
        <f aca="false">IF($A302="","",COUNTIFS(Orders!$C$2:$C$20001,$A302,Orders!$E$2:$E$20001,"COD",Orders!$F$2:$F$20001,"Delivered")+COUNTIFS(Orders!$C$2:$C$20001,$A302,Orders!$E$2:$E$20001,"COD",Orders!$F$2:$F$20001,"RTO"))</f>
        <v/>
      </c>
      <c r="C302" s="17" t="str">
        <f aca="false">IF($A302="","",COUNTIFS(Orders!$C$2:$C$20001,$A302,Orders!$E$2:$E$20001,"COD",Orders!$F$2:$F$20001,"RTO"))</f>
        <v/>
      </c>
      <c r="D302" s="18" t="str">
        <f aca="false">IF($A302="","",IFERROR(C302/B302,0))</f>
        <v/>
      </c>
      <c r="E302" s="17" t="str">
        <f aca="false">IF($A302="","",COUNTIFS(Orders!$C$2:$C$20001,$A302,Orders!$E$2:$E$20001,"Prepaid",Orders!$F$2:$F$20001,"Delivered")+COUNTIFS(Orders!$C$2:$C$20001,$A302,Orders!$E$2:$E$20001,"Prepaid",Orders!$F$2:$F$20001,"RTO"))</f>
        <v/>
      </c>
      <c r="F302" s="17" t="str">
        <f aca="false">IF($A302="","",COUNTIFS(Orders!$C$2:$C$20001,$A302,Orders!$E$2:$E$20001,"Prepaid",Orders!$F$2:$F$20001,"RTO"))</f>
        <v/>
      </c>
      <c r="G302" s="18" t="str">
        <f aca="false">IF($A302="","",IFERROR(F302/E302,0))</f>
        <v/>
      </c>
      <c r="H302" s="19" t="str">
        <f aca="false">IF($A302="","",C302*Settings!$B$11)</f>
        <v/>
      </c>
      <c r="I302" s="20" t="str">
        <f aca="false">IF($A302="","",IF(N(H302)=0,"",RANK(H302,$H$5:$H$2004)))</f>
        <v/>
      </c>
      <c r="J302" s="21" t="str">
        <f aca="false">IF($A302="","",IF(B302=0,"No COD orders",IF(B302&lt;Settings!$B$8,"Too few orders",IF(D302&gt;=Settings!$B$9,"Restrict COD or verify","Keep COD"))))</f>
        <v/>
      </c>
    </row>
    <row r="303" customFormat="false" ht="15" hidden="false" customHeight="false" outlineLevel="0" collapsed="false">
      <c r="A303" s="27"/>
      <c r="B303" s="17" t="str">
        <f aca="false">IF($A303="","",COUNTIFS(Orders!$C$2:$C$20001,$A303,Orders!$E$2:$E$20001,"COD",Orders!$F$2:$F$20001,"Delivered")+COUNTIFS(Orders!$C$2:$C$20001,$A303,Orders!$E$2:$E$20001,"COD",Orders!$F$2:$F$20001,"RTO"))</f>
        <v/>
      </c>
      <c r="C303" s="17" t="str">
        <f aca="false">IF($A303="","",COUNTIFS(Orders!$C$2:$C$20001,$A303,Orders!$E$2:$E$20001,"COD",Orders!$F$2:$F$20001,"RTO"))</f>
        <v/>
      </c>
      <c r="D303" s="18" t="str">
        <f aca="false">IF($A303="","",IFERROR(C303/B303,0))</f>
        <v/>
      </c>
      <c r="E303" s="17" t="str">
        <f aca="false">IF($A303="","",COUNTIFS(Orders!$C$2:$C$20001,$A303,Orders!$E$2:$E$20001,"Prepaid",Orders!$F$2:$F$20001,"Delivered")+COUNTIFS(Orders!$C$2:$C$20001,$A303,Orders!$E$2:$E$20001,"Prepaid",Orders!$F$2:$F$20001,"RTO"))</f>
        <v/>
      </c>
      <c r="F303" s="17" t="str">
        <f aca="false">IF($A303="","",COUNTIFS(Orders!$C$2:$C$20001,$A303,Orders!$E$2:$E$20001,"Prepaid",Orders!$F$2:$F$20001,"RTO"))</f>
        <v/>
      </c>
      <c r="G303" s="18" t="str">
        <f aca="false">IF($A303="","",IFERROR(F303/E303,0))</f>
        <v/>
      </c>
      <c r="H303" s="19" t="str">
        <f aca="false">IF($A303="","",C303*Settings!$B$11)</f>
        <v/>
      </c>
      <c r="I303" s="20" t="str">
        <f aca="false">IF($A303="","",IF(N(H303)=0,"",RANK(H303,$H$5:$H$2004)))</f>
        <v/>
      </c>
      <c r="J303" s="21" t="str">
        <f aca="false">IF($A303="","",IF(B303=0,"No COD orders",IF(B303&lt;Settings!$B$8,"Too few orders",IF(D303&gt;=Settings!$B$9,"Restrict COD or verify","Keep COD"))))</f>
        <v/>
      </c>
    </row>
    <row r="304" customFormat="false" ht="15" hidden="false" customHeight="false" outlineLevel="0" collapsed="false">
      <c r="A304" s="27"/>
      <c r="B304" s="17" t="str">
        <f aca="false">IF($A304="","",COUNTIFS(Orders!$C$2:$C$20001,$A304,Orders!$E$2:$E$20001,"COD",Orders!$F$2:$F$20001,"Delivered")+COUNTIFS(Orders!$C$2:$C$20001,$A304,Orders!$E$2:$E$20001,"COD",Orders!$F$2:$F$20001,"RTO"))</f>
        <v/>
      </c>
      <c r="C304" s="17" t="str">
        <f aca="false">IF($A304="","",COUNTIFS(Orders!$C$2:$C$20001,$A304,Orders!$E$2:$E$20001,"COD",Orders!$F$2:$F$20001,"RTO"))</f>
        <v/>
      </c>
      <c r="D304" s="18" t="str">
        <f aca="false">IF($A304="","",IFERROR(C304/B304,0))</f>
        <v/>
      </c>
      <c r="E304" s="17" t="str">
        <f aca="false">IF($A304="","",COUNTIFS(Orders!$C$2:$C$20001,$A304,Orders!$E$2:$E$20001,"Prepaid",Orders!$F$2:$F$20001,"Delivered")+COUNTIFS(Orders!$C$2:$C$20001,$A304,Orders!$E$2:$E$20001,"Prepaid",Orders!$F$2:$F$20001,"RTO"))</f>
        <v/>
      </c>
      <c r="F304" s="17" t="str">
        <f aca="false">IF($A304="","",COUNTIFS(Orders!$C$2:$C$20001,$A304,Orders!$E$2:$E$20001,"Prepaid",Orders!$F$2:$F$20001,"RTO"))</f>
        <v/>
      </c>
      <c r="G304" s="18" t="str">
        <f aca="false">IF($A304="","",IFERROR(F304/E304,0))</f>
        <v/>
      </c>
      <c r="H304" s="19" t="str">
        <f aca="false">IF($A304="","",C304*Settings!$B$11)</f>
        <v/>
      </c>
      <c r="I304" s="20" t="str">
        <f aca="false">IF($A304="","",IF(N(H304)=0,"",RANK(H304,$H$5:$H$2004)))</f>
        <v/>
      </c>
      <c r="J304" s="21" t="str">
        <f aca="false">IF($A304="","",IF(B304=0,"No COD orders",IF(B304&lt;Settings!$B$8,"Too few orders",IF(D304&gt;=Settings!$B$9,"Restrict COD or verify","Keep COD"))))</f>
        <v/>
      </c>
    </row>
    <row r="305" customFormat="false" ht="15" hidden="false" customHeight="false" outlineLevel="0" collapsed="false">
      <c r="A305" s="27"/>
      <c r="B305" s="17" t="str">
        <f aca="false">IF($A305="","",COUNTIFS(Orders!$C$2:$C$20001,$A305,Orders!$E$2:$E$20001,"COD",Orders!$F$2:$F$20001,"Delivered")+COUNTIFS(Orders!$C$2:$C$20001,$A305,Orders!$E$2:$E$20001,"COD",Orders!$F$2:$F$20001,"RTO"))</f>
        <v/>
      </c>
      <c r="C305" s="17" t="str">
        <f aca="false">IF($A305="","",COUNTIFS(Orders!$C$2:$C$20001,$A305,Orders!$E$2:$E$20001,"COD",Orders!$F$2:$F$20001,"RTO"))</f>
        <v/>
      </c>
      <c r="D305" s="18" t="str">
        <f aca="false">IF($A305="","",IFERROR(C305/B305,0))</f>
        <v/>
      </c>
      <c r="E305" s="17" t="str">
        <f aca="false">IF($A305="","",COUNTIFS(Orders!$C$2:$C$20001,$A305,Orders!$E$2:$E$20001,"Prepaid",Orders!$F$2:$F$20001,"Delivered")+COUNTIFS(Orders!$C$2:$C$20001,$A305,Orders!$E$2:$E$20001,"Prepaid",Orders!$F$2:$F$20001,"RTO"))</f>
        <v/>
      </c>
      <c r="F305" s="17" t="str">
        <f aca="false">IF($A305="","",COUNTIFS(Orders!$C$2:$C$20001,$A305,Orders!$E$2:$E$20001,"Prepaid",Orders!$F$2:$F$20001,"RTO"))</f>
        <v/>
      </c>
      <c r="G305" s="18" t="str">
        <f aca="false">IF($A305="","",IFERROR(F305/E305,0))</f>
        <v/>
      </c>
      <c r="H305" s="19" t="str">
        <f aca="false">IF($A305="","",C305*Settings!$B$11)</f>
        <v/>
      </c>
      <c r="I305" s="20" t="str">
        <f aca="false">IF($A305="","",IF(N(H305)=0,"",RANK(H305,$H$5:$H$2004)))</f>
        <v/>
      </c>
      <c r="J305" s="21" t="str">
        <f aca="false">IF($A305="","",IF(B305=0,"No COD orders",IF(B305&lt;Settings!$B$8,"Too few orders",IF(D305&gt;=Settings!$B$9,"Restrict COD or verify","Keep COD"))))</f>
        <v/>
      </c>
    </row>
    <row r="306" customFormat="false" ht="15" hidden="false" customHeight="false" outlineLevel="0" collapsed="false">
      <c r="A306" s="27"/>
      <c r="B306" s="17" t="str">
        <f aca="false">IF($A306="","",COUNTIFS(Orders!$C$2:$C$20001,$A306,Orders!$E$2:$E$20001,"COD",Orders!$F$2:$F$20001,"Delivered")+COUNTIFS(Orders!$C$2:$C$20001,$A306,Orders!$E$2:$E$20001,"COD",Orders!$F$2:$F$20001,"RTO"))</f>
        <v/>
      </c>
      <c r="C306" s="17" t="str">
        <f aca="false">IF($A306="","",COUNTIFS(Orders!$C$2:$C$20001,$A306,Orders!$E$2:$E$20001,"COD",Orders!$F$2:$F$20001,"RTO"))</f>
        <v/>
      </c>
      <c r="D306" s="18" t="str">
        <f aca="false">IF($A306="","",IFERROR(C306/B306,0))</f>
        <v/>
      </c>
      <c r="E306" s="17" t="str">
        <f aca="false">IF($A306="","",COUNTIFS(Orders!$C$2:$C$20001,$A306,Orders!$E$2:$E$20001,"Prepaid",Orders!$F$2:$F$20001,"Delivered")+COUNTIFS(Orders!$C$2:$C$20001,$A306,Orders!$E$2:$E$20001,"Prepaid",Orders!$F$2:$F$20001,"RTO"))</f>
        <v/>
      </c>
      <c r="F306" s="17" t="str">
        <f aca="false">IF($A306="","",COUNTIFS(Orders!$C$2:$C$20001,$A306,Orders!$E$2:$E$20001,"Prepaid",Orders!$F$2:$F$20001,"RTO"))</f>
        <v/>
      </c>
      <c r="G306" s="18" t="str">
        <f aca="false">IF($A306="","",IFERROR(F306/E306,0))</f>
        <v/>
      </c>
      <c r="H306" s="19" t="str">
        <f aca="false">IF($A306="","",C306*Settings!$B$11)</f>
        <v/>
      </c>
      <c r="I306" s="20" t="str">
        <f aca="false">IF($A306="","",IF(N(H306)=0,"",RANK(H306,$H$5:$H$2004)))</f>
        <v/>
      </c>
      <c r="J306" s="21" t="str">
        <f aca="false">IF($A306="","",IF(B306=0,"No COD orders",IF(B306&lt;Settings!$B$8,"Too few orders",IF(D306&gt;=Settings!$B$9,"Restrict COD or verify","Keep COD"))))</f>
        <v/>
      </c>
    </row>
    <row r="307" customFormat="false" ht="15" hidden="false" customHeight="false" outlineLevel="0" collapsed="false">
      <c r="A307" s="27"/>
      <c r="B307" s="17" t="str">
        <f aca="false">IF($A307="","",COUNTIFS(Orders!$C$2:$C$20001,$A307,Orders!$E$2:$E$20001,"COD",Orders!$F$2:$F$20001,"Delivered")+COUNTIFS(Orders!$C$2:$C$20001,$A307,Orders!$E$2:$E$20001,"COD",Orders!$F$2:$F$20001,"RTO"))</f>
        <v/>
      </c>
      <c r="C307" s="17" t="str">
        <f aca="false">IF($A307="","",COUNTIFS(Orders!$C$2:$C$20001,$A307,Orders!$E$2:$E$20001,"COD",Orders!$F$2:$F$20001,"RTO"))</f>
        <v/>
      </c>
      <c r="D307" s="18" t="str">
        <f aca="false">IF($A307="","",IFERROR(C307/B307,0))</f>
        <v/>
      </c>
      <c r="E307" s="17" t="str">
        <f aca="false">IF($A307="","",COUNTIFS(Orders!$C$2:$C$20001,$A307,Orders!$E$2:$E$20001,"Prepaid",Orders!$F$2:$F$20001,"Delivered")+COUNTIFS(Orders!$C$2:$C$20001,$A307,Orders!$E$2:$E$20001,"Prepaid",Orders!$F$2:$F$20001,"RTO"))</f>
        <v/>
      </c>
      <c r="F307" s="17" t="str">
        <f aca="false">IF($A307="","",COUNTIFS(Orders!$C$2:$C$20001,$A307,Orders!$E$2:$E$20001,"Prepaid",Orders!$F$2:$F$20001,"RTO"))</f>
        <v/>
      </c>
      <c r="G307" s="18" t="str">
        <f aca="false">IF($A307="","",IFERROR(F307/E307,0))</f>
        <v/>
      </c>
      <c r="H307" s="19" t="str">
        <f aca="false">IF($A307="","",C307*Settings!$B$11)</f>
        <v/>
      </c>
      <c r="I307" s="20" t="str">
        <f aca="false">IF($A307="","",IF(N(H307)=0,"",RANK(H307,$H$5:$H$2004)))</f>
        <v/>
      </c>
      <c r="J307" s="21" t="str">
        <f aca="false">IF($A307="","",IF(B307=0,"No COD orders",IF(B307&lt;Settings!$B$8,"Too few orders",IF(D307&gt;=Settings!$B$9,"Restrict COD or verify","Keep COD"))))</f>
        <v/>
      </c>
    </row>
    <row r="308" customFormat="false" ht="15" hidden="false" customHeight="false" outlineLevel="0" collapsed="false">
      <c r="A308" s="27"/>
      <c r="B308" s="17" t="str">
        <f aca="false">IF($A308="","",COUNTIFS(Orders!$C$2:$C$20001,$A308,Orders!$E$2:$E$20001,"COD",Orders!$F$2:$F$20001,"Delivered")+COUNTIFS(Orders!$C$2:$C$20001,$A308,Orders!$E$2:$E$20001,"COD",Orders!$F$2:$F$20001,"RTO"))</f>
        <v/>
      </c>
      <c r="C308" s="17" t="str">
        <f aca="false">IF($A308="","",COUNTIFS(Orders!$C$2:$C$20001,$A308,Orders!$E$2:$E$20001,"COD",Orders!$F$2:$F$20001,"RTO"))</f>
        <v/>
      </c>
      <c r="D308" s="18" t="str">
        <f aca="false">IF($A308="","",IFERROR(C308/B308,0))</f>
        <v/>
      </c>
      <c r="E308" s="17" t="str">
        <f aca="false">IF($A308="","",COUNTIFS(Orders!$C$2:$C$20001,$A308,Orders!$E$2:$E$20001,"Prepaid",Orders!$F$2:$F$20001,"Delivered")+COUNTIFS(Orders!$C$2:$C$20001,$A308,Orders!$E$2:$E$20001,"Prepaid",Orders!$F$2:$F$20001,"RTO"))</f>
        <v/>
      </c>
      <c r="F308" s="17" t="str">
        <f aca="false">IF($A308="","",COUNTIFS(Orders!$C$2:$C$20001,$A308,Orders!$E$2:$E$20001,"Prepaid",Orders!$F$2:$F$20001,"RTO"))</f>
        <v/>
      </c>
      <c r="G308" s="18" t="str">
        <f aca="false">IF($A308="","",IFERROR(F308/E308,0))</f>
        <v/>
      </c>
      <c r="H308" s="19" t="str">
        <f aca="false">IF($A308="","",C308*Settings!$B$11)</f>
        <v/>
      </c>
      <c r="I308" s="20" t="str">
        <f aca="false">IF($A308="","",IF(N(H308)=0,"",RANK(H308,$H$5:$H$2004)))</f>
        <v/>
      </c>
      <c r="J308" s="21" t="str">
        <f aca="false">IF($A308="","",IF(B308=0,"No COD orders",IF(B308&lt;Settings!$B$8,"Too few orders",IF(D308&gt;=Settings!$B$9,"Restrict COD or verify","Keep COD"))))</f>
        <v/>
      </c>
    </row>
    <row r="309" customFormat="false" ht="15" hidden="false" customHeight="false" outlineLevel="0" collapsed="false">
      <c r="A309" s="27"/>
      <c r="B309" s="17" t="str">
        <f aca="false">IF($A309="","",COUNTIFS(Orders!$C$2:$C$20001,$A309,Orders!$E$2:$E$20001,"COD",Orders!$F$2:$F$20001,"Delivered")+COUNTIFS(Orders!$C$2:$C$20001,$A309,Orders!$E$2:$E$20001,"COD",Orders!$F$2:$F$20001,"RTO"))</f>
        <v/>
      </c>
      <c r="C309" s="17" t="str">
        <f aca="false">IF($A309="","",COUNTIFS(Orders!$C$2:$C$20001,$A309,Orders!$E$2:$E$20001,"COD",Orders!$F$2:$F$20001,"RTO"))</f>
        <v/>
      </c>
      <c r="D309" s="18" t="str">
        <f aca="false">IF($A309="","",IFERROR(C309/B309,0))</f>
        <v/>
      </c>
      <c r="E309" s="17" t="str">
        <f aca="false">IF($A309="","",COUNTIFS(Orders!$C$2:$C$20001,$A309,Orders!$E$2:$E$20001,"Prepaid",Orders!$F$2:$F$20001,"Delivered")+COUNTIFS(Orders!$C$2:$C$20001,$A309,Orders!$E$2:$E$20001,"Prepaid",Orders!$F$2:$F$20001,"RTO"))</f>
        <v/>
      </c>
      <c r="F309" s="17" t="str">
        <f aca="false">IF($A309="","",COUNTIFS(Orders!$C$2:$C$20001,$A309,Orders!$E$2:$E$20001,"Prepaid",Orders!$F$2:$F$20001,"RTO"))</f>
        <v/>
      </c>
      <c r="G309" s="18" t="str">
        <f aca="false">IF($A309="","",IFERROR(F309/E309,0))</f>
        <v/>
      </c>
      <c r="H309" s="19" t="str">
        <f aca="false">IF($A309="","",C309*Settings!$B$11)</f>
        <v/>
      </c>
      <c r="I309" s="20" t="str">
        <f aca="false">IF($A309="","",IF(N(H309)=0,"",RANK(H309,$H$5:$H$2004)))</f>
        <v/>
      </c>
      <c r="J309" s="21" t="str">
        <f aca="false">IF($A309="","",IF(B309=0,"No COD orders",IF(B309&lt;Settings!$B$8,"Too few orders",IF(D309&gt;=Settings!$B$9,"Restrict COD or verify","Keep COD"))))</f>
        <v/>
      </c>
    </row>
    <row r="310" customFormat="false" ht="15" hidden="false" customHeight="false" outlineLevel="0" collapsed="false">
      <c r="A310" s="27"/>
      <c r="B310" s="17" t="str">
        <f aca="false">IF($A310="","",COUNTIFS(Orders!$C$2:$C$20001,$A310,Orders!$E$2:$E$20001,"COD",Orders!$F$2:$F$20001,"Delivered")+COUNTIFS(Orders!$C$2:$C$20001,$A310,Orders!$E$2:$E$20001,"COD",Orders!$F$2:$F$20001,"RTO"))</f>
        <v/>
      </c>
      <c r="C310" s="17" t="str">
        <f aca="false">IF($A310="","",COUNTIFS(Orders!$C$2:$C$20001,$A310,Orders!$E$2:$E$20001,"COD",Orders!$F$2:$F$20001,"RTO"))</f>
        <v/>
      </c>
      <c r="D310" s="18" t="str">
        <f aca="false">IF($A310="","",IFERROR(C310/B310,0))</f>
        <v/>
      </c>
      <c r="E310" s="17" t="str">
        <f aca="false">IF($A310="","",COUNTIFS(Orders!$C$2:$C$20001,$A310,Orders!$E$2:$E$20001,"Prepaid",Orders!$F$2:$F$20001,"Delivered")+COUNTIFS(Orders!$C$2:$C$20001,$A310,Orders!$E$2:$E$20001,"Prepaid",Orders!$F$2:$F$20001,"RTO"))</f>
        <v/>
      </c>
      <c r="F310" s="17" t="str">
        <f aca="false">IF($A310="","",COUNTIFS(Orders!$C$2:$C$20001,$A310,Orders!$E$2:$E$20001,"Prepaid",Orders!$F$2:$F$20001,"RTO"))</f>
        <v/>
      </c>
      <c r="G310" s="18" t="str">
        <f aca="false">IF($A310="","",IFERROR(F310/E310,0))</f>
        <v/>
      </c>
      <c r="H310" s="19" t="str">
        <f aca="false">IF($A310="","",C310*Settings!$B$11)</f>
        <v/>
      </c>
      <c r="I310" s="20" t="str">
        <f aca="false">IF($A310="","",IF(N(H310)=0,"",RANK(H310,$H$5:$H$2004)))</f>
        <v/>
      </c>
      <c r="J310" s="21" t="str">
        <f aca="false">IF($A310="","",IF(B310=0,"No COD orders",IF(B310&lt;Settings!$B$8,"Too few orders",IF(D310&gt;=Settings!$B$9,"Restrict COD or verify","Keep COD"))))</f>
        <v/>
      </c>
    </row>
    <row r="311" customFormat="false" ht="15" hidden="false" customHeight="false" outlineLevel="0" collapsed="false">
      <c r="A311" s="27"/>
      <c r="B311" s="17" t="str">
        <f aca="false">IF($A311="","",COUNTIFS(Orders!$C$2:$C$20001,$A311,Orders!$E$2:$E$20001,"COD",Orders!$F$2:$F$20001,"Delivered")+COUNTIFS(Orders!$C$2:$C$20001,$A311,Orders!$E$2:$E$20001,"COD",Orders!$F$2:$F$20001,"RTO"))</f>
        <v/>
      </c>
      <c r="C311" s="17" t="str">
        <f aca="false">IF($A311="","",COUNTIFS(Orders!$C$2:$C$20001,$A311,Orders!$E$2:$E$20001,"COD",Orders!$F$2:$F$20001,"RTO"))</f>
        <v/>
      </c>
      <c r="D311" s="18" t="str">
        <f aca="false">IF($A311="","",IFERROR(C311/B311,0))</f>
        <v/>
      </c>
      <c r="E311" s="17" t="str">
        <f aca="false">IF($A311="","",COUNTIFS(Orders!$C$2:$C$20001,$A311,Orders!$E$2:$E$20001,"Prepaid",Orders!$F$2:$F$20001,"Delivered")+COUNTIFS(Orders!$C$2:$C$20001,$A311,Orders!$E$2:$E$20001,"Prepaid",Orders!$F$2:$F$20001,"RTO"))</f>
        <v/>
      </c>
      <c r="F311" s="17" t="str">
        <f aca="false">IF($A311="","",COUNTIFS(Orders!$C$2:$C$20001,$A311,Orders!$E$2:$E$20001,"Prepaid",Orders!$F$2:$F$20001,"RTO"))</f>
        <v/>
      </c>
      <c r="G311" s="18" t="str">
        <f aca="false">IF($A311="","",IFERROR(F311/E311,0))</f>
        <v/>
      </c>
      <c r="H311" s="19" t="str">
        <f aca="false">IF($A311="","",C311*Settings!$B$11)</f>
        <v/>
      </c>
      <c r="I311" s="20" t="str">
        <f aca="false">IF($A311="","",IF(N(H311)=0,"",RANK(H311,$H$5:$H$2004)))</f>
        <v/>
      </c>
      <c r="J311" s="21" t="str">
        <f aca="false">IF($A311="","",IF(B311=0,"No COD orders",IF(B311&lt;Settings!$B$8,"Too few orders",IF(D311&gt;=Settings!$B$9,"Restrict COD or verify","Keep COD"))))</f>
        <v/>
      </c>
    </row>
    <row r="312" customFormat="false" ht="15" hidden="false" customHeight="false" outlineLevel="0" collapsed="false">
      <c r="A312" s="27"/>
      <c r="B312" s="17" t="str">
        <f aca="false">IF($A312="","",COUNTIFS(Orders!$C$2:$C$20001,$A312,Orders!$E$2:$E$20001,"COD",Orders!$F$2:$F$20001,"Delivered")+COUNTIFS(Orders!$C$2:$C$20001,$A312,Orders!$E$2:$E$20001,"COD",Orders!$F$2:$F$20001,"RTO"))</f>
        <v/>
      </c>
      <c r="C312" s="17" t="str">
        <f aca="false">IF($A312="","",COUNTIFS(Orders!$C$2:$C$20001,$A312,Orders!$E$2:$E$20001,"COD",Orders!$F$2:$F$20001,"RTO"))</f>
        <v/>
      </c>
      <c r="D312" s="18" t="str">
        <f aca="false">IF($A312="","",IFERROR(C312/B312,0))</f>
        <v/>
      </c>
      <c r="E312" s="17" t="str">
        <f aca="false">IF($A312="","",COUNTIFS(Orders!$C$2:$C$20001,$A312,Orders!$E$2:$E$20001,"Prepaid",Orders!$F$2:$F$20001,"Delivered")+COUNTIFS(Orders!$C$2:$C$20001,$A312,Orders!$E$2:$E$20001,"Prepaid",Orders!$F$2:$F$20001,"RTO"))</f>
        <v/>
      </c>
      <c r="F312" s="17" t="str">
        <f aca="false">IF($A312="","",COUNTIFS(Orders!$C$2:$C$20001,$A312,Orders!$E$2:$E$20001,"Prepaid",Orders!$F$2:$F$20001,"RTO"))</f>
        <v/>
      </c>
      <c r="G312" s="18" t="str">
        <f aca="false">IF($A312="","",IFERROR(F312/E312,0))</f>
        <v/>
      </c>
      <c r="H312" s="19" t="str">
        <f aca="false">IF($A312="","",C312*Settings!$B$11)</f>
        <v/>
      </c>
      <c r="I312" s="20" t="str">
        <f aca="false">IF($A312="","",IF(N(H312)=0,"",RANK(H312,$H$5:$H$2004)))</f>
        <v/>
      </c>
      <c r="J312" s="21" t="str">
        <f aca="false">IF($A312="","",IF(B312=0,"No COD orders",IF(B312&lt;Settings!$B$8,"Too few orders",IF(D312&gt;=Settings!$B$9,"Restrict COD or verify","Keep COD"))))</f>
        <v/>
      </c>
    </row>
    <row r="313" customFormat="false" ht="15" hidden="false" customHeight="false" outlineLevel="0" collapsed="false">
      <c r="A313" s="27"/>
      <c r="B313" s="17" t="str">
        <f aca="false">IF($A313="","",COUNTIFS(Orders!$C$2:$C$20001,$A313,Orders!$E$2:$E$20001,"COD",Orders!$F$2:$F$20001,"Delivered")+COUNTIFS(Orders!$C$2:$C$20001,$A313,Orders!$E$2:$E$20001,"COD",Orders!$F$2:$F$20001,"RTO"))</f>
        <v/>
      </c>
      <c r="C313" s="17" t="str">
        <f aca="false">IF($A313="","",COUNTIFS(Orders!$C$2:$C$20001,$A313,Orders!$E$2:$E$20001,"COD",Orders!$F$2:$F$20001,"RTO"))</f>
        <v/>
      </c>
      <c r="D313" s="18" t="str">
        <f aca="false">IF($A313="","",IFERROR(C313/B313,0))</f>
        <v/>
      </c>
      <c r="E313" s="17" t="str">
        <f aca="false">IF($A313="","",COUNTIFS(Orders!$C$2:$C$20001,$A313,Orders!$E$2:$E$20001,"Prepaid",Orders!$F$2:$F$20001,"Delivered")+COUNTIFS(Orders!$C$2:$C$20001,$A313,Orders!$E$2:$E$20001,"Prepaid",Orders!$F$2:$F$20001,"RTO"))</f>
        <v/>
      </c>
      <c r="F313" s="17" t="str">
        <f aca="false">IF($A313="","",COUNTIFS(Orders!$C$2:$C$20001,$A313,Orders!$E$2:$E$20001,"Prepaid",Orders!$F$2:$F$20001,"RTO"))</f>
        <v/>
      </c>
      <c r="G313" s="18" t="str">
        <f aca="false">IF($A313="","",IFERROR(F313/E313,0))</f>
        <v/>
      </c>
      <c r="H313" s="19" t="str">
        <f aca="false">IF($A313="","",C313*Settings!$B$11)</f>
        <v/>
      </c>
      <c r="I313" s="20" t="str">
        <f aca="false">IF($A313="","",IF(N(H313)=0,"",RANK(H313,$H$5:$H$2004)))</f>
        <v/>
      </c>
      <c r="J313" s="21" t="str">
        <f aca="false">IF($A313="","",IF(B313=0,"No COD orders",IF(B313&lt;Settings!$B$8,"Too few orders",IF(D313&gt;=Settings!$B$9,"Restrict COD or verify","Keep COD"))))</f>
        <v/>
      </c>
    </row>
    <row r="314" customFormat="false" ht="15" hidden="false" customHeight="false" outlineLevel="0" collapsed="false">
      <c r="A314" s="27"/>
      <c r="B314" s="17" t="str">
        <f aca="false">IF($A314="","",COUNTIFS(Orders!$C$2:$C$20001,$A314,Orders!$E$2:$E$20001,"COD",Orders!$F$2:$F$20001,"Delivered")+COUNTIFS(Orders!$C$2:$C$20001,$A314,Orders!$E$2:$E$20001,"COD",Orders!$F$2:$F$20001,"RTO"))</f>
        <v/>
      </c>
      <c r="C314" s="17" t="str">
        <f aca="false">IF($A314="","",COUNTIFS(Orders!$C$2:$C$20001,$A314,Orders!$E$2:$E$20001,"COD",Orders!$F$2:$F$20001,"RTO"))</f>
        <v/>
      </c>
      <c r="D314" s="18" t="str">
        <f aca="false">IF($A314="","",IFERROR(C314/B314,0))</f>
        <v/>
      </c>
      <c r="E314" s="17" t="str">
        <f aca="false">IF($A314="","",COUNTIFS(Orders!$C$2:$C$20001,$A314,Orders!$E$2:$E$20001,"Prepaid",Orders!$F$2:$F$20001,"Delivered")+COUNTIFS(Orders!$C$2:$C$20001,$A314,Orders!$E$2:$E$20001,"Prepaid",Orders!$F$2:$F$20001,"RTO"))</f>
        <v/>
      </c>
      <c r="F314" s="17" t="str">
        <f aca="false">IF($A314="","",COUNTIFS(Orders!$C$2:$C$20001,$A314,Orders!$E$2:$E$20001,"Prepaid",Orders!$F$2:$F$20001,"RTO"))</f>
        <v/>
      </c>
      <c r="G314" s="18" t="str">
        <f aca="false">IF($A314="","",IFERROR(F314/E314,0))</f>
        <v/>
      </c>
      <c r="H314" s="19" t="str">
        <f aca="false">IF($A314="","",C314*Settings!$B$11)</f>
        <v/>
      </c>
      <c r="I314" s="20" t="str">
        <f aca="false">IF($A314="","",IF(N(H314)=0,"",RANK(H314,$H$5:$H$2004)))</f>
        <v/>
      </c>
      <c r="J314" s="21" t="str">
        <f aca="false">IF($A314="","",IF(B314=0,"No COD orders",IF(B314&lt;Settings!$B$8,"Too few orders",IF(D314&gt;=Settings!$B$9,"Restrict COD or verify","Keep COD"))))</f>
        <v/>
      </c>
    </row>
    <row r="315" customFormat="false" ht="15" hidden="false" customHeight="false" outlineLevel="0" collapsed="false">
      <c r="A315" s="27"/>
      <c r="B315" s="17" t="str">
        <f aca="false">IF($A315="","",COUNTIFS(Orders!$C$2:$C$20001,$A315,Orders!$E$2:$E$20001,"COD",Orders!$F$2:$F$20001,"Delivered")+COUNTIFS(Orders!$C$2:$C$20001,$A315,Orders!$E$2:$E$20001,"COD",Orders!$F$2:$F$20001,"RTO"))</f>
        <v/>
      </c>
      <c r="C315" s="17" t="str">
        <f aca="false">IF($A315="","",COUNTIFS(Orders!$C$2:$C$20001,$A315,Orders!$E$2:$E$20001,"COD",Orders!$F$2:$F$20001,"RTO"))</f>
        <v/>
      </c>
      <c r="D315" s="18" t="str">
        <f aca="false">IF($A315="","",IFERROR(C315/B315,0))</f>
        <v/>
      </c>
      <c r="E315" s="17" t="str">
        <f aca="false">IF($A315="","",COUNTIFS(Orders!$C$2:$C$20001,$A315,Orders!$E$2:$E$20001,"Prepaid",Orders!$F$2:$F$20001,"Delivered")+COUNTIFS(Orders!$C$2:$C$20001,$A315,Orders!$E$2:$E$20001,"Prepaid",Orders!$F$2:$F$20001,"RTO"))</f>
        <v/>
      </c>
      <c r="F315" s="17" t="str">
        <f aca="false">IF($A315="","",COUNTIFS(Orders!$C$2:$C$20001,$A315,Orders!$E$2:$E$20001,"Prepaid",Orders!$F$2:$F$20001,"RTO"))</f>
        <v/>
      </c>
      <c r="G315" s="18" t="str">
        <f aca="false">IF($A315="","",IFERROR(F315/E315,0))</f>
        <v/>
      </c>
      <c r="H315" s="19" t="str">
        <f aca="false">IF($A315="","",C315*Settings!$B$11)</f>
        <v/>
      </c>
      <c r="I315" s="20" t="str">
        <f aca="false">IF($A315="","",IF(N(H315)=0,"",RANK(H315,$H$5:$H$2004)))</f>
        <v/>
      </c>
      <c r="J315" s="21" t="str">
        <f aca="false">IF($A315="","",IF(B315=0,"No COD orders",IF(B315&lt;Settings!$B$8,"Too few orders",IF(D315&gt;=Settings!$B$9,"Restrict COD or verify","Keep COD"))))</f>
        <v/>
      </c>
    </row>
    <row r="316" customFormat="false" ht="15" hidden="false" customHeight="false" outlineLevel="0" collapsed="false">
      <c r="A316" s="27"/>
      <c r="B316" s="17" t="str">
        <f aca="false">IF($A316="","",COUNTIFS(Orders!$C$2:$C$20001,$A316,Orders!$E$2:$E$20001,"COD",Orders!$F$2:$F$20001,"Delivered")+COUNTIFS(Orders!$C$2:$C$20001,$A316,Orders!$E$2:$E$20001,"COD",Orders!$F$2:$F$20001,"RTO"))</f>
        <v/>
      </c>
      <c r="C316" s="17" t="str">
        <f aca="false">IF($A316="","",COUNTIFS(Orders!$C$2:$C$20001,$A316,Orders!$E$2:$E$20001,"COD",Orders!$F$2:$F$20001,"RTO"))</f>
        <v/>
      </c>
      <c r="D316" s="18" t="str">
        <f aca="false">IF($A316="","",IFERROR(C316/B316,0))</f>
        <v/>
      </c>
      <c r="E316" s="17" t="str">
        <f aca="false">IF($A316="","",COUNTIFS(Orders!$C$2:$C$20001,$A316,Orders!$E$2:$E$20001,"Prepaid",Orders!$F$2:$F$20001,"Delivered")+COUNTIFS(Orders!$C$2:$C$20001,$A316,Orders!$E$2:$E$20001,"Prepaid",Orders!$F$2:$F$20001,"RTO"))</f>
        <v/>
      </c>
      <c r="F316" s="17" t="str">
        <f aca="false">IF($A316="","",COUNTIFS(Orders!$C$2:$C$20001,$A316,Orders!$E$2:$E$20001,"Prepaid",Orders!$F$2:$F$20001,"RTO"))</f>
        <v/>
      </c>
      <c r="G316" s="18" t="str">
        <f aca="false">IF($A316="","",IFERROR(F316/E316,0))</f>
        <v/>
      </c>
      <c r="H316" s="19" t="str">
        <f aca="false">IF($A316="","",C316*Settings!$B$11)</f>
        <v/>
      </c>
      <c r="I316" s="20" t="str">
        <f aca="false">IF($A316="","",IF(N(H316)=0,"",RANK(H316,$H$5:$H$2004)))</f>
        <v/>
      </c>
      <c r="J316" s="21" t="str">
        <f aca="false">IF($A316="","",IF(B316=0,"No COD orders",IF(B316&lt;Settings!$B$8,"Too few orders",IF(D316&gt;=Settings!$B$9,"Restrict COD or verify","Keep COD"))))</f>
        <v/>
      </c>
    </row>
    <row r="317" customFormat="false" ht="15" hidden="false" customHeight="false" outlineLevel="0" collapsed="false">
      <c r="A317" s="27"/>
      <c r="B317" s="17" t="str">
        <f aca="false">IF($A317="","",COUNTIFS(Orders!$C$2:$C$20001,$A317,Orders!$E$2:$E$20001,"COD",Orders!$F$2:$F$20001,"Delivered")+COUNTIFS(Orders!$C$2:$C$20001,$A317,Orders!$E$2:$E$20001,"COD",Orders!$F$2:$F$20001,"RTO"))</f>
        <v/>
      </c>
      <c r="C317" s="17" t="str">
        <f aca="false">IF($A317="","",COUNTIFS(Orders!$C$2:$C$20001,$A317,Orders!$E$2:$E$20001,"COD",Orders!$F$2:$F$20001,"RTO"))</f>
        <v/>
      </c>
      <c r="D317" s="18" t="str">
        <f aca="false">IF($A317="","",IFERROR(C317/B317,0))</f>
        <v/>
      </c>
      <c r="E317" s="17" t="str">
        <f aca="false">IF($A317="","",COUNTIFS(Orders!$C$2:$C$20001,$A317,Orders!$E$2:$E$20001,"Prepaid",Orders!$F$2:$F$20001,"Delivered")+COUNTIFS(Orders!$C$2:$C$20001,$A317,Orders!$E$2:$E$20001,"Prepaid",Orders!$F$2:$F$20001,"RTO"))</f>
        <v/>
      </c>
      <c r="F317" s="17" t="str">
        <f aca="false">IF($A317="","",COUNTIFS(Orders!$C$2:$C$20001,$A317,Orders!$E$2:$E$20001,"Prepaid",Orders!$F$2:$F$20001,"RTO"))</f>
        <v/>
      </c>
      <c r="G317" s="18" t="str">
        <f aca="false">IF($A317="","",IFERROR(F317/E317,0))</f>
        <v/>
      </c>
      <c r="H317" s="19" t="str">
        <f aca="false">IF($A317="","",C317*Settings!$B$11)</f>
        <v/>
      </c>
      <c r="I317" s="20" t="str">
        <f aca="false">IF($A317="","",IF(N(H317)=0,"",RANK(H317,$H$5:$H$2004)))</f>
        <v/>
      </c>
      <c r="J317" s="21" t="str">
        <f aca="false">IF($A317="","",IF(B317=0,"No COD orders",IF(B317&lt;Settings!$B$8,"Too few orders",IF(D317&gt;=Settings!$B$9,"Restrict COD or verify","Keep COD"))))</f>
        <v/>
      </c>
    </row>
    <row r="318" customFormat="false" ht="15" hidden="false" customHeight="false" outlineLevel="0" collapsed="false">
      <c r="A318" s="27"/>
      <c r="B318" s="17" t="str">
        <f aca="false">IF($A318="","",COUNTIFS(Orders!$C$2:$C$20001,$A318,Orders!$E$2:$E$20001,"COD",Orders!$F$2:$F$20001,"Delivered")+COUNTIFS(Orders!$C$2:$C$20001,$A318,Orders!$E$2:$E$20001,"COD",Orders!$F$2:$F$20001,"RTO"))</f>
        <v/>
      </c>
      <c r="C318" s="17" t="str">
        <f aca="false">IF($A318="","",COUNTIFS(Orders!$C$2:$C$20001,$A318,Orders!$E$2:$E$20001,"COD",Orders!$F$2:$F$20001,"RTO"))</f>
        <v/>
      </c>
      <c r="D318" s="18" t="str">
        <f aca="false">IF($A318="","",IFERROR(C318/B318,0))</f>
        <v/>
      </c>
      <c r="E318" s="17" t="str">
        <f aca="false">IF($A318="","",COUNTIFS(Orders!$C$2:$C$20001,$A318,Orders!$E$2:$E$20001,"Prepaid",Orders!$F$2:$F$20001,"Delivered")+COUNTIFS(Orders!$C$2:$C$20001,$A318,Orders!$E$2:$E$20001,"Prepaid",Orders!$F$2:$F$20001,"RTO"))</f>
        <v/>
      </c>
      <c r="F318" s="17" t="str">
        <f aca="false">IF($A318="","",COUNTIFS(Orders!$C$2:$C$20001,$A318,Orders!$E$2:$E$20001,"Prepaid",Orders!$F$2:$F$20001,"RTO"))</f>
        <v/>
      </c>
      <c r="G318" s="18" t="str">
        <f aca="false">IF($A318="","",IFERROR(F318/E318,0))</f>
        <v/>
      </c>
      <c r="H318" s="19" t="str">
        <f aca="false">IF($A318="","",C318*Settings!$B$11)</f>
        <v/>
      </c>
      <c r="I318" s="20" t="str">
        <f aca="false">IF($A318="","",IF(N(H318)=0,"",RANK(H318,$H$5:$H$2004)))</f>
        <v/>
      </c>
      <c r="J318" s="21" t="str">
        <f aca="false">IF($A318="","",IF(B318=0,"No COD orders",IF(B318&lt;Settings!$B$8,"Too few orders",IF(D318&gt;=Settings!$B$9,"Restrict COD or verify","Keep COD"))))</f>
        <v/>
      </c>
    </row>
    <row r="319" customFormat="false" ht="15" hidden="false" customHeight="false" outlineLevel="0" collapsed="false">
      <c r="A319" s="27"/>
      <c r="B319" s="17" t="str">
        <f aca="false">IF($A319="","",COUNTIFS(Orders!$C$2:$C$20001,$A319,Orders!$E$2:$E$20001,"COD",Orders!$F$2:$F$20001,"Delivered")+COUNTIFS(Orders!$C$2:$C$20001,$A319,Orders!$E$2:$E$20001,"COD",Orders!$F$2:$F$20001,"RTO"))</f>
        <v/>
      </c>
      <c r="C319" s="17" t="str">
        <f aca="false">IF($A319="","",COUNTIFS(Orders!$C$2:$C$20001,$A319,Orders!$E$2:$E$20001,"COD",Orders!$F$2:$F$20001,"RTO"))</f>
        <v/>
      </c>
      <c r="D319" s="18" t="str">
        <f aca="false">IF($A319="","",IFERROR(C319/B319,0))</f>
        <v/>
      </c>
      <c r="E319" s="17" t="str">
        <f aca="false">IF($A319="","",COUNTIFS(Orders!$C$2:$C$20001,$A319,Orders!$E$2:$E$20001,"Prepaid",Orders!$F$2:$F$20001,"Delivered")+COUNTIFS(Orders!$C$2:$C$20001,$A319,Orders!$E$2:$E$20001,"Prepaid",Orders!$F$2:$F$20001,"RTO"))</f>
        <v/>
      </c>
      <c r="F319" s="17" t="str">
        <f aca="false">IF($A319="","",COUNTIFS(Orders!$C$2:$C$20001,$A319,Orders!$E$2:$E$20001,"Prepaid",Orders!$F$2:$F$20001,"RTO"))</f>
        <v/>
      </c>
      <c r="G319" s="18" t="str">
        <f aca="false">IF($A319="","",IFERROR(F319/E319,0))</f>
        <v/>
      </c>
      <c r="H319" s="19" t="str">
        <f aca="false">IF($A319="","",C319*Settings!$B$11)</f>
        <v/>
      </c>
      <c r="I319" s="20" t="str">
        <f aca="false">IF($A319="","",IF(N(H319)=0,"",RANK(H319,$H$5:$H$2004)))</f>
        <v/>
      </c>
      <c r="J319" s="21" t="str">
        <f aca="false">IF($A319="","",IF(B319=0,"No COD orders",IF(B319&lt;Settings!$B$8,"Too few orders",IF(D319&gt;=Settings!$B$9,"Restrict COD or verify","Keep COD"))))</f>
        <v/>
      </c>
    </row>
    <row r="320" customFormat="false" ht="15" hidden="false" customHeight="false" outlineLevel="0" collapsed="false">
      <c r="A320" s="27"/>
      <c r="B320" s="17" t="str">
        <f aca="false">IF($A320="","",COUNTIFS(Orders!$C$2:$C$20001,$A320,Orders!$E$2:$E$20001,"COD",Orders!$F$2:$F$20001,"Delivered")+COUNTIFS(Orders!$C$2:$C$20001,$A320,Orders!$E$2:$E$20001,"COD",Orders!$F$2:$F$20001,"RTO"))</f>
        <v/>
      </c>
      <c r="C320" s="17" t="str">
        <f aca="false">IF($A320="","",COUNTIFS(Orders!$C$2:$C$20001,$A320,Orders!$E$2:$E$20001,"COD",Orders!$F$2:$F$20001,"RTO"))</f>
        <v/>
      </c>
      <c r="D320" s="18" t="str">
        <f aca="false">IF($A320="","",IFERROR(C320/B320,0))</f>
        <v/>
      </c>
      <c r="E320" s="17" t="str">
        <f aca="false">IF($A320="","",COUNTIFS(Orders!$C$2:$C$20001,$A320,Orders!$E$2:$E$20001,"Prepaid",Orders!$F$2:$F$20001,"Delivered")+COUNTIFS(Orders!$C$2:$C$20001,$A320,Orders!$E$2:$E$20001,"Prepaid",Orders!$F$2:$F$20001,"RTO"))</f>
        <v/>
      </c>
      <c r="F320" s="17" t="str">
        <f aca="false">IF($A320="","",COUNTIFS(Orders!$C$2:$C$20001,$A320,Orders!$E$2:$E$20001,"Prepaid",Orders!$F$2:$F$20001,"RTO"))</f>
        <v/>
      </c>
      <c r="G320" s="18" t="str">
        <f aca="false">IF($A320="","",IFERROR(F320/E320,0))</f>
        <v/>
      </c>
      <c r="H320" s="19" t="str">
        <f aca="false">IF($A320="","",C320*Settings!$B$11)</f>
        <v/>
      </c>
      <c r="I320" s="20" t="str">
        <f aca="false">IF($A320="","",IF(N(H320)=0,"",RANK(H320,$H$5:$H$2004)))</f>
        <v/>
      </c>
      <c r="J320" s="21" t="str">
        <f aca="false">IF($A320="","",IF(B320=0,"No COD orders",IF(B320&lt;Settings!$B$8,"Too few orders",IF(D320&gt;=Settings!$B$9,"Restrict COD or verify","Keep COD"))))</f>
        <v/>
      </c>
    </row>
    <row r="321" customFormat="false" ht="15" hidden="false" customHeight="false" outlineLevel="0" collapsed="false">
      <c r="A321" s="27"/>
      <c r="B321" s="17" t="str">
        <f aca="false">IF($A321="","",COUNTIFS(Orders!$C$2:$C$20001,$A321,Orders!$E$2:$E$20001,"COD",Orders!$F$2:$F$20001,"Delivered")+COUNTIFS(Orders!$C$2:$C$20001,$A321,Orders!$E$2:$E$20001,"COD",Orders!$F$2:$F$20001,"RTO"))</f>
        <v/>
      </c>
      <c r="C321" s="17" t="str">
        <f aca="false">IF($A321="","",COUNTIFS(Orders!$C$2:$C$20001,$A321,Orders!$E$2:$E$20001,"COD",Orders!$F$2:$F$20001,"RTO"))</f>
        <v/>
      </c>
      <c r="D321" s="18" t="str">
        <f aca="false">IF($A321="","",IFERROR(C321/B321,0))</f>
        <v/>
      </c>
      <c r="E321" s="17" t="str">
        <f aca="false">IF($A321="","",COUNTIFS(Orders!$C$2:$C$20001,$A321,Orders!$E$2:$E$20001,"Prepaid",Orders!$F$2:$F$20001,"Delivered")+COUNTIFS(Orders!$C$2:$C$20001,$A321,Orders!$E$2:$E$20001,"Prepaid",Orders!$F$2:$F$20001,"RTO"))</f>
        <v/>
      </c>
      <c r="F321" s="17" t="str">
        <f aca="false">IF($A321="","",COUNTIFS(Orders!$C$2:$C$20001,$A321,Orders!$E$2:$E$20001,"Prepaid",Orders!$F$2:$F$20001,"RTO"))</f>
        <v/>
      </c>
      <c r="G321" s="18" t="str">
        <f aca="false">IF($A321="","",IFERROR(F321/E321,0))</f>
        <v/>
      </c>
      <c r="H321" s="19" t="str">
        <f aca="false">IF($A321="","",C321*Settings!$B$11)</f>
        <v/>
      </c>
      <c r="I321" s="20" t="str">
        <f aca="false">IF($A321="","",IF(N(H321)=0,"",RANK(H321,$H$5:$H$2004)))</f>
        <v/>
      </c>
      <c r="J321" s="21" t="str">
        <f aca="false">IF($A321="","",IF(B321=0,"No COD orders",IF(B321&lt;Settings!$B$8,"Too few orders",IF(D321&gt;=Settings!$B$9,"Restrict COD or verify","Keep COD"))))</f>
        <v/>
      </c>
    </row>
    <row r="322" customFormat="false" ht="15" hidden="false" customHeight="false" outlineLevel="0" collapsed="false">
      <c r="A322" s="27"/>
      <c r="B322" s="17" t="str">
        <f aca="false">IF($A322="","",COUNTIFS(Orders!$C$2:$C$20001,$A322,Orders!$E$2:$E$20001,"COD",Orders!$F$2:$F$20001,"Delivered")+COUNTIFS(Orders!$C$2:$C$20001,$A322,Orders!$E$2:$E$20001,"COD",Orders!$F$2:$F$20001,"RTO"))</f>
        <v/>
      </c>
      <c r="C322" s="17" t="str">
        <f aca="false">IF($A322="","",COUNTIFS(Orders!$C$2:$C$20001,$A322,Orders!$E$2:$E$20001,"COD",Orders!$F$2:$F$20001,"RTO"))</f>
        <v/>
      </c>
      <c r="D322" s="18" t="str">
        <f aca="false">IF($A322="","",IFERROR(C322/B322,0))</f>
        <v/>
      </c>
      <c r="E322" s="17" t="str">
        <f aca="false">IF($A322="","",COUNTIFS(Orders!$C$2:$C$20001,$A322,Orders!$E$2:$E$20001,"Prepaid",Orders!$F$2:$F$20001,"Delivered")+COUNTIFS(Orders!$C$2:$C$20001,$A322,Orders!$E$2:$E$20001,"Prepaid",Orders!$F$2:$F$20001,"RTO"))</f>
        <v/>
      </c>
      <c r="F322" s="17" t="str">
        <f aca="false">IF($A322="","",COUNTIFS(Orders!$C$2:$C$20001,$A322,Orders!$E$2:$E$20001,"Prepaid",Orders!$F$2:$F$20001,"RTO"))</f>
        <v/>
      </c>
      <c r="G322" s="18" t="str">
        <f aca="false">IF($A322="","",IFERROR(F322/E322,0))</f>
        <v/>
      </c>
      <c r="H322" s="19" t="str">
        <f aca="false">IF($A322="","",C322*Settings!$B$11)</f>
        <v/>
      </c>
      <c r="I322" s="20" t="str">
        <f aca="false">IF($A322="","",IF(N(H322)=0,"",RANK(H322,$H$5:$H$2004)))</f>
        <v/>
      </c>
      <c r="J322" s="21" t="str">
        <f aca="false">IF($A322="","",IF(B322=0,"No COD orders",IF(B322&lt;Settings!$B$8,"Too few orders",IF(D322&gt;=Settings!$B$9,"Restrict COD or verify","Keep COD"))))</f>
        <v/>
      </c>
    </row>
    <row r="323" customFormat="false" ht="15" hidden="false" customHeight="false" outlineLevel="0" collapsed="false">
      <c r="A323" s="27"/>
      <c r="B323" s="17" t="str">
        <f aca="false">IF($A323="","",COUNTIFS(Orders!$C$2:$C$20001,$A323,Orders!$E$2:$E$20001,"COD",Orders!$F$2:$F$20001,"Delivered")+COUNTIFS(Orders!$C$2:$C$20001,$A323,Orders!$E$2:$E$20001,"COD",Orders!$F$2:$F$20001,"RTO"))</f>
        <v/>
      </c>
      <c r="C323" s="17" t="str">
        <f aca="false">IF($A323="","",COUNTIFS(Orders!$C$2:$C$20001,$A323,Orders!$E$2:$E$20001,"COD",Orders!$F$2:$F$20001,"RTO"))</f>
        <v/>
      </c>
      <c r="D323" s="18" t="str">
        <f aca="false">IF($A323="","",IFERROR(C323/B323,0))</f>
        <v/>
      </c>
      <c r="E323" s="17" t="str">
        <f aca="false">IF($A323="","",COUNTIFS(Orders!$C$2:$C$20001,$A323,Orders!$E$2:$E$20001,"Prepaid",Orders!$F$2:$F$20001,"Delivered")+COUNTIFS(Orders!$C$2:$C$20001,$A323,Orders!$E$2:$E$20001,"Prepaid",Orders!$F$2:$F$20001,"RTO"))</f>
        <v/>
      </c>
      <c r="F323" s="17" t="str">
        <f aca="false">IF($A323="","",COUNTIFS(Orders!$C$2:$C$20001,$A323,Orders!$E$2:$E$20001,"Prepaid",Orders!$F$2:$F$20001,"RTO"))</f>
        <v/>
      </c>
      <c r="G323" s="18" t="str">
        <f aca="false">IF($A323="","",IFERROR(F323/E323,0))</f>
        <v/>
      </c>
      <c r="H323" s="19" t="str">
        <f aca="false">IF($A323="","",C323*Settings!$B$11)</f>
        <v/>
      </c>
      <c r="I323" s="20" t="str">
        <f aca="false">IF($A323="","",IF(N(H323)=0,"",RANK(H323,$H$5:$H$2004)))</f>
        <v/>
      </c>
      <c r="J323" s="21" t="str">
        <f aca="false">IF($A323="","",IF(B323=0,"No COD orders",IF(B323&lt;Settings!$B$8,"Too few orders",IF(D323&gt;=Settings!$B$9,"Restrict COD or verify","Keep COD"))))</f>
        <v/>
      </c>
    </row>
    <row r="324" customFormat="false" ht="15" hidden="false" customHeight="false" outlineLevel="0" collapsed="false">
      <c r="A324" s="27"/>
      <c r="B324" s="17" t="str">
        <f aca="false">IF($A324="","",COUNTIFS(Orders!$C$2:$C$20001,$A324,Orders!$E$2:$E$20001,"COD",Orders!$F$2:$F$20001,"Delivered")+COUNTIFS(Orders!$C$2:$C$20001,$A324,Orders!$E$2:$E$20001,"COD",Orders!$F$2:$F$20001,"RTO"))</f>
        <v/>
      </c>
      <c r="C324" s="17" t="str">
        <f aca="false">IF($A324="","",COUNTIFS(Orders!$C$2:$C$20001,$A324,Orders!$E$2:$E$20001,"COD",Orders!$F$2:$F$20001,"RTO"))</f>
        <v/>
      </c>
      <c r="D324" s="18" t="str">
        <f aca="false">IF($A324="","",IFERROR(C324/B324,0))</f>
        <v/>
      </c>
      <c r="E324" s="17" t="str">
        <f aca="false">IF($A324="","",COUNTIFS(Orders!$C$2:$C$20001,$A324,Orders!$E$2:$E$20001,"Prepaid",Orders!$F$2:$F$20001,"Delivered")+COUNTIFS(Orders!$C$2:$C$20001,$A324,Orders!$E$2:$E$20001,"Prepaid",Orders!$F$2:$F$20001,"RTO"))</f>
        <v/>
      </c>
      <c r="F324" s="17" t="str">
        <f aca="false">IF($A324="","",COUNTIFS(Orders!$C$2:$C$20001,$A324,Orders!$E$2:$E$20001,"Prepaid",Orders!$F$2:$F$20001,"RTO"))</f>
        <v/>
      </c>
      <c r="G324" s="18" t="str">
        <f aca="false">IF($A324="","",IFERROR(F324/E324,0))</f>
        <v/>
      </c>
      <c r="H324" s="19" t="str">
        <f aca="false">IF($A324="","",C324*Settings!$B$11)</f>
        <v/>
      </c>
      <c r="I324" s="20" t="str">
        <f aca="false">IF($A324="","",IF(N(H324)=0,"",RANK(H324,$H$5:$H$2004)))</f>
        <v/>
      </c>
      <c r="J324" s="21" t="str">
        <f aca="false">IF($A324="","",IF(B324=0,"No COD orders",IF(B324&lt;Settings!$B$8,"Too few orders",IF(D324&gt;=Settings!$B$9,"Restrict COD or verify","Keep COD"))))</f>
        <v/>
      </c>
    </row>
    <row r="325" customFormat="false" ht="15" hidden="false" customHeight="false" outlineLevel="0" collapsed="false">
      <c r="A325" s="27"/>
      <c r="B325" s="17" t="str">
        <f aca="false">IF($A325="","",COUNTIFS(Orders!$C$2:$C$20001,$A325,Orders!$E$2:$E$20001,"COD",Orders!$F$2:$F$20001,"Delivered")+COUNTIFS(Orders!$C$2:$C$20001,$A325,Orders!$E$2:$E$20001,"COD",Orders!$F$2:$F$20001,"RTO"))</f>
        <v/>
      </c>
      <c r="C325" s="17" t="str">
        <f aca="false">IF($A325="","",COUNTIFS(Orders!$C$2:$C$20001,$A325,Orders!$E$2:$E$20001,"COD",Orders!$F$2:$F$20001,"RTO"))</f>
        <v/>
      </c>
      <c r="D325" s="18" t="str">
        <f aca="false">IF($A325="","",IFERROR(C325/B325,0))</f>
        <v/>
      </c>
      <c r="E325" s="17" t="str">
        <f aca="false">IF($A325="","",COUNTIFS(Orders!$C$2:$C$20001,$A325,Orders!$E$2:$E$20001,"Prepaid",Orders!$F$2:$F$20001,"Delivered")+COUNTIFS(Orders!$C$2:$C$20001,$A325,Orders!$E$2:$E$20001,"Prepaid",Orders!$F$2:$F$20001,"RTO"))</f>
        <v/>
      </c>
      <c r="F325" s="17" t="str">
        <f aca="false">IF($A325="","",COUNTIFS(Orders!$C$2:$C$20001,$A325,Orders!$E$2:$E$20001,"Prepaid",Orders!$F$2:$F$20001,"RTO"))</f>
        <v/>
      </c>
      <c r="G325" s="18" t="str">
        <f aca="false">IF($A325="","",IFERROR(F325/E325,0))</f>
        <v/>
      </c>
      <c r="H325" s="19" t="str">
        <f aca="false">IF($A325="","",C325*Settings!$B$11)</f>
        <v/>
      </c>
      <c r="I325" s="20" t="str">
        <f aca="false">IF($A325="","",IF(N(H325)=0,"",RANK(H325,$H$5:$H$2004)))</f>
        <v/>
      </c>
      <c r="J325" s="21" t="str">
        <f aca="false">IF($A325="","",IF(B325=0,"No COD orders",IF(B325&lt;Settings!$B$8,"Too few orders",IF(D325&gt;=Settings!$B$9,"Restrict COD or verify","Keep COD"))))</f>
        <v/>
      </c>
    </row>
    <row r="326" customFormat="false" ht="15" hidden="false" customHeight="false" outlineLevel="0" collapsed="false">
      <c r="A326" s="27"/>
      <c r="B326" s="17" t="str">
        <f aca="false">IF($A326="","",COUNTIFS(Orders!$C$2:$C$20001,$A326,Orders!$E$2:$E$20001,"COD",Orders!$F$2:$F$20001,"Delivered")+COUNTIFS(Orders!$C$2:$C$20001,$A326,Orders!$E$2:$E$20001,"COD",Orders!$F$2:$F$20001,"RTO"))</f>
        <v/>
      </c>
      <c r="C326" s="17" t="str">
        <f aca="false">IF($A326="","",COUNTIFS(Orders!$C$2:$C$20001,$A326,Orders!$E$2:$E$20001,"COD",Orders!$F$2:$F$20001,"RTO"))</f>
        <v/>
      </c>
      <c r="D326" s="18" t="str">
        <f aca="false">IF($A326="","",IFERROR(C326/B326,0))</f>
        <v/>
      </c>
      <c r="E326" s="17" t="str">
        <f aca="false">IF($A326="","",COUNTIFS(Orders!$C$2:$C$20001,$A326,Orders!$E$2:$E$20001,"Prepaid",Orders!$F$2:$F$20001,"Delivered")+COUNTIFS(Orders!$C$2:$C$20001,$A326,Orders!$E$2:$E$20001,"Prepaid",Orders!$F$2:$F$20001,"RTO"))</f>
        <v/>
      </c>
      <c r="F326" s="17" t="str">
        <f aca="false">IF($A326="","",COUNTIFS(Orders!$C$2:$C$20001,$A326,Orders!$E$2:$E$20001,"Prepaid",Orders!$F$2:$F$20001,"RTO"))</f>
        <v/>
      </c>
      <c r="G326" s="18" t="str">
        <f aca="false">IF($A326="","",IFERROR(F326/E326,0))</f>
        <v/>
      </c>
      <c r="H326" s="19" t="str">
        <f aca="false">IF($A326="","",C326*Settings!$B$11)</f>
        <v/>
      </c>
      <c r="I326" s="20" t="str">
        <f aca="false">IF($A326="","",IF(N(H326)=0,"",RANK(H326,$H$5:$H$2004)))</f>
        <v/>
      </c>
      <c r="J326" s="21" t="str">
        <f aca="false">IF($A326="","",IF(B326=0,"No COD orders",IF(B326&lt;Settings!$B$8,"Too few orders",IF(D326&gt;=Settings!$B$9,"Restrict COD or verify","Keep COD"))))</f>
        <v/>
      </c>
    </row>
    <row r="327" customFormat="false" ht="15" hidden="false" customHeight="false" outlineLevel="0" collapsed="false">
      <c r="A327" s="27"/>
      <c r="B327" s="17" t="str">
        <f aca="false">IF($A327="","",COUNTIFS(Orders!$C$2:$C$20001,$A327,Orders!$E$2:$E$20001,"COD",Orders!$F$2:$F$20001,"Delivered")+COUNTIFS(Orders!$C$2:$C$20001,$A327,Orders!$E$2:$E$20001,"COD",Orders!$F$2:$F$20001,"RTO"))</f>
        <v/>
      </c>
      <c r="C327" s="17" t="str">
        <f aca="false">IF($A327="","",COUNTIFS(Orders!$C$2:$C$20001,$A327,Orders!$E$2:$E$20001,"COD",Orders!$F$2:$F$20001,"RTO"))</f>
        <v/>
      </c>
      <c r="D327" s="18" t="str">
        <f aca="false">IF($A327="","",IFERROR(C327/B327,0))</f>
        <v/>
      </c>
      <c r="E327" s="17" t="str">
        <f aca="false">IF($A327="","",COUNTIFS(Orders!$C$2:$C$20001,$A327,Orders!$E$2:$E$20001,"Prepaid",Orders!$F$2:$F$20001,"Delivered")+COUNTIFS(Orders!$C$2:$C$20001,$A327,Orders!$E$2:$E$20001,"Prepaid",Orders!$F$2:$F$20001,"RTO"))</f>
        <v/>
      </c>
      <c r="F327" s="17" t="str">
        <f aca="false">IF($A327="","",COUNTIFS(Orders!$C$2:$C$20001,$A327,Orders!$E$2:$E$20001,"Prepaid",Orders!$F$2:$F$20001,"RTO"))</f>
        <v/>
      </c>
      <c r="G327" s="18" t="str">
        <f aca="false">IF($A327="","",IFERROR(F327/E327,0))</f>
        <v/>
      </c>
      <c r="H327" s="19" t="str">
        <f aca="false">IF($A327="","",C327*Settings!$B$11)</f>
        <v/>
      </c>
      <c r="I327" s="20" t="str">
        <f aca="false">IF($A327="","",IF(N(H327)=0,"",RANK(H327,$H$5:$H$2004)))</f>
        <v/>
      </c>
      <c r="J327" s="21" t="str">
        <f aca="false">IF($A327="","",IF(B327=0,"No COD orders",IF(B327&lt;Settings!$B$8,"Too few orders",IF(D327&gt;=Settings!$B$9,"Restrict COD or verify","Keep COD"))))</f>
        <v/>
      </c>
    </row>
    <row r="328" customFormat="false" ht="15" hidden="false" customHeight="false" outlineLevel="0" collapsed="false">
      <c r="A328" s="27"/>
      <c r="B328" s="17" t="str">
        <f aca="false">IF($A328="","",COUNTIFS(Orders!$C$2:$C$20001,$A328,Orders!$E$2:$E$20001,"COD",Orders!$F$2:$F$20001,"Delivered")+COUNTIFS(Orders!$C$2:$C$20001,$A328,Orders!$E$2:$E$20001,"COD",Orders!$F$2:$F$20001,"RTO"))</f>
        <v/>
      </c>
      <c r="C328" s="17" t="str">
        <f aca="false">IF($A328="","",COUNTIFS(Orders!$C$2:$C$20001,$A328,Orders!$E$2:$E$20001,"COD",Orders!$F$2:$F$20001,"RTO"))</f>
        <v/>
      </c>
      <c r="D328" s="18" t="str">
        <f aca="false">IF($A328="","",IFERROR(C328/B328,0))</f>
        <v/>
      </c>
      <c r="E328" s="17" t="str">
        <f aca="false">IF($A328="","",COUNTIFS(Orders!$C$2:$C$20001,$A328,Orders!$E$2:$E$20001,"Prepaid",Orders!$F$2:$F$20001,"Delivered")+COUNTIFS(Orders!$C$2:$C$20001,$A328,Orders!$E$2:$E$20001,"Prepaid",Orders!$F$2:$F$20001,"RTO"))</f>
        <v/>
      </c>
      <c r="F328" s="17" t="str">
        <f aca="false">IF($A328="","",COUNTIFS(Orders!$C$2:$C$20001,$A328,Orders!$E$2:$E$20001,"Prepaid",Orders!$F$2:$F$20001,"RTO"))</f>
        <v/>
      </c>
      <c r="G328" s="18" t="str">
        <f aca="false">IF($A328="","",IFERROR(F328/E328,0))</f>
        <v/>
      </c>
      <c r="H328" s="19" t="str">
        <f aca="false">IF($A328="","",C328*Settings!$B$11)</f>
        <v/>
      </c>
      <c r="I328" s="20" t="str">
        <f aca="false">IF($A328="","",IF(N(H328)=0,"",RANK(H328,$H$5:$H$2004)))</f>
        <v/>
      </c>
      <c r="J328" s="21" t="str">
        <f aca="false">IF($A328="","",IF(B328=0,"No COD orders",IF(B328&lt;Settings!$B$8,"Too few orders",IF(D328&gt;=Settings!$B$9,"Restrict COD or verify","Keep COD"))))</f>
        <v/>
      </c>
    </row>
    <row r="329" customFormat="false" ht="15" hidden="false" customHeight="false" outlineLevel="0" collapsed="false">
      <c r="A329" s="27"/>
      <c r="B329" s="17" t="str">
        <f aca="false">IF($A329="","",COUNTIFS(Orders!$C$2:$C$20001,$A329,Orders!$E$2:$E$20001,"COD",Orders!$F$2:$F$20001,"Delivered")+COUNTIFS(Orders!$C$2:$C$20001,$A329,Orders!$E$2:$E$20001,"COD",Orders!$F$2:$F$20001,"RTO"))</f>
        <v/>
      </c>
      <c r="C329" s="17" t="str">
        <f aca="false">IF($A329="","",COUNTIFS(Orders!$C$2:$C$20001,$A329,Orders!$E$2:$E$20001,"COD",Orders!$F$2:$F$20001,"RTO"))</f>
        <v/>
      </c>
      <c r="D329" s="18" t="str">
        <f aca="false">IF($A329="","",IFERROR(C329/B329,0))</f>
        <v/>
      </c>
      <c r="E329" s="17" t="str">
        <f aca="false">IF($A329="","",COUNTIFS(Orders!$C$2:$C$20001,$A329,Orders!$E$2:$E$20001,"Prepaid",Orders!$F$2:$F$20001,"Delivered")+COUNTIFS(Orders!$C$2:$C$20001,$A329,Orders!$E$2:$E$20001,"Prepaid",Orders!$F$2:$F$20001,"RTO"))</f>
        <v/>
      </c>
      <c r="F329" s="17" t="str">
        <f aca="false">IF($A329="","",COUNTIFS(Orders!$C$2:$C$20001,$A329,Orders!$E$2:$E$20001,"Prepaid",Orders!$F$2:$F$20001,"RTO"))</f>
        <v/>
      </c>
      <c r="G329" s="18" t="str">
        <f aca="false">IF($A329="","",IFERROR(F329/E329,0))</f>
        <v/>
      </c>
      <c r="H329" s="19" t="str">
        <f aca="false">IF($A329="","",C329*Settings!$B$11)</f>
        <v/>
      </c>
      <c r="I329" s="20" t="str">
        <f aca="false">IF($A329="","",IF(N(H329)=0,"",RANK(H329,$H$5:$H$2004)))</f>
        <v/>
      </c>
      <c r="J329" s="21" t="str">
        <f aca="false">IF($A329="","",IF(B329=0,"No COD orders",IF(B329&lt;Settings!$B$8,"Too few orders",IF(D329&gt;=Settings!$B$9,"Restrict COD or verify","Keep COD"))))</f>
        <v/>
      </c>
    </row>
    <row r="330" customFormat="false" ht="15" hidden="false" customHeight="false" outlineLevel="0" collapsed="false">
      <c r="A330" s="27"/>
      <c r="B330" s="17" t="str">
        <f aca="false">IF($A330="","",COUNTIFS(Orders!$C$2:$C$20001,$A330,Orders!$E$2:$E$20001,"COD",Orders!$F$2:$F$20001,"Delivered")+COUNTIFS(Orders!$C$2:$C$20001,$A330,Orders!$E$2:$E$20001,"COD",Orders!$F$2:$F$20001,"RTO"))</f>
        <v/>
      </c>
      <c r="C330" s="17" t="str">
        <f aca="false">IF($A330="","",COUNTIFS(Orders!$C$2:$C$20001,$A330,Orders!$E$2:$E$20001,"COD",Orders!$F$2:$F$20001,"RTO"))</f>
        <v/>
      </c>
      <c r="D330" s="18" t="str">
        <f aca="false">IF($A330="","",IFERROR(C330/B330,0))</f>
        <v/>
      </c>
      <c r="E330" s="17" t="str">
        <f aca="false">IF($A330="","",COUNTIFS(Orders!$C$2:$C$20001,$A330,Orders!$E$2:$E$20001,"Prepaid",Orders!$F$2:$F$20001,"Delivered")+COUNTIFS(Orders!$C$2:$C$20001,$A330,Orders!$E$2:$E$20001,"Prepaid",Orders!$F$2:$F$20001,"RTO"))</f>
        <v/>
      </c>
      <c r="F330" s="17" t="str">
        <f aca="false">IF($A330="","",COUNTIFS(Orders!$C$2:$C$20001,$A330,Orders!$E$2:$E$20001,"Prepaid",Orders!$F$2:$F$20001,"RTO"))</f>
        <v/>
      </c>
      <c r="G330" s="18" t="str">
        <f aca="false">IF($A330="","",IFERROR(F330/E330,0))</f>
        <v/>
      </c>
      <c r="H330" s="19" t="str">
        <f aca="false">IF($A330="","",C330*Settings!$B$11)</f>
        <v/>
      </c>
      <c r="I330" s="20" t="str">
        <f aca="false">IF($A330="","",IF(N(H330)=0,"",RANK(H330,$H$5:$H$2004)))</f>
        <v/>
      </c>
      <c r="J330" s="21" t="str">
        <f aca="false">IF($A330="","",IF(B330=0,"No COD orders",IF(B330&lt;Settings!$B$8,"Too few orders",IF(D330&gt;=Settings!$B$9,"Restrict COD or verify","Keep COD"))))</f>
        <v/>
      </c>
    </row>
    <row r="331" customFormat="false" ht="15" hidden="false" customHeight="false" outlineLevel="0" collapsed="false">
      <c r="A331" s="27"/>
      <c r="B331" s="17" t="str">
        <f aca="false">IF($A331="","",COUNTIFS(Orders!$C$2:$C$20001,$A331,Orders!$E$2:$E$20001,"COD",Orders!$F$2:$F$20001,"Delivered")+COUNTIFS(Orders!$C$2:$C$20001,$A331,Orders!$E$2:$E$20001,"COD",Orders!$F$2:$F$20001,"RTO"))</f>
        <v/>
      </c>
      <c r="C331" s="17" t="str">
        <f aca="false">IF($A331="","",COUNTIFS(Orders!$C$2:$C$20001,$A331,Orders!$E$2:$E$20001,"COD",Orders!$F$2:$F$20001,"RTO"))</f>
        <v/>
      </c>
      <c r="D331" s="18" t="str">
        <f aca="false">IF($A331="","",IFERROR(C331/B331,0))</f>
        <v/>
      </c>
      <c r="E331" s="17" t="str">
        <f aca="false">IF($A331="","",COUNTIFS(Orders!$C$2:$C$20001,$A331,Orders!$E$2:$E$20001,"Prepaid",Orders!$F$2:$F$20001,"Delivered")+COUNTIFS(Orders!$C$2:$C$20001,$A331,Orders!$E$2:$E$20001,"Prepaid",Orders!$F$2:$F$20001,"RTO"))</f>
        <v/>
      </c>
      <c r="F331" s="17" t="str">
        <f aca="false">IF($A331="","",COUNTIFS(Orders!$C$2:$C$20001,$A331,Orders!$E$2:$E$20001,"Prepaid",Orders!$F$2:$F$20001,"RTO"))</f>
        <v/>
      </c>
      <c r="G331" s="18" t="str">
        <f aca="false">IF($A331="","",IFERROR(F331/E331,0))</f>
        <v/>
      </c>
      <c r="H331" s="19" t="str">
        <f aca="false">IF($A331="","",C331*Settings!$B$11)</f>
        <v/>
      </c>
      <c r="I331" s="20" t="str">
        <f aca="false">IF($A331="","",IF(N(H331)=0,"",RANK(H331,$H$5:$H$2004)))</f>
        <v/>
      </c>
      <c r="J331" s="21" t="str">
        <f aca="false">IF($A331="","",IF(B331=0,"No COD orders",IF(B331&lt;Settings!$B$8,"Too few orders",IF(D331&gt;=Settings!$B$9,"Restrict COD or verify","Keep COD"))))</f>
        <v/>
      </c>
    </row>
    <row r="332" customFormat="false" ht="15" hidden="false" customHeight="false" outlineLevel="0" collapsed="false">
      <c r="A332" s="27"/>
      <c r="B332" s="17" t="str">
        <f aca="false">IF($A332="","",COUNTIFS(Orders!$C$2:$C$20001,$A332,Orders!$E$2:$E$20001,"COD",Orders!$F$2:$F$20001,"Delivered")+COUNTIFS(Orders!$C$2:$C$20001,$A332,Orders!$E$2:$E$20001,"COD",Orders!$F$2:$F$20001,"RTO"))</f>
        <v/>
      </c>
      <c r="C332" s="17" t="str">
        <f aca="false">IF($A332="","",COUNTIFS(Orders!$C$2:$C$20001,$A332,Orders!$E$2:$E$20001,"COD",Orders!$F$2:$F$20001,"RTO"))</f>
        <v/>
      </c>
      <c r="D332" s="18" t="str">
        <f aca="false">IF($A332="","",IFERROR(C332/B332,0))</f>
        <v/>
      </c>
      <c r="E332" s="17" t="str">
        <f aca="false">IF($A332="","",COUNTIFS(Orders!$C$2:$C$20001,$A332,Orders!$E$2:$E$20001,"Prepaid",Orders!$F$2:$F$20001,"Delivered")+COUNTIFS(Orders!$C$2:$C$20001,$A332,Orders!$E$2:$E$20001,"Prepaid",Orders!$F$2:$F$20001,"RTO"))</f>
        <v/>
      </c>
      <c r="F332" s="17" t="str">
        <f aca="false">IF($A332="","",COUNTIFS(Orders!$C$2:$C$20001,$A332,Orders!$E$2:$E$20001,"Prepaid",Orders!$F$2:$F$20001,"RTO"))</f>
        <v/>
      </c>
      <c r="G332" s="18" t="str">
        <f aca="false">IF($A332="","",IFERROR(F332/E332,0))</f>
        <v/>
      </c>
      <c r="H332" s="19" t="str">
        <f aca="false">IF($A332="","",C332*Settings!$B$11)</f>
        <v/>
      </c>
      <c r="I332" s="20" t="str">
        <f aca="false">IF($A332="","",IF(N(H332)=0,"",RANK(H332,$H$5:$H$2004)))</f>
        <v/>
      </c>
      <c r="J332" s="21" t="str">
        <f aca="false">IF($A332="","",IF(B332=0,"No COD orders",IF(B332&lt;Settings!$B$8,"Too few orders",IF(D332&gt;=Settings!$B$9,"Restrict COD or verify","Keep COD"))))</f>
        <v/>
      </c>
    </row>
    <row r="333" customFormat="false" ht="15" hidden="false" customHeight="false" outlineLevel="0" collapsed="false">
      <c r="A333" s="27"/>
      <c r="B333" s="17" t="str">
        <f aca="false">IF($A333="","",COUNTIFS(Orders!$C$2:$C$20001,$A333,Orders!$E$2:$E$20001,"COD",Orders!$F$2:$F$20001,"Delivered")+COUNTIFS(Orders!$C$2:$C$20001,$A333,Orders!$E$2:$E$20001,"COD",Orders!$F$2:$F$20001,"RTO"))</f>
        <v/>
      </c>
      <c r="C333" s="17" t="str">
        <f aca="false">IF($A333="","",COUNTIFS(Orders!$C$2:$C$20001,$A333,Orders!$E$2:$E$20001,"COD",Orders!$F$2:$F$20001,"RTO"))</f>
        <v/>
      </c>
      <c r="D333" s="18" t="str">
        <f aca="false">IF($A333="","",IFERROR(C333/B333,0))</f>
        <v/>
      </c>
      <c r="E333" s="17" t="str">
        <f aca="false">IF($A333="","",COUNTIFS(Orders!$C$2:$C$20001,$A333,Orders!$E$2:$E$20001,"Prepaid",Orders!$F$2:$F$20001,"Delivered")+COUNTIFS(Orders!$C$2:$C$20001,$A333,Orders!$E$2:$E$20001,"Prepaid",Orders!$F$2:$F$20001,"RTO"))</f>
        <v/>
      </c>
      <c r="F333" s="17" t="str">
        <f aca="false">IF($A333="","",COUNTIFS(Orders!$C$2:$C$20001,$A333,Orders!$E$2:$E$20001,"Prepaid",Orders!$F$2:$F$20001,"RTO"))</f>
        <v/>
      </c>
      <c r="G333" s="18" t="str">
        <f aca="false">IF($A333="","",IFERROR(F333/E333,0))</f>
        <v/>
      </c>
      <c r="H333" s="19" t="str">
        <f aca="false">IF($A333="","",C333*Settings!$B$11)</f>
        <v/>
      </c>
      <c r="I333" s="20" t="str">
        <f aca="false">IF($A333="","",IF(N(H333)=0,"",RANK(H333,$H$5:$H$2004)))</f>
        <v/>
      </c>
      <c r="J333" s="21" t="str">
        <f aca="false">IF($A333="","",IF(B333=0,"No COD orders",IF(B333&lt;Settings!$B$8,"Too few orders",IF(D333&gt;=Settings!$B$9,"Restrict COD or verify","Keep COD"))))</f>
        <v/>
      </c>
    </row>
    <row r="334" customFormat="false" ht="15" hidden="false" customHeight="false" outlineLevel="0" collapsed="false">
      <c r="A334" s="27"/>
      <c r="B334" s="17" t="str">
        <f aca="false">IF($A334="","",COUNTIFS(Orders!$C$2:$C$20001,$A334,Orders!$E$2:$E$20001,"COD",Orders!$F$2:$F$20001,"Delivered")+COUNTIFS(Orders!$C$2:$C$20001,$A334,Orders!$E$2:$E$20001,"COD",Orders!$F$2:$F$20001,"RTO"))</f>
        <v/>
      </c>
      <c r="C334" s="17" t="str">
        <f aca="false">IF($A334="","",COUNTIFS(Orders!$C$2:$C$20001,$A334,Orders!$E$2:$E$20001,"COD",Orders!$F$2:$F$20001,"RTO"))</f>
        <v/>
      </c>
      <c r="D334" s="18" t="str">
        <f aca="false">IF($A334="","",IFERROR(C334/B334,0))</f>
        <v/>
      </c>
      <c r="E334" s="17" t="str">
        <f aca="false">IF($A334="","",COUNTIFS(Orders!$C$2:$C$20001,$A334,Orders!$E$2:$E$20001,"Prepaid",Orders!$F$2:$F$20001,"Delivered")+COUNTIFS(Orders!$C$2:$C$20001,$A334,Orders!$E$2:$E$20001,"Prepaid",Orders!$F$2:$F$20001,"RTO"))</f>
        <v/>
      </c>
      <c r="F334" s="17" t="str">
        <f aca="false">IF($A334="","",COUNTIFS(Orders!$C$2:$C$20001,$A334,Orders!$E$2:$E$20001,"Prepaid",Orders!$F$2:$F$20001,"RTO"))</f>
        <v/>
      </c>
      <c r="G334" s="18" t="str">
        <f aca="false">IF($A334="","",IFERROR(F334/E334,0))</f>
        <v/>
      </c>
      <c r="H334" s="19" t="str">
        <f aca="false">IF($A334="","",C334*Settings!$B$11)</f>
        <v/>
      </c>
      <c r="I334" s="20" t="str">
        <f aca="false">IF($A334="","",IF(N(H334)=0,"",RANK(H334,$H$5:$H$2004)))</f>
        <v/>
      </c>
      <c r="J334" s="21" t="str">
        <f aca="false">IF($A334="","",IF(B334=0,"No COD orders",IF(B334&lt;Settings!$B$8,"Too few orders",IF(D334&gt;=Settings!$B$9,"Restrict COD or verify","Keep COD"))))</f>
        <v/>
      </c>
    </row>
    <row r="335" customFormat="false" ht="15" hidden="false" customHeight="false" outlineLevel="0" collapsed="false">
      <c r="A335" s="27"/>
      <c r="B335" s="17" t="str">
        <f aca="false">IF($A335="","",COUNTIFS(Orders!$C$2:$C$20001,$A335,Orders!$E$2:$E$20001,"COD",Orders!$F$2:$F$20001,"Delivered")+COUNTIFS(Orders!$C$2:$C$20001,$A335,Orders!$E$2:$E$20001,"COD",Orders!$F$2:$F$20001,"RTO"))</f>
        <v/>
      </c>
      <c r="C335" s="17" t="str">
        <f aca="false">IF($A335="","",COUNTIFS(Orders!$C$2:$C$20001,$A335,Orders!$E$2:$E$20001,"COD",Orders!$F$2:$F$20001,"RTO"))</f>
        <v/>
      </c>
      <c r="D335" s="18" t="str">
        <f aca="false">IF($A335="","",IFERROR(C335/B335,0))</f>
        <v/>
      </c>
      <c r="E335" s="17" t="str">
        <f aca="false">IF($A335="","",COUNTIFS(Orders!$C$2:$C$20001,$A335,Orders!$E$2:$E$20001,"Prepaid",Orders!$F$2:$F$20001,"Delivered")+COUNTIFS(Orders!$C$2:$C$20001,$A335,Orders!$E$2:$E$20001,"Prepaid",Orders!$F$2:$F$20001,"RTO"))</f>
        <v/>
      </c>
      <c r="F335" s="17" t="str">
        <f aca="false">IF($A335="","",COUNTIFS(Orders!$C$2:$C$20001,$A335,Orders!$E$2:$E$20001,"Prepaid",Orders!$F$2:$F$20001,"RTO"))</f>
        <v/>
      </c>
      <c r="G335" s="18" t="str">
        <f aca="false">IF($A335="","",IFERROR(F335/E335,0))</f>
        <v/>
      </c>
      <c r="H335" s="19" t="str">
        <f aca="false">IF($A335="","",C335*Settings!$B$11)</f>
        <v/>
      </c>
      <c r="I335" s="20" t="str">
        <f aca="false">IF($A335="","",IF(N(H335)=0,"",RANK(H335,$H$5:$H$2004)))</f>
        <v/>
      </c>
      <c r="J335" s="21" t="str">
        <f aca="false">IF($A335="","",IF(B335=0,"No COD orders",IF(B335&lt;Settings!$B$8,"Too few orders",IF(D335&gt;=Settings!$B$9,"Restrict COD or verify","Keep COD"))))</f>
        <v/>
      </c>
    </row>
    <row r="336" customFormat="false" ht="15" hidden="false" customHeight="false" outlineLevel="0" collapsed="false">
      <c r="A336" s="27"/>
      <c r="B336" s="17" t="str">
        <f aca="false">IF($A336="","",COUNTIFS(Orders!$C$2:$C$20001,$A336,Orders!$E$2:$E$20001,"COD",Orders!$F$2:$F$20001,"Delivered")+COUNTIFS(Orders!$C$2:$C$20001,$A336,Orders!$E$2:$E$20001,"COD",Orders!$F$2:$F$20001,"RTO"))</f>
        <v/>
      </c>
      <c r="C336" s="17" t="str">
        <f aca="false">IF($A336="","",COUNTIFS(Orders!$C$2:$C$20001,$A336,Orders!$E$2:$E$20001,"COD",Orders!$F$2:$F$20001,"RTO"))</f>
        <v/>
      </c>
      <c r="D336" s="18" t="str">
        <f aca="false">IF($A336="","",IFERROR(C336/B336,0))</f>
        <v/>
      </c>
      <c r="E336" s="17" t="str">
        <f aca="false">IF($A336="","",COUNTIFS(Orders!$C$2:$C$20001,$A336,Orders!$E$2:$E$20001,"Prepaid",Orders!$F$2:$F$20001,"Delivered")+COUNTIFS(Orders!$C$2:$C$20001,$A336,Orders!$E$2:$E$20001,"Prepaid",Orders!$F$2:$F$20001,"RTO"))</f>
        <v/>
      </c>
      <c r="F336" s="17" t="str">
        <f aca="false">IF($A336="","",COUNTIFS(Orders!$C$2:$C$20001,$A336,Orders!$E$2:$E$20001,"Prepaid",Orders!$F$2:$F$20001,"RTO"))</f>
        <v/>
      </c>
      <c r="G336" s="18" t="str">
        <f aca="false">IF($A336="","",IFERROR(F336/E336,0))</f>
        <v/>
      </c>
      <c r="H336" s="19" t="str">
        <f aca="false">IF($A336="","",C336*Settings!$B$11)</f>
        <v/>
      </c>
      <c r="I336" s="20" t="str">
        <f aca="false">IF($A336="","",IF(N(H336)=0,"",RANK(H336,$H$5:$H$2004)))</f>
        <v/>
      </c>
      <c r="J336" s="21" t="str">
        <f aca="false">IF($A336="","",IF(B336=0,"No COD orders",IF(B336&lt;Settings!$B$8,"Too few orders",IF(D336&gt;=Settings!$B$9,"Restrict COD or verify","Keep COD"))))</f>
        <v/>
      </c>
    </row>
    <row r="337" customFormat="false" ht="15" hidden="false" customHeight="false" outlineLevel="0" collapsed="false">
      <c r="A337" s="27"/>
      <c r="B337" s="17" t="str">
        <f aca="false">IF($A337="","",COUNTIFS(Orders!$C$2:$C$20001,$A337,Orders!$E$2:$E$20001,"COD",Orders!$F$2:$F$20001,"Delivered")+COUNTIFS(Orders!$C$2:$C$20001,$A337,Orders!$E$2:$E$20001,"COD",Orders!$F$2:$F$20001,"RTO"))</f>
        <v/>
      </c>
      <c r="C337" s="17" t="str">
        <f aca="false">IF($A337="","",COUNTIFS(Orders!$C$2:$C$20001,$A337,Orders!$E$2:$E$20001,"COD",Orders!$F$2:$F$20001,"RTO"))</f>
        <v/>
      </c>
      <c r="D337" s="18" t="str">
        <f aca="false">IF($A337="","",IFERROR(C337/B337,0))</f>
        <v/>
      </c>
      <c r="E337" s="17" t="str">
        <f aca="false">IF($A337="","",COUNTIFS(Orders!$C$2:$C$20001,$A337,Orders!$E$2:$E$20001,"Prepaid",Orders!$F$2:$F$20001,"Delivered")+COUNTIFS(Orders!$C$2:$C$20001,$A337,Orders!$E$2:$E$20001,"Prepaid",Orders!$F$2:$F$20001,"RTO"))</f>
        <v/>
      </c>
      <c r="F337" s="17" t="str">
        <f aca="false">IF($A337="","",COUNTIFS(Orders!$C$2:$C$20001,$A337,Orders!$E$2:$E$20001,"Prepaid",Orders!$F$2:$F$20001,"RTO"))</f>
        <v/>
      </c>
      <c r="G337" s="18" t="str">
        <f aca="false">IF($A337="","",IFERROR(F337/E337,0))</f>
        <v/>
      </c>
      <c r="H337" s="19" t="str">
        <f aca="false">IF($A337="","",C337*Settings!$B$11)</f>
        <v/>
      </c>
      <c r="I337" s="20" t="str">
        <f aca="false">IF($A337="","",IF(N(H337)=0,"",RANK(H337,$H$5:$H$2004)))</f>
        <v/>
      </c>
      <c r="J337" s="21" t="str">
        <f aca="false">IF($A337="","",IF(B337=0,"No COD orders",IF(B337&lt;Settings!$B$8,"Too few orders",IF(D337&gt;=Settings!$B$9,"Restrict COD or verify","Keep COD"))))</f>
        <v/>
      </c>
    </row>
    <row r="338" customFormat="false" ht="15" hidden="false" customHeight="false" outlineLevel="0" collapsed="false">
      <c r="A338" s="27"/>
      <c r="B338" s="17" t="str">
        <f aca="false">IF($A338="","",COUNTIFS(Orders!$C$2:$C$20001,$A338,Orders!$E$2:$E$20001,"COD",Orders!$F$2:$F$20001,"Delivered")+COUNTIFS(Orders!$C$2:$C$20001,$A338,Orders!$E$2:$E$20001,"COD",Orders!$F$2:$F$20001,"RTO"))</f>
        <v/>
      </c>
      <c r="C338" s="17" t="str">
        <f aca="false">IF($A338="","",COUNTIFS(Orders!$C$2:$C$20001,$A338,Orders!$E$2:$E$20001,"COD",Orders!$F$2:$F$20001,"RTO"))</f>
        <v/>
      </c>
      <c r="D338" s="18" t="str">
        <f aca="false">IF($A338="","",IFERROR(C338/B338,0))</f>
        <v/>
      </c>
      <c r="E338" s="17" t="str">
        <f aca="false">IF($A338="","",COUNTIFS(Orders!$C$2:$C$20001,$A338,Orders!$E$2:$E$20001,"Prepaid",Orders!$F$2:$F$20001,"Delivered")+COUNTIFS(Orders!$C$2:$C$20001,$A338,Orders!$E$2:$E$20001,"Prepaid",Orders!$F$2:$F$20001,"RTO"))</f>
        <v/>
      </c>
      <c r="F338" s="17" t="str">
        <f aca="false">IF($A338="","",COUNTIFS(Orders!$C$2:$C$20001,$A338,Orders!$E$2:$E$20001,"Prepaid",Orders!$F$2:$F$20001,"RTO"))</f>
        <v/>
      </c>
      <c r="G338" s="18" t="str">
        <f aca="false">IF($A338="","",IFERROR(F338/E338,0))</f>
        <v/>
      </c>
      <c r="H338" s="19" t="str">
        <f aca="false">IF($A338="","",C338*Settings!$B$11)</f>
        <v/>
      </c>
      <c r="I338" s="20" t="str">
        <f aca="false">IF($A338="","",IF(N(H338)=0,"",RANK(H338,$H$5:$H$2004)))</f>
        <v/>
      </c>
      <c r="J338" s="21" t="str">
        <f aca="false">IF($A338="","",IF(B338=0,"No COD orders",IF(B338&lt;Settings!$B$8,"Too few orders",IF(D338&gt;=Settings!$B$9,"Restrict COD or verify","Keep COD"))))</f>
        <v/>
      </c>
    </row>
    <row r="339" customFormat="false" ht="15" hidden="false" customHeight="false" outlineLevel="0" collapsed="false">
      <c r="A339" s="27"/>
      <c r="B339" s="17" t="str">
        <f aca="false">IF($A339="","",COUNTIFS(Orders!$C$2:$C$20001,$A339,Orders!$E$2:$E$20001,"COD",Orders!$F$2:$F$20001,"Delivered")+COUNTIFS(Orders!$C$2:$C$20001,$A339,Orders!$E$2:$E$20001,"COD",Orders!$F$2:$F$20001,"RTO"))</f>
        <v/>
      </c>
      <c r="C339" s="17" t="str">
        <f aca="false">IF($A339="","",COUNTIFS(Orders!$C$2:$C$20001,$A339,Orders!$E$2:$E$20001,"COD",Orders!$F$2:$F$20001,"RTO"))</f>
        <v/>
      </c>
      <c r="D339" s="18" t="str">
        <f aca="false">IF($A339="","",IFERROR(C339/B339,0))</f>
        <v/>
      </c>
      <c r="E339" s="17" t="str">
        <f aca="false">IF($A339="","",COUNTIFS(Orders!$C$2:$C$20001,$A339,Orders!$E$2:$E$20001,"Prepaid",Orders!$F$2:$F$20001,"Delivered")+COUNTIFS(Orders!$C$2:$C$20001,$A339,Orders!$E$2:$E$20001,"Prepaid",Orders!$F$2:$F$20001,"RTO"))</f>
        <v/>
      </c>
      <c r="F339" s="17" t="str">
        <f aca="false">IF($A339="","",COUNTIFS(Orders!$C$2:$C$20001,$A339,Orders!$E$2:$E$20001,"Prepaid",Orders!$F$2:$F$20001,"RTO"))</f>
        <v/>
      </c>
      <c r="G339" s="18" t="str">
        <f aca="false">IF($A339="","",IFERROR(F339/E339,0))</f>
        <v/>
      </c>
      <c r="H339" s="19" t="str">
        <f aca="false">IF($A339="","",C339*Settings!$B$11)</f>
        <v/>
      </c>
      <c r="I339" s="20" t="str">
        <f aca="false">IF($A339="","",IF(N(H339)=0,"",RANK(H339,$H$5:$H$2004)))</f>
        <v/>
      </c>
      <c r="J339" s="21" t="str">
        <f aca="false">IF($A339="","",IF(B339=0,"No COD orders",IF(B339&lt;Settings!$B$8,"Too few orders",IF(D339&gt;=Settings!$B$9,"Restrict COD or verify","Keep COD"))))</f>
        <v/>
      </c>
    </row>
    <row r="340" customFormat="false" ht="15" hidden="false" customHeight="false" outlineLevel="0" collapsed="false">
      <c r="A340" s="27"/>
      <c r="B340" s="17" t="str">
        <f aca="false">IF($A340="","",COUNTIFS(Orders!$C$2:$C$20001,$A340,Orders!$E$2:$E$20001,"COD",Orders!$F$2:$F$20001,"Delivered")+COUNTIFS(Orders!$C$2:$C$20001,$A340,Orders!$E$2:$E$20001,"COD",Orders!$F$2:$F$20001,"RTO"))</f>
        <v/>
      </c>
      <c r="C340" s="17" t="str">
        <f aca="false">IF($A340="","",COUNTIFS(Orders!$C$2:$C$20001,$A340,Orders!$E$2:$E$20001,"COD",Orders!$F$2:$F$20001,"RTO"))</f>
        <v/>
      </c>
      <c r="D340" s="18" t="str">
        <f aca="false">IF($A340="","",IFERROR(C340/B340,0))</f>
        <v/>
      </c>
      <c r="E340" s="17" t="str">
        <f aca="false">IF($A340="","",COUNTIFS(Orders!$C$2:$C$20001,$A340,Orders!$E$2:$E$20001,"Prepaid",Orders!$F$2:$F$20001,"Delivered")+COUNTIFS(Orders!$C$2:$C$20001,$A340,Orders!$E$2:$E$20001,"Prepaid",Orders!$F$2:$F$20001,"RTO"))</f>
        <v/>
      </c>
      <c r="F340" s="17" t="str">
        <f aca="false">IF($A340="","",COUNTIFS(Orders!$C$2:$C$20001,$A340,Orders!$E$2:$E$20001,"Prepaid",Orders!$F$2:$F$20001,"RTO"))</f>
        <v/>
      </c>
      <c r="G340" s="18" t="str">
        <f aca="false">IF($A340="","",IFERROR(F340/E340,0))</f>
        <v/>
      </c>
      <c r="H340" s="19" t="str">
        <f aca="false">IF($A340="","",C340*Settings!$B$11)</f>
        <v/>
      </c>
      <c r="I340" s="20" t="str">
        <f aca="false">IF($A340="","",IF(N(H340)=0,"",RANK(H340,$H$5:$H$2004)))</f>
        <v/>
      </c>
      <c r="J340" s="21" t="str">
        <f aca="false">IF($A340="","",IF(B340=0,"No COD orders",IF(B340&lt;Settings!$B$8,"Too few orders",IF(D340&gt;=Settings!$B$9,"Restrict COD or verify","Keep COD"))))</f>
        <v/>
      </c>
    </row>
    <row r="341" customFormat="false" ht="15" hidden="false" customHeight="false" outlineLevel="0" collapsed="false">
      <c r="A341" s="27"/>
      <c r="B341" s="17" t="str">
        <f aca="false">IF($A341="","",COUNTIFS(Orders!$C$2:$C$20001,$A341,Orders!$E$2:$E$20001,"COD",Orders!$F$2:$F$20001,"Delivered")+COUNTIFS(Orders!$C$2:$C$20001,$A341,Orders!$E$2:$E$20001,"COD",Orders!$F$2:$F$20001,"RTO"))</f>
        <v/>
      </c>
      <c r="C341" s="17" t="str">
        <f aca="false">IF($A341="","",COUNTIFS(Orders!$C$2:$C$20001,$A341,Orders!$E$2:$E$20001,"COD",Orders!$F$2:$F$20001,"RTO"))</f>
        <v/>
      </c>
      <c r="D341" s="18" t="str">
        <f aca="false">IF($A341="","",IFERROR(C341/B341,0))</f>
        <v/>
      </c>
      <c r="E341" s="17" t="str">
        <f aca="false">IF($A341="","",COUNTIFS(Orders!$C$2:$C$20001,$A341,Orders!$E$2:$E$20001,"Prepaid",Orders!$F$2:$F$20001,"Delivered")+COUNTIFS(Orders!$C$2:$C$20001,$A341,Orders!$E$2:$E$20001,"Prepaid",Orders!$F$2:$F$20001,"RTO"))</f>
        <v/>
      </c>
      <c r="F341" s="17" t="str">
        <f aca="false">IF($A341="","",COUNTIFS(Orders!$C$2:$C$20001,$A341,Orders!$E$2:$E$20001,"Prepaid",Orders!$F$2:$F$20001,"RTO"))</f>
        <v/>
      </c>
      <c r="G341" s="18" t="str">
        <f aca="false">IF($A341="","",IFERROR(F341/E341,0))</f>
        <v/>
      </c>
      <c r="H341" s="19" t="str">
        <f aca="false">IF($A341="","",C341*Settings!$B$11)</f>
        <v/>
      </c>
      <c r="I341" s="20" t="str">
        <f aca="false">IF($A341="","",IF(N(H341)=0,"",RANK(H341,$H$5:$H$2004)))</f>
        <v/>
      </c>
      <c r="J341" s="21" t="str">
        <f aca="false">IF($A341="","",IF(B341=0,"No COD orders",IF(B341&lt;Settings!$B$8,"Too few orders",IF(D341&gt;=Settings!$B$9,"Restrict COD or verify","Keep COD"))))</f>
        <v/>
      </c>
    </row>
    <row r="342" customFormat="false" ht="15" hidden="false" customHeight="false" outlineLevel="0" collapsed="false">
      <c r="A342" s="27"/>
      <c r="B342" s="17" t="str">
        <f aca="false">IF($A342="","",COUNTIFS(Orders!$C$2:$C$20001,$A342,Orders!$E$2:$E$20001,"COD",Orders!$F$2:$F$20001,"Delivered")+COUNTIFS(Orders!$C$2:$C$20001,$A342,Orders!$E$2:$E$20001,"COD",Orders!$F$2:$F$20001,"RTO"))</f>
        <v/>
      </c>
      <c r="C342" s="17" t="str">
        <f aca="false">IF($A342="","",COUNTIFS(Orders!$C$2:$C$20001,$A342,Orders!$E$2:$E$20001,"COD",Orders!$F$2:$F$20001,"RTO"))</f>
        <v/>
      </c>
      <c r="D342" s="18" t="str">
        <f aca="false">IF($A342="","",IFERROR(C342/B342,0))</f>
        <v/>
      </c>
      <c r="E342" s="17" t="str">
        <f aca="false">IF($A342="","",COUNTIFS(Orders!$C$2:$C$20001,$A342,Orders!$E$2:$E$20001,"Prepaid",Orders!$F$2:$F$20001,"Delivered")+COUNTIFS(Orders!$C$2:$C$20001,$A342,Orders!$E$2:$E$20001,"Prepaid",Orders!$F$2:$F$20001,"RTO"))</f>
        <v/>
      </c>
      <c r="F342" s="17" t="str">
        <f aca="false">IF($A342="","",COUNTIFS(Orders!$C$2:$C$20001,$A342,Orders!$E$2:$E$20001,"Prepaid",Orders!$F$2:$F$20001,"RTO"))</f>
        <v/>
      </c>
      <c r="G342" s="18" t="str">
        <f aca="false">IF($A342="","",IFERROR(F342/E342,0))</f>
        <v/>
      </c>
      <c r="H342" s="19" t="str">
        <f aca="false">IF($A342="","",C342*Settings!$B$11)</f>
        <v/>
      </c>
      <c r="I342" s="20" t="str">
        <f aca="false">IF($A342="","",IF(N(H342)=0,"",RANK(H342,$H$5:$H$2004)))</f>
        <v/>
      </c>
      <c r="J342" s="21" t="str">
        <f aca="false">IF($A342="","",IF(B342=0,"No COD orders",IF(B342&lt;Settings!$B$8,"Too few orders",IF(D342&gt;=Settings!$B$9,"Restrict COD or verify","Keep COD"))))</f>
        <v/>
      </c>
    </row>
    <row r="343" customFormat="false" ht="15" hidden="false" customHeight="false" outlineLevel="0" collapsed="false">
      <c r="A343" s="27"/>
      <c r="B343" s="17" t="str">
        <f aca="false">IF($A343="","",COUNTIFS(Orders!$C$2:$C$20001,$A343,Orders!$E$2:$E$20001,"COD",Orders!$F$2:$F$20001,"Delivered")+COUNTIFS(Orders!$C$2:$C$20001,$A343,Orders!$E$2:$E$20001,"COD",Orders!$F$2:$F$20001,"RTO"))</f>
        <v/>
      </c>
      <c r="C343" s="17" t="str">
        <f aca="false">IF($A343="","",COUNTIFS(Orders!$C$2:$C$20001,$A343,Orders!$E$2:$E$20001,"COD",Orders!$F$2:$F$20001,"RTO"))</f>
        <v/>
      </c>
      <c r="D343" s="18" t="str">
        <f aca="false">IF($A343="","",IFERROR(C343/B343,0))</f>
        <v/>
      </c>
      <c r="E343" s="17" t="str">
        <f aca="false">IF($A343="","",COUNTIFS(Orders!$C$2:$C$20001,$A343,Orders!$E$2:$E$20001,"Prepaid",Orders!$F$2:$F$20001,"Delivered")+COUNTIFS(Orders!$C$2:$C$20001,$A343,Orders!$E$2:$E$20001,"Prepaid",Orders!$F$2:$F$20001,"RTO"))</f>
        <v/>
      </c>
      <c r="F343" s="17" t="str">
        <f aca="false">IF($A343="","",COUNTIFS(Orders!$C$2:$C$20001,$A343,Orders!$E$2:$E$20001,"Prepaid",Orders!$F$2:$F$20001,"RTO"))</f>
        <v/>
      </c>
      <c r="G343" s="18" t="str">
        <f aca="false">IF($A343="","",IFERROR(F343/E343,0))</f>
        <v/>
      </c>
      <c r="H343" s="19" t="str">
        <f aca="false">IF($A343="","",C343*Settings!$B$11)</f>
        <v/>
      </c>
      <c r="I343" s="20" t="str">
        <f aca="false">IF($A343="","",IF(N(H343)=0,"",RANK(H343,$H$5:$H$2004)))</f>
        <v/>
      </c>
      <c r="J343" s="21" t="str">
        <f aca="false">IF($A343="","",IF(B343=0,"No COD orders",IF(B343&lt;Settings!$B$8,"Too few orders",IF(D343&gt;=Settings!$B$9,"Restrict COD or verify","Keep COD"))))</f>
        <v/>
      </c>
    </row>
    <row r="344" customFormat="false" ht="15" hidden="false" customHeight="false" outlineLevel="0" collapsed="false">
      <c r="A344" s="27"/>
      <c r="B344" s="17" t="str">
        <f aca="false">IF($A344="","",COUNTIFS(Orders!$C$2:$C$20001,$A344,Orders!$E$2:$E$20001,"COD",Orders!$F$2:$F$20001,"Delivered")+COUNTIFS(Orders!$C$2:$C$20001,$A344,Orders!$E$2:$E$20001,"COD",Orders!$F$2:$F$20001,"RTO"))</f>
        <v/>
      </c>
      <c r="C344" s="17" t="str">
        <f aca="false">IF($A344="","",COUNTIFS(Orders!$C$2:$C$20001,$A344,Orders!$E$2:$E$20001,"COD",Orders!$F$2:$F$20001,"RTO"))</f>
        <v/>
      </c>
      <c r="D344" s="18" t="str">
        <f aca="false">IF($A344="","",IFERROR(C344/B344,0))</f>
        <v/>
      </c>
      <c r="E344" s="17" t="str">
        <f aca="false">IF($A344="","",COUNTIFS(Orders!$C$2:$C$20001,$A344,Orders!$E$2:$E$20001,"Prepaid",Orders!$F$2:$F$20001,"Delivered")+COUNTIFS(Orders!$C$2:$C$20001,$A344,Orders!$E$2:$E$20001,"Prepaid",Orders!$F$2:$F$20001,"RTO"))</f>
        <v/>
      </c>
      <c r="F344" s="17" t="str">
        <f aca="false">IF($A344="","",COUNTIFS(Orders!$C$2:$C$20001,$A344,Orders!$E$2:$E$20001,"Prepaid",Orders!$F$2:$F$20001,"RTO"))</f>
        <v/>
      </c>
      <c r="G344" s="18" t="str">
        <f aca="false">IF($A344="","",IFERROR(F344/E344,0))</f>
        <v/>
      </c>
      <c r="H344" s="19" t="str">
        <f aca="false">IF($A344="","",C344*Settings!$B$11)</f>
        <v/>
      </c>
      <c r="I344" s="20" t="str">
        <f aca="false">IF($A344="","",IF(N(H344)=0,"",RANK(H344,$H$5:$H$2004)))</f>
        <v/>
      </c>
      <c r="J344" s="21" t="str">
        <f aca="false">IF($A344="","",IF(B344=0,"No COD orders",IF(B344&lt;Settings!$B$8,"Too few orders",IF(D344&gt;=Settings!$B$9,"Restrict COD or verify","Keep COD"))))</f>
        <v/>
      </c>
    </row>
    <row r="345" customFormat="false" ht="15" hidden="false" customHeight="false" outlineLevel="0" collapsed="false">
      <c r="A345" s="27"/>
      <c r="B345" s="17" t="str">
        <f aca="false">IF($A345="","",COUNTIFS(Orders!$C$2:$C$20001,$A345,Orders!$E$2:$E$20001,"COD",Orders!$F$2:$F$20001,"Delivered")+COUNTIFS(Orders!$C$2:$C$20001,$A345,Orders!$E$2:$E$20001,"COD",Orders!$F$2:$F$20001,"RTO"))</f>
        <v/>
      </c>
      <c r="C345" s="17" t="str">
        <f aca="false">IF($A345="","",COUNTIFS(Orders!$C$2:$C$20001,$A345,Orders!$E$2:$E$20001,"COD",Orders!$F$2:$F$20001,"RTO"))</f>
        <v/>
      </c>
      <c r="D345" s="18" t="str">
        <f aca="false">IF($A345="","",IFERROR(C345/B345,0))</f>
        <v/>
      </c>
      <c r="E345" s="17" t="str">
        <f aca="false">IF($A345="","",COUNTIFS(Orders!$C$2:$C$20001,$A345,Orders!$E$2:$E$20001,"Prepaid",Orders!$F$2:$F$20001,"Delivered")+COUNTIFS(Orders!$C$2:$C$20001,$A345,Orders!$E$2:$E$20001,"Prepaid",Orders!$F$2:$F$20001,"RTO"))</f>
        <v/>
      </c>
      <c r="F345" s="17" t="str">
        <f aca="false">IF($A345="","",COUNTIFS(Orders!$C$2:$C$20001,$A345,Orders!$E$2:$E$20001,"Prepaid",Orders!$F$2:$F$20001,"RTO"))</f>
        <v/>
      </c>
      <c r="G345" s="18" t="str">
        <f aca="false">IF($A345="","",IFERROR(F345/E345,0))</f>
        <v/>
      </c>
      <c r="H345" s="19" t="str">
        <f aca="false">IF($A345="","",C345*Settings!$B$11)</f>
        <v/>
      </c>
      <c r="I345" s="20" t="str">
        <f aca="false">IF($A345="","",IF(N(H345)=0,"",RANK(H345,$H$5:$H$2004)))</f>
        <v/>
      </c>
      <c r="J345" s="21" t="str">
        <f aca="false">IF($A345="","",IF(B345=0,"No COD orders",IF(B345&lt;Settings!$B$8,"Too few orders",IF(D345&gt;=Settings!$B$9,"Restrict COD or verify","Keep COD"))))</f>
        <v/>
      </c>
    </row>
    <row r="346" customFormat="false" ht="15" hidden="false" customHeight="false" outlineLevel="0" collapsed="false">
      <c r="A346" s="27"/>
      <c r="B346" s="17" t="str">
        <f aca="false">IF($A346="","",COUNTIFS(Orders!$C$2:$C$20001,$A346,Orders!$E$2:$E$20001,"COD",Orders!$F$2:$F$20001,"Delivered")+COUNTIFS(Orders!$C$2:$C$20001,$A346,Orders!$E$2:$E$20001,"COD",Orders!$F$2:$F$20001,"RTO"))</f>
        <v/>
      </c>
      <c r="C346" s="17" t="str">
        <f aca="false">IF($A346="","",COUNTIFS(Orders!$C$2:$C$20001,$A346,Orders!$E$2:$E$20001,"COD",Orders!$F$2:$F$20001,"RTO"))</f>
        <v/>
      </c>
      <c r="D346" s="18" t="str">
        <f aca="false">IF($A346="","",IFERROR(C346/B346,0))</f>
        <v/>
      </c>
      <c r="E346" s="17" t="str">
        <f aca="false">IF($A346="","",COUNTIFS(Orders!$C$2:$C$20001,$A346,Orders!$E$2:$E$20001,"Prepaid",Orders!$F$2:$F$20001,"Delivered")+COUNTIFS(Orders!$C$2:$C$20001,$A346,Orders!$E$2:$E$20001,"Prepaid",Orders!$F$2:$F$20001,"RTO"))</f>
        <v/>
      </c>
      <c r="F346" s="17" t="str">
        <f aca="false">IF($A346="","",COUNTIFS(Orders!$C$2:$C$20001,$A346,Orders!$E$2:$E$20001,"Prepaid",Orders!$F$2:$F$20001,"RTO"))</f>
        <v/>
      </c>
      <c r="G346" s="18" t="str">
        <f aca="false">IF($A346="","",IFERROR(F346/E346,0))</f>
        <v/>
      </c>
      <c r="H346" s="19" t="str">
        <f aca="false">IF($A346="","",C346*Settings!$B$11)</f>
        <v/>
      </c>
      <c r="I346" s="20" t="str">
        <f aca="false">IF($A346="","",IF(N(H346)=0,"",RANK(H346,$H$5:$H$2004)))</f>
        <v/>
      </c>
      <c r="J346" s="21" t="str">
        <f aca="false">IF($A346="","",IF(B346=0,"No COD orders",IF(B346&lt;Settings!$B$8,"Too few orders",IF(D346&gt;=Settings!$B$9,"Restrict COD or verify","Keep COD"))))</f>
        <v/>
      </c>
    </row>
    <row r="347" customFormat="false" ht="15" hidden="false" customHeight="false" outlineLevel="0" collapsed="false">
      <c r="A347" s="27"/>
      <c r="B347" s="17" t="str">
        <f aca="false">IF($A347="","",COUNTIFS(Orders!$C$2:$C$20001,$A347,Orders!$E$2:$E$20001,"COD",Orders!$F$2:$F$20001,"Delivered")+COUNTIFS(Orders!$C$2:$C$20001,$A347,Orders!$E$2:$E$20001,"COD",Orders!$F$2:$F$20001,"RTO"))</f>
        <v/>
      </c>
      <c r="C347" s="17" t="str">
        <f aca="false">IF($A347="","",COUNTIFS(Orders!$C$2:$C$20001,$A347,Orders!$E$2:$E$20001,"COD",Orders!$F$2:$F$20001,"RTO"))</f>
        <v/>
      </c>
      <c r="D347" s="18" t="str">
        <f aca="false">IF($A347="","",IFERROR(C347/B347,0))</f>
        <v/>
      </c>
      <c r="E347" s="17" t="str">
        <f aca="false">IF($A347="","",COUNTIFS(Orders!$C$2:$C$20001,$A347,Orders!$E$2:$E$20001,"Prepaid",Orders!$F$2:$F$20001,"Delivered")+COUNTIFS(Orders!$C$2:$C$20001,$A347,Orders!$E$2:$E$20001,"Prepaid",Orders!$F$2:$F$20001,"RTO"))</f>
        <v/>
      </c>
      <c r="F347" s="17" t="str">
        <f aca="false">IF($A347="","",COUNTIFS(Orders!$C$2:$C$20001,$A347,Orders!$E$2:$E$20001,"Prepaid",Orders!$F$2:$F$20001,"RTO"))</f>
        <v/>
      </c>
      <c r="G347" s="18" t="str">
        <f aca="false">IF($A347="","",IFERROR(F347/E347,0))</f>
        <v/>
      </c>
      <c r="H347" s="19" t="str">
        <f aca="false">IF($A347="","",C347*Settings!$B$11)</f>
        <v/>
      </c>
      <c r="I347" s="20" t="str">
        <f aca="false">IF($A347="","",IF(N(H347)=0,"",RANK(H347,$H$5:$H$2004)))</f>
        <v/>
      </c>
      <c r="J347" s="21" t="str">
        <f aca="false">IF($A347="","",IF(B347=0,"No COD orders",IF(B347&lt;Settings!$B$8,"Too few orders",IF(D347&gt;=Settings!$B$9,"Restrict COD or verify","Keep COD"))))</f>
        <v/>
      </c>
    </row>
    <row r="348" customFormat="false" ht="15" hidden="false" customHeight="false" outlineLevel="0" collapsed="false">
      <c r="A348" s="27"/>
      <c r="B348" s="17" t="str">
        <f aca="false">IF($A348="","",COUNTIFS(Orders!$C$2:$C$20001,$A348,Orders!$E$2:$E$20001,"COD",Orders!$F$2:$F$20001,"Delivered")+COUNTIFS(Orders!$C$2:$C$20001,$A348,Orders!$E$2:$E$20001,"COD",Orders!$F$2:$F$20001,"RTO"))</f>
        <v/>
      </c>
      <c r="C348" s="17" t="str">
        <f aca="false">IF($A348="","",COUNTIFS(Orders!$C$2:$C$20001,$A348,Orders!$E$2:$E$20001,"COD",Orders!$F$2:$F$20001,"RTO"))</f>
        <v/>
      </c>
      <c r="D348" s="18" t="str">
        <f aca="false">IF($A348="","",IFERROR(C348/B348,0))</f>
        <v/>
      </c>
      <c r="E348" s="17" t="str">
        <f aca="false">IF($A348="","",COUNTIFS(Orders!$C$2:$C$20001,$A348,Orders!$E$2:$E$20001,"Prepaid",Orders!$F$2:$F$20001,"Delivered")+COUNTIFS(Orders!$C$2:$C$20001,$A348,Orders!$E$2:$E$20001,"Prepaid",Orders!$F$2:$F$20001,"RTO"))</f>
        <v/>
      </c>
      <c r="F348" s="17" t="str">
        <f aca="false">IF($A348="","",COUNTIFS(Orders!$C$2:$C$20001,$A348,Orders!$E$2:$E$20001,"Prepaid",Orders!$F$2:$F$20001,"RTO"))</f>
        <v/>
      </c>
      <c r="G348" s="18" t="str">
        <f aca="false">IF($A348="","",IFERROR(F348/E348,0))</f>
        <v/>
      </c>
      <c r="H348" s="19" t="str">
        <f aca="false">IF($A348="","",C348*Settings!$B$11)</f>
        <v/>
      </c>
      <c r="I348" s="20" t="str">
        <f aca="false">IF($A348="","",IF(N(H348)=0,"",RANK(H348,$H$5:$H$2004)))</f>
        <v/>
      </c>
      <c r="J348" s="21" t="str">
        <f aca="false">IF($A348="","",IF(B348=0,"No COD orders",IF(B348&lt;Settings!$B$8,"Too few orders",IF(D348&gt;=Settings!$B$9,"Restrict COD or verify","Keep COD"))))</f>
        <v/>
      </c>
    </row>
    <row r="349" customFormat="false" ht="15" hidden="false" customHeight="false" outlineLevel="0" collapsed="false">
      <c r="A349" s="27"/>
      <c r="B349" s="17" t="str">
        <f aca="false">IF($A349="","",COUNTIFS(Orders!$C$2:$C$20001,$A349,Orders!$E$2:$E$20001,"COD",Orders!$F$2:$F$20001,"Delivered")+COUNTIFS(Orders!$C$2:$C$20001,$A349,Orders!$E$2:$E$20001,"COD",Orders!$F$2:$F$20001,"RTO"))</f>
        <v/>
      </c>
      <c r="C349" s="17" t="str">
        <f aca="false">IF($A349="","",COUNTIFS(Orders!$C$2:$C$20001,$A349,Orders!$E$2:$E$20001,"COD",Orders!$F$2:$F$20001,"RTO"))</f>
        <v/>
      </c>
      <c r="D349" s="18" t="str">
        <f aca="false">IF($A349="","",IFERROR(C349/B349,0))</f>
        <v/>
      </c>
      <c r="E349" s="17" t="str">
        <f aca="false">IF($A349="","",COUNTIFS(Orders!$C$2:$C$20001,$A349,Orders!$E$2:$E$20001,"Prepaid",Orders!$F$2:$F$20001,"Delivered")+COUNTIFS(Orders!$C$2:$C$20001,$A349,Orders!$E$2:$E$20001,"Prepaid",Orders!$F$2:$F$20001,"RTO"))</f>
        <v/>
      </c>
      <c r="F349" s="17" t="str">
        <f aca="false">IF($A349="","",COUNTIFS(Orders!$C$2:$C$20001,$A349,Orders!$E$2:$E$20001,"Prepaid",Orders!$F$2:$F$20001,"RTO"))</f>
        <v/>
      </c>
      <c r="G349" s="18" t="str">
        <f aca="false">IF($A349="","",IFERROR(F349/E349,0))</f>
        <v/>
      </c>
      <c r="H349" s="19" t="str">
        <f aca="false">IF($A349="","",C349*Settings!$B$11)</f>
        <v/>
      </c>
      <c r="I349" s="20" t="str">
        <f aca="false">IF($A349="","",IF(N(H349)=0,"",RANK(H349,$H$5:$H$2004)))</f>
        <v/>
      </c>
      <c r="J349" s="21" t="str">
        <f aca="false">IF($A349="","",IF(B349=0,"No COD orders",IF(B349&lt;Settings!$B$8,"Too few orders",IF(D349&gt;=Settings!$B$9,"Restrict COD or verify","Keep COD"))))</f>
        <v/>
      </c>
    </row>
    <row r="350" customFormat="false" ht="15" hidden="false" customHeight="false" outlineLevel="0" collapsed="false">
      <c r="A350" s="27"/>
      <c r="B350" s="17" t="str">
        <f aca="false">IF($A350="","",COUNTIFS(Orders!$C$2:$C$20001,$A350,Orders!$E$2:$E$20001,"COD",Orders!$F$2:$F$20001,"Delivered")+COUNTIFS(Orders!$C$2:$C$20001,$A350,Orders!$E$2:$E$20001,"COD",Orders!$F$2:$F$20001,"RTO"))</f>
        <v/>
      </c>
      <c r="C350" s="17" t="str">
        <f aca="false">IF($A350="","",COUNTIFS(Orders!$C$2:$C$20001,$A350,Orders!$E$2:$E$20001,"COD",Orders!$F$2:$F$20001,"RTO"))</f>
        <v/>
      </c>
      <c r="D350" s="18" t="str">
        <f aca="false">IF($A350="","",IFERROR(C350/B350,0))</f>
        <v/>
      </c>
      <c r="E350" s="17" t="str">
        <f aca="false">IF($A350="","",COUNTIFS(Orders!$C$2:$C$20001,$A350,Orders!$E$2:$E$20001,"Prepaid",Orders!$F$2:$F$20001,"Delivered")+COUNTIFS(Orders!$C$2:$C$20001,$A350,Orders!$E$2:$E$20001,"Prepaid",Orders!$F$2:$F$20001,"RTO"))</f>
        <v/>
      </c>
      <c r="F350" s="17" t="str">
        <f aca="false">IF($A350="","",COUNTIFS(Orders!$C$2:$C$20001,$A350,Orders!$E$2:$E$20001,"Prepaid",Orders!$F$2:$F$20001,"RTO"))</f>
        <v/>
      </c>
      <c r="G350" s="18" t="str">
        <f aca="false">IF($A350="","",IFERROR(F350/E350,0))</f>
        <v/>
      </c>
      <c r="H350" s="19" t="str">
        <f aca="false">IF($A350="","",C350*Settings!$B$11)</f>
        <v/>
      </c>
      <c r="I350" s="20" t="str">
        <f aca="false">IF($A350="","",IF(N(H350)=0,"",RANK(H350,$H$5:$H$2004)))</f>
        <v/>
      </c>
      <c r="J350" s="21" t="str">
        <f aca="false">IF($A350="","",IF(B350=0,"No COD orders",IF(B350&lt;Settings!$B$8,"Too few orders",IF(D350&gt;=Settings!$B$9,"Restrict COD or verify","Keep COD"))))</f>
        <v/>
      </c>
    </row>
    <row r="351" customFormat="false" ht="15" hidden="false" customHeight="false" outlineLevel="0" collapsed="false">
      <c r="A351" s="27"/>
      <c r="B351" s="17" t="str">
        <f aca="false">IF($A351="","",COUNTIFS(Orders!$C$2:$C$20001,$A351,Orders!$E$2:$E$20001,"COD",Orders!$F$2:$F$20001,"Delivered")+COUNTIFS(Orders!$C$2:$C$20001,$A351,Orders!$E$2:$E$20001,"COD",Orders!$F$2:$F$20001,"RTO"))</f>
        <v/>
      </c>
      <c r="C351" s="17" t="str">
        <f aca="false">IF($A351="","",COUNTIFS(Orders!$C$2:$C$20001,$A351,Orders!$E$2:$E$20001,"COD",Orders!$F$2:$F$20001,"RTO"))</f>
        <v/>
      </c>
      <c r="D351" s="18" t="str">
        <f aca="false">IF($A351="","",IFERROR(C351/B351,0))</f>
        <v/>
      </c>
      <c r="E351" s="17" t="str">
        <f aca="false">IF($A351="","",COUNTIFS(Orders!$C$2:$C$20001,$A351,Orders!$E$2:$E$20001,"Prepaid",Orders!$F$2:$F$20001,"Delivered")+COUNTIFS(Orders!$C$2:$C$20001,$A351,Orders!$E$2:$E$20001,"Prepaid",Orders!$F$2:$F$20001,"RTO"))</f>
        <v/>
      </c>
      <c r="F351" s="17" t="str">
        <f aca="false">IF($A351="","",COUNTIFS(Orders!$C$2:$C$20001,$A351,Orders!$E$2:$E$20001,"Prepaid",Orders!$F$2:$F$20001,"RTO"))</f>
        <v/>
      </c>
      <c r="G351" s="18" t="str">
        <f aca="false">IF($A351="","",IFERROR(F351/E351,0))</f>
        <v/>
      </c>
      <c r="H351" s="19" t="str">
        <f aca="false">IF($A351="","",C351*Settings!$B$11)</f>
        <v/>
      </c>
      <c r="I351" s="20" t="str">
        <f aca="false">IF($A351="","",IF(N(H351)=0,"",RANK(H351,$H$5:$H$2004)))</f>
        <v/>
      </c>
      <c r="J351" s="21" t="str">
        <f aca="false">IF($A351="","",IF(B351=0,"No COD orders",IF(B351&lt;Settings!$B$8,"Too few orders",IF(D351&gt;=Settings!$B$9,"Restrict COD or verify","Keep COD"))))</f>
        <v/>
      </c>
    </row>
    <row r="352" customFormat="false" ht="15" hidden="false" customHeight="false" outlineLevel="0" collapsed="false">
      <c r="A352" s="27"/>
      <c r="B352" s="17" t="str">
        <f aca="false">IF($A352="","",COUNTIFS(Orders!$C$2:$C$20001,$A352,Orders!$E$2:$E$20001,"COD",Orders!$F$2:$F$20001,"Delivered")+COUNTIFS(Orders!$C$2:$C$20001,$A352,Orders!$E$2:$E$20001,"COD",Orders!$F$2:$F$20001,"RTO"))</f>
        <v/>
      </c>
      <c r="C352" s="17" t="str">
        <f aca="false">IF($A352="","",COUNTIFS(Orders!$C$2:$C$20001,$A352,Orders!$E$2:$E$20001,"COD",Orders!$F$2:$F$20001,"RTO"))</f>
        <v/>
      </c>
      <c r="D352" s="18" t="str">
        <f aca="false">IF($A352="","",IFERROR(C352/B352,0))</f>
        <v/>
      </c>
      <c r="E352" s="17" t="str">
        <f aca="false">IF($A352="","",COUNTIFS(Orders!$C$2:$C$20001,$A352,Orders!$E$2:$E$20001,"Prepaid",Orders!$F$2:$F$20001,"Delivered")+COUNTIFS(Orders!$C$2:$C$20001,$A352,Orders!$E$2:$E$20001,"Prepaid",Orders!$F$2:$F$20001,"RTO"))</f>
        <v/>
      </c>
      <c r="F352" s="17" t="str">
        <f aca="false">IF($A352="","",COUNTIFS(Orders!$C$2:$C$20001,$A352,Orders!$E$2:$E$20001,"Prepaid",Orders!$F$2:$F$20001,"RTO"))</f>
        <v/>
      </c>
      <c r="G352" s="18" t="str">
        <f aca="false">IF($A352="","",IFERROR(F352/E352,0))</f>
        <v/>
      </c>
      <c r="H352" s="19" t="str">
        <f aca="false">IF($A352="","",C352*Settings!$B$11)</f>
        <v/>
      </c>
      <c r="I352" s="20" t="str">
        <f aca="false">IF($A352="","",IF(N(H352)=0,"",RANK(H352,$H$5:$H$2004)))</f>
        <v/>
      </c>
      <c r="J352" s="21" t="str">
        <f aca="false">IF($A352="","",IF(B352=0,"No COD orders",IF(B352&lt;Settings!$B$8,"Too few orders",IF(D352&gt;=Settings!$B$9,"Restrict COD or verify","Keep COD"))))</f>
        <v/>
      </c>
    </row>
    <row r="353" customFormat="false" ht="15" hidden="false" customHeight="false" outlineLevel="0" collapsed="false">
      <c r="A353" s="27"/>
      <c r="B353" s="17" t="str">
        <f aca="false">IF($A353="","",COUNTIFS(Orders!$C$2:$C$20001,$A353,Orders!$E$2:$E$20001,"COD",Orders!$F$2:$F$20001,"Delivered")+COUNTIFS(Orders!$C$2:$C$20001,$A353,Orders!$E$2:$E$20001,"COD",Orders!$F$2:$F$20001,"RTO"))</f>
        <v/>
      </c>
      <c r="C353" s="17" t="str">
        <f aca="false">IF($A353="","",COUNTIFS(Orders!$C$2:$C$20001,$A353,Orders!$E$2:$E$20001,"COD",Orders!$F$2:$F$20001,"RTO"))</f>
        <v/>
      </c>
      <c r="D353" s="18" t="str">
        <f aca="false">IF($A353="","",IFERROR(C353/B353,0))</f>
        <v/>
      </c>
      <c r="E353" s="17" t="str">
        <f aca="false">IF($A353="","",COUNTIFS(Orders!$C$2:$C$20001,$A353,Orders!$E$2:$E$20001,"Prepaid",Orders!$F$2:$F$20001,"Delivered")+COUNTIFS(Orders!$C$2:$C$20001,$A353,Orders!$E$2:$E$20001,"Prepaid",Orders!$F$2:$F$20001,"RTO"))</f>
        <v/>
      </c>
      <c r="F353" s="17" t="str">
        <f aca="false">IF($A353="","",COUNTIFS(Orders!$C$2:$C$20001,$A353,Orders!$E$2:$E$20001,"Prepaid",Orders!$F$2:$F$20001,"RTO"))</f>
        <v/>
      </c>
      <c r="G353" s="18" t="str">
        <f aca="false">IF($A353="","",IFERROR(F353/E353,0))</f>
        <v/>
      </c>
      <c r="H353" s="19" t="str">
        <f aca="false">IF($A353="","",C353*Settings!$B$11)</f>
        <v/>
      </c>
      <c r="I353" s="20" t="str">
        <f aca="false">IF($A353="","",IF(N(H353)=0,"",RANK(H353,$H$5:$H$2004)))</f>
        <v/>
      </c>
      <c r="J353" s="21" t="str">
        <f aca="false">IF($A353="","",IF(B353=0,"No COD orders",IF(B353&lt;Settings!$B$8,"Too few orders",IF(D353&gt;=Settings!$B$9,"Restrict COD or verify","Keep COD"))))</f>
        <v/>
      </c>
    </row>
    <row r="354" customFormat="false" ht="15" hidden="false" customHeight="false" outlineLevel="0" collapsed="false">
      <c r="A354" s="27"/>
      <c r="B354" s="17" t="str">
        <f aca="false">IF($A354="","",COUNTIFS(Orders!$C$2:$C$20001,$A354,Orders!$E$2:$E$20001,"COD",Orders!$F$2:$F$20001,"Delivered")+COUNTIFS(Orders!$C$2:$C$20001,$A354,Orders!$E$2:$E$20001,"COD",Orders!$F$2:$F$20001,"RTO"))</f>
        <v/>
      </c>
      <c r="C354" s="17" t="str">
        <f aca="false">IF($A354="","",COUNTIFS(Orders!$C$2:$C$20001,$A354,Orders!$E$2:$E$20001,"COD",Orders!$F$2:$F$20001,"RTO"))</f>
        <v/>
      </c>
      <c r="D354" s="18" t="str">
        <f aca="false">IF($A354="","",IFERROR(C354/B354,0))</f>
        <v/>
      </c>
      <c r="E354" s="17" t="str">
        <f aca="false">IF($A354="","",COUNTIFS(Orders!$C$2:$C$20001,$A354,Orders!$E$2:$E$20001,"Prepaid",Orders!$F$2:$F$20001,"Delivered")+COUNTIFS(Orders!$C$2:$C$20001,$A354,Orders!$E$2:$E$20001,"Prepaid",Orders!$F$2:$F$20001,"RTO"))</f>
        <v/>
      </c>
      <c r="F354" s="17" t="str">
        <f aca="false">IF($A354="","",COUNTIFS(Orders!$C$2:$C$20001,$A354,Orders!$E$2:$E$20001,"Prepaid",Orders!$F$2:$F$20001,"RTO"))</f>
        <v/>
      </c>
      <c r="G354" s="18" t="str">
        <f aca="false">IF($A354="","",IFERROR(F354/E354,0))</f>
        <v/>
      </c>
      <c r="H354" s="19" t="str">
        <f aca="false">IF($A354="","",C354*Settings!$B$11)</f>
        <v/>
      </c>
      <c r="I354" s="20" t="str">
        <f aca="false">IF($A354="","",IF(N(H354)=0,"",RANK(H354,$H$5:$H$2004)))</f>
        <v/>
      </c>
      <c r="J354" s="21" t="str">
        <f aca="false">IF($A354="","",IF(B354=0,"No COD orders",IF(B354&lt;Settings!$B$8,"Too few orders",IF(D354&gt;=Settings!$B$9,"Restrict COD or verify","Keep COD"))))</f>
        <v/>
      </c>
    </row>
    <row r="355" customFormat="false" ht="15" hidden="false" customHeight="false" outlineLevel="0" collapsed="false">
      <c r="A355" s="27"/>
      <c r="B355" s="17" t="str">
        <f aca="false">IF($A355="","",COUNTIFS(Orders!$C$2:$C$20001,$A355,Orders!$E$2:$E$20001,"COD",Orders!$F$2:$F$20001,"Delivered")+COUNTIFS(Orders!$C$2:$C$20001,$A355,Orders!$E$2:$E$20001,"COD",Orders!$F$2:$F$20001,"RTO"))</f>
        <v/>
      </c>
      <c r="C355" s="17" t="str">
        <f aca="false">IF($A355="","",COUNTIFS(Orders!$C$2:$C$20001,$A355,Orders!$E$2:$E$20001,"COD",Orders!$F$2:$F$20001,"RTO"))</f>
        <v/>
      </c>
      <c r="D355" s="18" t="str">
        <f aca="false">IF($A355="","",IFERROR(C355/B355,0))</f>
        <v/>
      </c>
      <c r="E355" s="17" t="str">
        <f aca="false">IF($A355="","",COUNTIFS(Orders!$C$2:$C$20001,$A355,Orders!$E$2:$E$20001,"Prepaid",Orders!$F$2:$F$20001,"Delivered")+COUNTIFS(Orders!$C$2:$C$20001,$A355,Orders!$E$2:$E$20001,"Prepaid",Orders!$F$2:$F$20001,"RTO"))</f>
        <v/>
      </c>
      <c r="F355" s="17" t="str">
        <f aca="false">IF($A355="","",COUNTIFS(Orders!$C$2:$C$20001,$A355,Orders!$E$2:$E$20001,"Prepaid",Orders!$F$2:$F$20001,"RTO"))</f>
        <v/>
      </c>
      <c r="G355" s="18" t="str">
        <f aca="false">IF($A355="","",IFERROR(F355/E355,0))</f>
        <v/>
      </c>
      <c r="H355" s="19" t="str">
        <f aca="false">IF($A355="","",C355*Settings!$B$11)</f>
        <v/>
      </c>
      <c r="I355" s="20" t="str">
        <f aca="false">IF($A355="","",IF(N(H355)=0,"",RANK(H355,$H$5:$H$2004)))</f>
        <v/>
      </c>
      <c r="J355" s="21" t="str">
        <f aca="false">IF($A355="","",IF(B355=0,"No COD orders",IF(B355&lt;Settings!$B$8,"Too few orders",IF(D355&gt;=Settings!$B$9,"Restrict COD or verify","Keep COD"))))</f>
        <v/>
      </c>
    </row>
    <row r="356" customFormat="false" ht="15" hidden="false" customHeight="false" outlineLevel="0" collapsed="false">
      <c r="A356" s="27"/>
      <c r="B356" s="17" t="str">
        <f aca="false">IF($A356="","",COUNTIFS(Orders!$C$2:$C$20001,$A356,Orders!$E$2:$E$20001,"COD",Orders!$F$2:$F$20001,"Delivered")+COUNTIFS(Orders!$C$2:$C$20001,$A356,Orders!$E$2:$E$20001,"COD",Orders!$F$2:$F$20001,"RTO"))</f>
        <v/>
      </c>
      <c r="C356" s="17" t="str">
        <f aca="false">IF($A356="","",COUNTIFS(Orders!$C$2:$C$20001,$A356,Orders!$E$2:$E$20001,"COD",Orders!$F$2:$F$20001,"RTO"))</f>
        <v/>
      </c>
      <c r="D356" s="18" t="str">
        <f aca="false">IF($A356="","",IFERROR(C356/B356,0))</f>
        <v/>
      </c>
      <c r="E356" s="17" t="str">
        <f aca="false">IF($A356="","",COUNTIFS(Orders!$C$2:$C$20001,$A356,Orders!$E$2:$E$20001,"Prepaid",Orders!$F$2:$F$20001,"Delivered")+COUNTIFS(Orders!$C$2:$C$20001,$A356,Orders!$E$2:$E$20001,"Prepaid",Orders!$F$2:$F$20001,"RTO"))</f>
        <v/>
      </c>
      <c r="F356" s="17" t="str">
        <f aca="false">IF($A356="","",COUNTIFS(Orders!$C$2:$C$20001,$A356,Orders!$E$2:$E$20001,"Prepaid",Orders!$F$2:$F$20001,"RTO"))</f>
        <v/>
      </c>
      <c r="G356" s="18" t="str">
        <f aca="false">IF($A356="","",IFERROR(F356/E356,0))</f>
        <v/>
      </c>
      <c r="H356" s="19" t="str">
        <f aca="false">IF($A356="","",C356*Settings!$B$11)</f>
        <v/>
      </c>
      <c r="I356" s="20" t="str">
        <f aca="false">IF($A356="","",IF(N(H356)=0,"",RANK(H356,$H$5:$H$2004)))</f>
        <v/>
      </c>
      <c r="J356" s="21" t="str">
        <f aca="false">IF($A356="","",IF(B356=0,"No COD orders",IF(B356&lt;Settings!$B$8,"Too few orders",IF(D356&gt;=Settings!$B$9,"Restrict COD or verify","Keep COD"))))</f>
        <v/>
      </c>
    </row>
    <row r="357" customFormat="false" ht="15" hidden="false" customHeight="false" outlineLevel="0" collapsed="false">
      <c r="A357" s="27"/>
      <c r="B357" s="17" t="str">
        <f aca="false">IF($A357="","",COUNTIFS(Orders!$C$2:$C$20001,$A357,Orders!$E$2:$E$20001,"COD",Orders!$F$2:$F$20001,"Delivered")+COUNTIFS(Orders!$C$2:$C$20001,$A357,Orders!$E$2:$E$20001,"COD",Orders!$F$2:$F$20001,"RTO"))</f>
        <v/>
      </c>
      <c r="C357" s="17" t="str">
        <f aca="false">IF($A357="","",COUNTIFS(Orders!$C$2:$C$20001,$A357,Orders!$E$2:$E$20001,"COD",Orders!$F$2:$F$20001,"RTO"))</f>
        <v/>
      </c>
      <c r="D357" s="18" t="str">
        <f aca="false">IF($A357="","",IFERROR(C357/B357,0))</f>
        <v/>
      </c>
      <c r="E357" s="17" t="str">
        <f aca="false">IF($A357="","",COUNTIFS(Orders!$C$2:$C$20001,$A357,Orders!$E$2:$E$20001,"Prepaid",Orders!$F$2:$F$20001,"Delivered")+COUNTIFS(Orders!$C$2:$C$20001,$A357,Orders!$E$2:$E$20001,"Prepaid",Orders!$F$2:$F$20001,"RTO"))</f>
        <v/>
      </c>
      <c r="F357" s="17" t="str">
        <f aca="false">IF($A357="","",COUNTIFS(Orders!$C$2:$C$20001,$A357,Orders!$E$2:$E$20001,"Prepaid",Orders!$F$2:$F$20001,"RTO"))</f>
        <v/>
      </c>
      <c r="G357" s="18" t="str">
        <f aca="false">IF($A357="","",IFERROR(F357/E357,0))</f>
        <v/>
      </c>
      <c r="H357" s="19" t="str">
        <f aca="false">IF($A357="","",C357*Settings!$B$11)</f>
        <v/>
      </c>
      <c r="I357" s="20" t="str">
        <f aca="false">IF($A357="","",IF(N(H357)=0,"",RANK(H357,$H$5:$H$2004)))</f>
        <v/>
      </c>
      <c r="J357" s="21" t="str">
        <f aca="false">IF($A357="","",IF(B357=0,"No COD orders",IF(B357&lt;Settings!$B$8,"Too few orders",IF(D357&gt;=Settings!$B$9,"Restrict COD or verify","Keep COD"))))</f>
        <v/>
      </c>
    </row>
    <row r="358" customFormat="false" ht="15" hidden="false" customHeight="false" outlineLevel="0" collapsed="false">
      <c r="A358" s="27"/>
      <c r="B358" s="17" t="str">
        <f aca="false">IF($A358="","",COUNTIFS(Orders!$C$2:$C$20001,$A358,Orders!$E$2:$E$20001,"COD",Orders!$F$2:$F$20001,"Delivered")+COUNTIFS(Orders!$C$2:$C$20001,$A358,Orders!$E$2:$E$20001,"COD",Orders!$F$2:$F$20001,"RTO"))</f>
        <v/>
      </c>
      <c r="C358" s="17" t="str">
        <f aca="false">IF($A358="","",COUNTIFS(Orders!$C$2:$C$20001,$A358,Orders!$E$2:$E$20001,"COD",Orders!$F$2:$F$20001,"RTO"))</f>
        <v/>
      </c>
      <c r="D358" s="18" t="str">
        <f aca="false">IF($A358="","",IFERROR(C358/B358,0))</f>
        <v/>
      </c>
      <c r="E358" s="17" t="str">
        <f aca="false">IF($A358="","",COUNTIFS(Orders!$C$2:$C$20001,$A358,Orders!$E$2:$E$20001,"Prepaid",Orders!$F$2:$F$20001,"Delivered")+COUNTIFS(Orders!$C$2:$C$20001,$A358,Orders!$E$2:$E$20001,"Prepaid",Orders!$F$2:$F$20001,"RTO"))</f>
        <v/>
      </c>
      <c r="F358" s="17" t="str">
        <f aca="false">IF($A358="","",COUNTIFS(Orders!$C$2:$C$20001,$A358,Orders!$E$2:$E$20001,"Prepaid",Orders!$F$2:$F$20001,"RTO"))</f>
        <v/>
      </c>
      <c r="G358" s="18" t="str">
        <f aca="false">IF($A358="","",IFERROR(F358/E358,0))</f>
        <v/>
      </c>
      <c r="H358" s="19" t="str">
        <f aca="false">IF($A358="","",C358*Settings!$B$11)</f>
        <v/>
      </c>
      <c r="I358" s="20" t="str">
        <f aca="false">IF($A358="","",IF(N(H358)=0,"",RANK(H358,$H$5:$H$2004)))</f>
        <v/>
      </c>
      <c r="J358" s="21" t="str">
        <f aca="false">IF($A358="","",IF(B358=0,"No COD orders",IF(B358&lt;Settings!$B$8,"Too few orders",IF(D358&gt;=Settings!$B$9,"Restrict COD or verify","Keep COD"))))</f>
        <v/>
      </c>
    </row>
    <row r="359" customFormat="false" ht="15" hidden="false" customHeight="false" outlineLevel="0" collapsed="false">
      <c r="A359" s="27"/>
      <c r="B359" s="17" t="str">
        <f aca="false">IF($A359="","",COUNTIFS(Orders!$C$2:$C$20001,$A359,Orders!$E$2:$E$20001,"COD",Orders!$F$2:$F$20001,"Delivered")+COUNTIFS(Orders!$C$2:$C$20001,$A359,Orders!$E$2:$E$20001,"COD",Orders!$F$2:$F$20001,"RTO"))</f>
        <v/>
      </c>
      <c r="C359" s="17" t="str">
        <f aca="false">IF($A359="","",COUNTIFS(Orders!$C$2:$C$20001,$A359,Orders!$E$2:$E$20001,"COD",Orders!$F$2:$F$20001,"RTO"))</f>
        <v/>
      </c>
      <c r="D359" s="18" t="str">
        <f aca="false">IF($A359="","",IFERROR(C359/B359,0))</f>
        <v/>
      </c>
      <c r="E359" s="17" t="str">
        <f aca="false">IF($A359="","",COUNTIFS(Orders!$C$2:$C$20001,$A359,Orders!$E$2:$E$20001,"Prepaid",Orders!$F$2:$F$20001,"Delivered")+COUNTIFS(Orders!$C$2:$C$20001,$A359,Orders!$E$2:$E$20001,"Prepaid",Orders!$F$2:$F$20001,"RTO"))</f>
        <v/>
      </c>
      <c r="F359" s="17" t="str">
        <f aca="false">IF($A359="","",COUNTIFS(Orders!$C$2:$C$20001,$A359,Orders!$E$2:$E$20001,"Prepaid",Orders!$F$2:$F$20001,"RTO"))</f>
        <v/>
      </c>
      <c r="G359" s="18" t="str">
        <f aca="false">IF($A359="","",IFERROR(F359/E359,0))</f>
        <v/>
      </c>
      <c r="H359" s="19" t="str">
        <f aca="false">IF($A359="","",C359*Settings!$B$11)</f>
        <v/>
      </c>
      <c r="I359" s="20" t="str">
        <f aca="false">IF($A359="","",IF(N(H359)=0,"",RANK(H359,$H$5:$H$2004)))</f>
        <v/>
      </c>
      <c r="J359" s="21" t="str">
        <f aca="false">IF($A359="","",IF(B359=0,"No COD orders",IF(B359&lt;Settings!$B$8,"Too few orders",IF(D359&gt;=Settings!$B$9,"Restrict COD or verify","Keep COD"))))</f>
        <v/>
      </c>
    </row>
    <row r="360" customFormat="false" ht="15" hidden="false" customHeight="false" outlineLevel="0" collapsed="false">
      <c r="A360" s="27"/>
      <c r="B360" s="17" t="str">
        <f aca="false">IF($A360="","",COUNTIFS(Orders!$C$2:$C$20001,$A360,Orders!$E$2:$E$20001,"COD",Orders!$F$2:$F$20001,"Delivered")+COUNTIFS(Orders!$C$2:$C$20001,$A360,Orders!$E$2:$E$20001,"COD",Orders!$F$2:$F$20001,"RTO"))</f>
        <v/>
      </c>
      <c r="C360" s="17" t="str">
        <f aca="false">IF($A360="","",COUNTIFS(Orders!$C$2:$C$20001,$A360,Orders!$E$2:$E$20001,"COD",Orders!$F$2:$F$20001,"RTO"))</f>
        <v/>
      </c>
      <c r="D360" s="18" t="str">
        <f aca="false">IF($A360="","",IFERROR(C360/B360,0))</f>
        <v/>
      </c>
      <c r="E360" s="17" t="str">
        <f aca="false">IF($A360="","",COUNTIFS(Orders!$C$2:$C$20001,$A360,Orders!$E$2:$E$20001,"Prepaid",Orders!$F$2:$F$20001,"Delivered")+COUNTIFS(Orders!$C$2:$C$20001,$A360,Orders!$E$2:$E$20001,"Prepaid",Orders!$F$2:$F$20001,"RTO"))</f>
        <v/>
      </c>
      <c r="F360" s="17" t="str">
        <f aca="false">IF($A360="","",COUNTIFS(Orders!$C$2:$C$20001,$A360,Orders!$E$2:$E$20001,"Prepaid",Orders!$F$2:$F$20001,"RTO"))</f>
        <v/>
      </c>
      <c r="G360" s="18" t="str">
        <f aca="false">IF($A360="","",IFERROR(F360/E360,0))</f>
        <v/>
      </c>
      <c r="H360" s="19" t="str">
        <f aca="false">IF($A360="","",C360*Settings!$B$11)</f>
        <v/>
      </c>
      <c r="I360" s="20" t="str">
        <f aca="false">IF($A360="","",IF(N(H360)=0,"",RANK(H360,$H$5:$H$2004)))</f>
        <v/>
      </c>
      <c r="J360" s="21" t="str">
        <f aca="false">IF($A360="","",IF(B360=0,"No COD orders",IF(B360&lt;Settings!$B$8,"Too few orders",IF(D360&gt;=Settings!$B$9,"Restrict COD or verify","Keep COD"))))</f>
        <v/>
      </c>
    </row>
    <row r="361" customFormat="false" ht="15" hidden="false" customHeight="false" outlineLevel="0" collapsed="false">
      <c r="A361" s="27"/>
      <c r="B361" s="17" t="str">
        <f aca="false">IF($A361="","",COUNTIFS(Orders!$C$2:$C$20001,$A361,Orders!$E$2:$E$20001,"COD",Orders!$F$2:$F$20001,"Delivered")+COUNTIFS(Orders!$C$2:$C$20001,$A361,Orders!$E$2:$E$20001,"COD",Orders!$F$2:$F$20001,"RTO"))</f>
        <v/>
      </c>
      <c r="C361" s="17" t="str">
        <f aca="false">IF($A361="","",COUNTIFS(Orders!$C$2:$C$20001,$A361,Orders!$E$2:$E$20001,"COD",Orders!$F$2:$F$20001,"RTO"))</f>
        <v/>
      </c>
      <c r="D361" s="18" t="str">
        <f aca="false">IF($A361="","",IFERROR(C361/B361,0))</f>
        <v/>
      </c>
      <c r="E361" s="17" t="str">
        <f aca="false">IF($A361="","",COUNTIFS(Orders!$C$2:$C$20001,$A361,Orders!$E$2:$E$20001,"Prepaid",Orders!$F$2:$F$20001,"Delivered")+COUNTIFS(Orders!$C$2:$C$20001,$A361,Orders!$E$2:$E$20001,"Prepaid",Orders!$F$2:$F$20001,"RTO"))</f>
        <v/>
      </c>
      <c r="F361" s="17" t="str">
        <f aca="false">IF($A361="","",COUNTIFS(Orders!$C$2:$C$20001,$A361,Orders!$E$2:$E$20001,"Prepaid",Orders!$F$2:$F$20001,"RTO"))</f>
        <v/>
      </c>
      <c r="G361" s="18" t="str">
        <f aca="false">IF($A361="","",IFERROR(F361/E361,0))</f>
        <v/>
      </c>
      <c r="H361" s="19" t="str">
        <f aca="false">IF($A361="","",C361*Settings!$B$11)</f>
        <v/>
      </c>
      <c r="I361" s="20" t="str">
        <f aca="false">IF($A361="","",IF(N(H361)=0,"",RANK(H361,$H$5:$H$2004)))</f>
        <v/>
      </c>
      <c r="J361" s="21" t="str">
        <f aca="false">IF($A361="","",IF(B361=0,"No COD orders",IF(B361&lt;Settings!$B$8,"Too few orders",IF(D361&gt;=Settings!$B$9,"Restrict COD or verify","Keep COD"))))</f>
        <v/>
      </c>
    </row>
    <row r="362" customFormat="false" ht="15" hidden="false" customHeight="false" outlineLevel="0" collapsed="false">
      <c r="A362" s="27"/>
      <c r="B362" s="17" t="str">
        <f aca="false">IF($A362="","",COUNTIFS(Orders!$C$2:$C$20001,$A362,Orders!$E$2:$E$20001,"COD",Orders!$F$2:$F$20001,"Delivered")+COUNTIFS(Orders!$C$2:$C$20001,$A362,Orders!$E$2:$E$20001,"COD",Orders!$F$2:$F$20001,"RTO"))</f>
        <v/>
      </c>
      <c r="C362" s="17" t="str">
        <f aca="false">IF($A362="","",COUNTIFS(Orders!$C$2:$C$20001,$A362,Orders!$E$2:$E$20001,"COD",Orders!$F$2:$F$20001,"RTO"))</f>
        <v/>
      </c>
      <c r="D362" s="18" t="str">
        <f aca="false">IF($A362="","",IFERROR(C362/B362,0))</f>
        <v/>
      </c>
      <c r="E362" s="17" t="str">
        <f aca="false">IF($A362="","",COUNTIFS(Orders!$C$2:$C$20001,$A362,Orders!$E$2:$E$20001,"Prepaid",Orders!$F$2:$F$20001,"Delivered")+COUNTIFS(Orders!$C$2:$C$20001,$A362,Orders!$E$2:$E$20001,"Prepaid",Orders!$F$2:$F$20001,"RTO"))</f>
        <v/>
      </c>
      <c r="F362" s="17" t="str">
        <f aca="false">IF($A362="","",COUNTIFS(Orders!$C$2:$C$20001,$A362,Orders!$E$2:$E$20001,"Prepaid",Orders!$F$2:$F$20001,"RTO"))</f>
        <v/>
      </c>
      <c r="G362" s="18" t="str">
        <f aca="false">IF($A362="","",IFERROR(F362/E362,0))</f>
        <v/>
      </c>
      <c r="H362" s="19" t="str">
        <f aca="false">IF($A362="","",C362*Settings!$B$11)</f>
        <v/>
      </c>
      <c r="I362" s="20" t="str">
        <f aca="false">IF($A362="","",IF(N(H362)=0,"",RANK(H362,$H$5:$H$2004)))</f>
        <v/>
      </c>
      <c r="J362" s="21" t="str">
        <f aca="false">IF($A362="","",IF(B362=0,"No COD orders",IF(B362&lt;Settings!$B$8,"Too few orders",IF(D362&gt;=Settings!$B$9,"Restrict COD or verify","Keep COD"))))</f>
        <v/>
      </c>
    </row>
    <row r="363" customFormat="false" ht="15" hidden="false" customHeight="false" outlineLevel="0" collapsed="false">
      <c r="A363" s="27"/>
      <c r="B363" s="17" t="str">
        <f aca="false">IF($A363="","",COUNTIFS(Orders!$C$2:$C$20001,$A363,Orders!$E$2:$E$20001,"COD",Orders!$F$2:$F$20001,"Delivered")+COUNTIFS(Orders!$C$2:$C$20001,$A363,Orders!$E$2:$E$20001,"COD",Orders!$F$2:$F$20001,"RTO"))</f>
        <v/>
      </c>
      <c r="C363" s="17" t="str">
        <f aca="false">IF($A363="","",COUNTIFS(Orders!$C$2:$C$20001,$A363,Orders!$E$2:$E$20001,"COD",Orders!$F$2:$F$20001,"RTO"))</f>
        <v/>
      </c>
      <c r="D363" s="18" t="str">
        <f aca="false">IF($A363="","",IFERROR(C363/B363,0))</f>
        <v/>
      </c>
      <c r="E363" s="17" t="str">
        <f aca="false">IF($A363="","",COUNTIFS(Orders!$C$2:$C$20001,$A363,Orders!$E$2:$E$20001,"Prepaid",Orders!$F$2:$F$20001,"Delivered")+COUNTIFS(Orders!$C$2:$C$20001,$A363,Orders!$E$2:$E$20001,"Prepaid",Orders!$F$2:$F$20001,"RTO"))</f>
        <v/>
      </c>
      <c r="F363" s="17" t="str">
        <f aca="false">IF($A363="","",COUNTIFS(Orders!$C$2:$C$20001,$A363,Orders!$E$2:$E$20001,"Prepaid",Orders!$F$2:$F$20001,"RTO"))</f>
        <v/>
      </c>
      <c r="G363" s="18" t="str">
        <f aca="false">IF($A363="","",IFERROR(F363/E363,0))</f>
        <v/>
      </c>
      <c r="H363" s="19" t="str">
        <f aca="false">IF($A363="","",C363*Settings!$B$11)</f>
        <v/>
      </c>
      <c r="I363" s="20" t="str">
        <f aca="false">IF($A363="","",IF(N(H363)=0,"",RANK(H363,$H$5:$H$2004)))</f>
        <v/>
      </c>
      <c r="J363" s="21" t="str">
        <f aca="false">IF($A363="","",IF(B363=0,"No COD orders",IF(B363&lt;Settings!$B$8,"Too few orders",IF(D363&gt;=Settings!$B$9,"Restrict COD or verify","Keep COD"))))</f>
        <v/>
      </c>
    </row>
    <row r="364" customFormat="false" ht="15" hidden="false" customHeight="false" outlineLevel="0" collapsed="false">
      <c r="A364" s="27"/>
      <c r="B364" s="17" t="str">
        <f aca="false">IF($A364="","",COUNTIFS(Orders!$C$2:$C$20001,$A364,Orders!$E$2:$E$20001,"COD",Orders!$F$2:$F$20001,"Delivered")+COUNTIFS(Orders!$C$2:$C$20001,$A364,Orders!$E$2:$E$20001,"COD",Orders!$F$2:$F$20001,"RTO"))</f>
        <v/>
      </c>
      <c r="C364" s="17" t="str">
        <f aca="false">IF($A364="","",COUNTIFS(Orders!$C$2:$C$20001,$A364,Orders!$E$2:$E$20001,"COD",Orders!$F$2:$F$20001,"RTO"))</f>
        <v/>
      </c>
      <c r="D364" s="18" t="str">
        <f aca="false">IF($A364="","",IFERROR(C364/B364,0))</f>
        <v/>
      </c>
      <c r="E364" s="17" t="str">
        <f aca="false">IF($A364="","",COUNTIFS(Orders!$C$2:$C$20001,$A364,Orders!$E$2:$E$20001,"Prepaid",Orders!$F$2:$F$20001,"Delivered")+COUNTIFS(Orders!$C$2:$C$20001,$A364,Orders!$E$2:$E$20001,"Prepaid",Orders!$F$2:$F$20001,"RTO"))</f>
        <v/>
      </c>
      <c r="F364" s="17" t="str">
        <f aca="false">IF($A364="","",COUNTIFS(Orders!$C$2:$C$20001,$A364,Orders!$E$2:$E$20001,"Prepaid",Orders!$F$2:$F$20001,"RTO"))</f>
        <v/>
      </c>
      <c r="G364" s="18" t="str">
        <f aca="false">IF($A364="","",IFERROR(F364/E364,0))</f>
        <v/>
      </c>
      <c r="H364" s="19" t="str">
        <f aca="false">IF($A364="","",C364*Settings!$B$11)</f>
        <v/>
      </c>
      <c r="I364" s="20" t="str">
        <f aca="false">IF($A364="","",IF(N(H364)=0,"",RANK(H364,$H$5:$H$2004)))</f>
        <v/>
      </c>
      <c r="J364" s="21" t="str">
        <f aca="false">IF($A364="","",IF(B364=0,"No COD orders",IF(B364&lt;Settings!$B$8,"Too few orders",IF(D364&gt;=Settings!$B$9,"Restrict COD or verify","Keep COD"))))</f>
        <v/>
      </c>
    </row>
    <row r="365" customFormat="false" ht="15" hidden="false" customHeight="false" outlineLevel="0" collapsed="false">
      <c r="A365" s="27"/>
      <c r="B365" s="17" t="str">
        <f aca="false">IF($A365="","",COUNTIFS(Orders!$C$2:$C$20001,$A365,Orders!$E$2:$E$20001,"COD",Orders!$F$2:$F$20001,"Delivered")+COUNTIFS(Orders!$C$2:$C$20001,$A365,Orders!$E$2:$E$20001,"COD",Orders!$F$2:$F$20001,"RTO"))</f>
        <v/>
      </c>
      <c r="C365" s="17" t="str">
        <f aca="false">IF($A365="","",COUNTIFS(Orders!$C$2:$C$20001,$A365,Orders!$E$2:$E$20001,"COD",Orders!$F$2:$F$20001,"RTO"))</f>
        <v/>
      </c>
      <c r="D365" s="18" t="str">
        <f aca="false">IF($A365="","",IFERROR(C365/B365,0))</f>
        <v/>
      </c>
      <c r="E365" s="17" t="str">
        <f aca="false">IF($A365="","",COUNTIFS(Orders!$C$2:$C$20001,$A365,Orders!$E$2:$E$20001,"Prepaid",Orders!$F$2:$F$20001,"Delivered")+COUNTIFS(Orders!$C$2:$C$20001,$A365,Orders!$E$2:$E$20001,"Prepaid",Orders!$F$2:$F$20001,"RTO"))</f>
        <v/>
      </c>
      <c r="F365" s="17" t="str">
        <f aca="false">IF($A365="","",COUNTIFS(Orders!$C$2:$C$20001,$A365,Orders!$E$2:$E$20001,"Prepaid",Orders!$F$2:$F$20001,"RTO"))</f>
        <v/>
      </c>
      <c r="G365" s="18" t="str">
        <f aca="false">IF($A365="","",IFERROR(F365/E365,0))</f>
        <v/>
      </c>
      <c r="H365" s="19" t="str">
        <f aca="false">IF($A365="","",C365*Settings!$B$11)</f>
        <v/>
      </c>
      <c r="I365" s="20" t="str">
        <f aca="false">IF($A365="","",IF(N(H365)=0,"",RANK(H365,$H$5:$H$2004)))</f>
        <v/>
      </c>
      <c r="J365" s="21" t="str">
        <f aca="false">IF($A365="","",IF(B365=0,"No COD orders",IF(B365&lt;Settings!$B$8,"Too few orders",IF(D365&gt;=Settings!$B$9,"Restrict COD or verify","Keep COD"))))</f>
        <v/>
      </c>
    </row>
    <row r="366" customFormat="false" ht="15" hidden="false" customHeight="false" outlineLevel="0" collapsed="false">
      <c r="A366" s="27"/>
      <c r="B366" s="17" t="str">
        <f aca="false">IF($A366="","",COUNTIFS(Orders!$C$2:$C$20001,$A366,Orders!$E$2:$E$20001,"COD",Orders!$F$2:$F$20001,"Delivered")+COUNTIFS(Orders!$C$2:$C$20001,$A366,Orders!$E$2:$E$20001,"COD",Orders!$F$2:$F$20001,"RTO"))</f>
        <v/>
      </c>
      <c r="C366" s="17" t="str">
        <f aca="false">IF($A366="","",COUNTIFS(Orders!$C$2:$C$20001,$A366,Orders!$E$2:$E$20001,"COD",Orders!$F$2:$F$20001,"RTO"))</f>
        <v/>
      </c>
      <c r="D366" s="18" t="str">
        <f aca="false">IF($A366="","",IFERROR(C366/B366,0))</f>
        <v/>
      </c>
      <c r="E366" s="17" t="str">
        <f aca="false">IF($A366="","",COUNTIFS(Orders!$C$2:$C$20001,$A366,Orders!$E$2:$E$20001,"Prepaid",Orders!$F$2:$F$20001,"Delivered")+COUNTIFS(Orders!$C$2:$C$20001,$A366,Orders!$E$2:$E$20001,"Prepaid",Orders!$F$2:$F$20001,"RTO"))</f>
        <v/>
      </c>
      <c r="F366" s="17" t="str">
        <f aca="false">IF($A366="","",COUNTIFS(Orders!$C$2:$C$20001,$A366,Orders!$E$2:$E$20001,"Prepaid",Orders!$F$2:$F$20001,"RTO"))</f>
        <v/>
      </c>
      <c r="G366" s="18" t="str">
        <f aca="false">IF($A366="","",IFERROR(F366/E366,0))</f>
        <v/>
      </c>
      <c r="H366" s="19" t="str">
        <f aca="false">IF($A366="","",C366*Settings!$B$11)</f>
        <v/>
      </c>
      <c r="I366" s="20" t="str">
        <f aca="false">IF($A366="","",IF(N(H366)=0,"",RANK(H366,$H$5:$H$2004)))</f>
        <v/>
      </c>
      <c r="J366" s="21" t="str">
        <f aca="false">IF($A366="","",IF(B366=0,"No COD orders",IF(B366&lt;Settings!$B$8,"Too few orders",IF(D366&gt;=Settings!$B$9,"Restrict COD or verify","Keep COD"))))</f>
        <v/>
      </c>
    </row>
    <row r="367" customFormat="false" ht="15" hidden="false" customHeight="false" outlineLevel="0" collapsed="false">
      <c r="A367" s="27"/>
      <c r="B367" s="17" t="str">
        <f aca="false">IF($A367="","",COUNTIFS(Orders!$C$2:$C$20001,$A367,Orders!$E$2:$E$20001,"COD",Orders!$F$2:$F$20001,"Delivered")+COUNTIFS(Orders!$C$2:$C$20001,$A367,Orders!$E$2:$E$20001,"COD",Orders!$F$2:$F$20001,"RTO"))</f>
        <v/>
      </c>
      <c r="C367" s="17" t="str">
        <f aca="false">IF($A367="","",COUNTIFS(Orders!$C$2:$C$20001,$A367,Orders!$E$2:$E$20001,"COD",Orders!$F$2:$F$20001,"RTO"))</f>
        <v/>
      </c>
      <c r="D367" s="18" t="str">
        <f aca="false">IF($A367="","",IFERROR(C367/B367,0))</f>
        <v/>
      </c>
      <c r="E367" s="17" t="str">
        <f aca="false">IF($A367="","",COUNTIFS(Orders!$C$2:$C$20001,$A367,Orders!$E$2:$E$20001,"Prepaid",Orders!$F$2:$F$20001,"Delivered")+COUNTIFS(Orders!$C$2:$C$20001,$A367,Orders!$E$2:$E$20001,"Prepaid",Orders!$F$2:$F$20001,"RTO"))</f>
        <v/>
      </c>
      <c r="F367" s="17" t="str">
        <f aca="false">IF($A367="","",COUNTIFS(Orders!$C$2:$C$20001,$A367,Orders!$E$2:$E$20001,"Prepaid",Orders!$F$2:$F$20001,"RTO"))</f>
        <v/>
      </c>
      <c r="G367" s="18" t="str">
        <f aca="false">IF($A367="","",IFERROR(F367/E367,0))</f>
        <v/>
      </c>
      <c r="H367" s="19" t="str">
        <f aca="false">IF($A367="","",C367*Settings!$B$11)</f>
        <v/>
      </c>
      <c r="I367" s="20" t="str">
        <f aca="false">IF($A367="","",IF(N(H367)=0,"",RANK(H367,$H$5:$H$2004)))</f>
        <v/>
      </c>
      <c r="J367" s="21" t="str">
        <f aca="false">IF($A367="","",IF(B367=0,"No COD orders",IF(B367&lt;Settings!$B$8,"Too few orders",IF(D367&gt;=Settings!$B$9,"Restrict COD or verify","Keep COD"))))</f>
        <v/>
      </c>
    </row>
    <row r="368" customFormat="false" ht="15" hidden="false" customHeight="false" outlineLevel="0" collapsed="false">
      <c r="A368" s="27"/>
      <c r="B368" s="17" t="str">
        <f aca="false">IF($A368="","",COUNTIFS(Orders!$C$2:$C$20001,$A368,Orders!$E$2:$E$20001,"COD",Orders!$F$2:$F$20001,"Delivered")+COUNTIFS(Orders!$C$2:$C$20001,$A368,Orders!$E$2:$E$20001,"COD",Orders!$F$2:$F$20001,"RTO"))</f>
        <v/>
      </c>
      <c r="C368" s="17" t="str">
        <f aca="false">IF($A368="","",COUNTIFS(Orders!$C$2:$C$20001,$A368,Orders!$E$2:$E$20001,"COD",Orders!$F$2:$F$20001,"RTO"))</f>
        <v/>
      </c>
      <c r="D368" s="18" t="str">
        <f aca="false">IF($A368="","",IFERROR(C368/B368,0))</f>
        <v/>
      </c>
      <c r="E368" s="17" t="str">
        <f aca="false">IF($A368="","",COUNTIFS(Orders!$C$2:$C$20001,$A368,Orders!$E$2:$E$20001,"Prepaid",Orders!$F$2:$F$20001,"Delivered")+COUNTIFS(Orders!$C$2:$C$20001,$A368,Orders!$E$2:$E$20001,"Prepaid",Orders!$F$2:$F$20001,"RTO"))</f>
        <v/>
      </c>
      <c r="F368" s="17" t="str">
        <f aca="false">IF($A368="","",COUNTIFS(Orders!$C$2:$C$20001,$A368,Orders!$E$2:$E$20001,"Prepaid",Orders!$F$2:$F$20001,"RTO"))</f>
        <v/>
      </c>
      <c r="G368" s="18" t="str">
        <f aca="false">IF($A368="","",IFERROR(F368/E368,0))</f>
        <v/>
      </c>
      <c r="H368" s="19" t="str">
        <f aca="false">IF($A368="","",C368*Settings!$B$11)</f>
        <v/>
      </c>
      <c r="I368" s="20" t="str">
        <f aca="false">IF($A368="","",IF(N(H368)=0,"",RANK(H368,$H$5:$H$2004)))</f>
        <v/>
      </c>
      <c r="J368" s="21" t="str">
        <f aca="false">IF($A368="","",IF(B368=0,"No COD orders",IF(B368&lt;Settings!$B$8,"Too few orders",IF(D368&gt;=Settings!$B$9,"Restrict COD or verify","Keep COD"))))</f>
        <v/>
      </c>
    </row>
    <row r="369" customFormat="false" ht="15" hidden="false" customHeight="false" outlineLevel="0" collapsed="false">
      <c r="A369" s="27"/>
      <c r="B369" s="17" t="str">
        <f aca="false">IF($A369="","",COUNTIFS(Orders!$C$2:$C$20001,$A369,Orders!$E$2:$E$20001,"COD",Orders!$F$2:$F$20001,"Delivered")+COUNTIFS(Orders!$C$2:$C$20001,$A369,Orders!$E$2:$E$20001,"COD",Orders!$F$2:$F$20001,"RTO"))</f>
        <v/>
      </c>
      <c r="C369" s="17" t="str">
        <f aca="false">IF($A369="","",COUNTIFS(Orders!$C$2:$C$20001,$A369,Orders!$E$2:$E$20001,"COD",Orders!$F$2:$F$20001,"RTO"))</f>
        <v/>
      </c>
      <c r="D369" s="18" t="str">
        <f aca="false">IF($A369="","",IFERROR(C369/B369,0))</f>
        <v/>
      </c>
      <c r="E369" s="17" t="str">
        <f aca="false">IF($A369="","",COUNTIFS(Orders!$C$2:$C$20001,$A369,Orders!$E$2:$E$20001,"Prepaid",Orders!$F$2:$F$20001,"Delivered")+COUNTIFS(Orders!$C$2:$C$20001,$A369,Orders!$E$2:$E$20001,"Prepaid",Orders!$F$2:$F$20001,"RTO"))</f>
        <v/>
      </c>
      <c r="F369" s="17" t="str">
        <f aca="false">IF($A369="","",COUNTIFS(Orders!$C$2:$C$20001,$A369,Orders!$E$2:$E$20001,"Prepaid",Orders!$F$2:$F$20001,"RTO"))</f>
        <v/>
      </c>
      <c r="G369" s="18" t="str">
        <f aca="false">IF($A369="","",IFERROR(F369/E369,0))</f>
        <v/>
      </c>
      <c r="H369" s="19" t="str">
        <f aca="false">IF($A369="","",C369*Settings!$B$11)</f>
        <v/>
      </c>
      <c r="I369" s="20" t="str">
        <f aca="false">IF($A369="","",IF(N(H369)=0,"",RANK(H369,$H$5:$H$2004)))</f>
        <v/>
      </c>
      <c r="J369" s="21" t="str">
        <f aca="false">IF($A369="","",IF(B369=0,"No COD orders",IF(B369&lt;Settings!$B$8,"Too few orders",IF(D369&gt;=Settings!$B$9,"Restrict COD or verify","Keep COD"))))</f>
        <v/>
      </c>
    </row>
    <row r="370" customFormat="false" ht="15" hidden="false" customHeight="false" outlineLevel="0" collapsed="false">
      <c r="A370" s="27"/>
      <c r="B370" s="17" t="str">
        <f aca="false">IF($A370="","",COUNTIFS(Orders!$C$2:$C$20001,$A370,Orders!$E$2:$E$20001,"COD",Orders!$F$2:$F$20001,"Delivered")+COUNTIFS(Orders!$C$2:$C$20001,$A370,Orders!$E$2:$E$20001,"COD",Orders!$F$2:$F$20001,"RTO"))</f>
        <v/>
      </c>
      <c r="C370" s="17" t="str">
        <f aca="false">IF($A370="","",COUNTIFS(Orders!$C$2:$C$20001,$A370,Orders!$E$2:$E$20001,"COD",Orders!$F$2:$F$20001,"RTO"))</f>
        <v/>
      </c>
      <c r="D370" s="18" t="str">
        <f aca="false">IF($A370="","",IFERROR(C370/B370,0))</f>
        <v/>
      </c>
      <c r="E370" s="17" t="str">
        <f aca="false">IF($A370="","",COUNTIFS(Orders!$C$2:$C$20001,$A370,Orders!$E$2:$E$20001,"Prepaid",Orders!$F$2:$F$20001,"Delivered")+COUNTIFS(Orders!$C$2:$C$20001,$A370,Orders!$E$2:$E$20001,"Prepaid",Orders!$F$2:$F$20001,"RTO"))</f>
        <v/>
      </c>
      <c r="F370" s="17" t="str">
        <f aca="false">IF($A370="","",COUNTIFS(Orders!$C$2:$C$20001,$A370,Orders!$E$2:$E$20001,"Prepaid",Orders!$F$2:$F$20001,"RTO"))</f>
        <v/>
      </c>
      <c r="G370" s="18" t="str">
        <f aca="false">IF($A370="","",IFERROR(F370/E370,0))</f>
        <v/>
      </c>
      <c r="H370" s="19" t="str">
        <f aca="false">IF($A370="","",C370*Settings!$B$11)</f>
        <v/>
      </c>
      <c r="I370" s="20" t="str">
        <f aca="false">IF($A370="","",IF(N(H370)=0,"",RANK(H370,$H$5:$H$2004)))</f>
        <v/>
      </c>
      <c r="J370" s="21" t="str">
        <f aca="false">IF($A370="","",IF(B370=0,"No COD orders",IF(B370&lt;Settings!$B$8,"Too few orders",IF(D370&gt;=Settings!$B$9,"Restrict COD or verify","Keep COD"))))</f>
        <v/>
      </c>
    </row>
    <row r="371" customFormat="false" ht="15" hidden="false" customHeight="false" outlineLevel="0" collapsed="false">
      <c r="A371" s="27"/>
      <c r="B371" s="17" t="str">
        <f aca="false">IF($A371="","",COUNTIFS(Orders!$C$2:$C$20001,$A371,Orders!$E$2:$E$20001,"COD",Orders!$F$2:$F$20001,"Delivered")+COUNTIFS(Orders!$C$2:$C$20001,$A371,Orders!$E$2:$E$20001,"COD",Orders!$F$2:$F$20001,"RTO"))</f>
        <v/>
      </c>
      <c r="C371" s="17" t="str">
        <f aca="false">IF($A371="","",COUNTIFS(Orders!$C$2:$C$20001,$A371,Orders!$E$2:$E$20001,"COD",Orders!$F$2:$F$20001,"RTO"))</f>
        <v/>
      </c>
      <c r="D371" s="18" t="str">
        <f aca="false">IF($A371="","",IFERROR(C371/B371,0))</f>
        <v/>
      </c>
      <c r="E371" s="17" t="str">
        <f aca="false">IF($A371="","",COUNTIFS(Orders!$C$2:$C$20001,$A371,Orders!$E$2:$E$20001,"Prepaid",Orders!$F$2:$F$20001,"Delivered")+COUNTIFS(Orders!$C$2:$C$20001,$A371,Orders!$E$2:$E$20001,"Prepaid",Orders!$F$2:$F$20001,"RTO"))</f>
        <v/>
      </c>
      <c r="F371" s="17" t="str">
        <f aca="false">IF($A371="","",COUNTIFS(Orders!$C$2:$C$20001,$A371,Orders!$E$2:$E$20001,"Prepaid",Orders!$F$2:$F$20001,"RTO"))</f>
        <v/>
      </c>
      <c r="G371" s="18" t="str">
        <f aca="false">IF($A371="","",IFERROR(F371/E371,0))</f>
        <v/>
      </c>
      <c r="H371" s="19" t="str">
        <f aca="false">IF($A371="","",C371*Settings!$B$11)</f>
        <v/>
      </c>
      <c r="I371" s="20" t="str">
        <f aca="false">IF($A371="","",IF(N(H371)=0,"",RANK(H371,$H$5:$H$2004)))</f>
        <v/>
      </c>
      <c r="J371" s="21" t="str">
        <f aca="false">IF($A371="","",IF(B371=0,"No COD orders",IF(B371&lt;Settings!$B$8,"Too few orders",IF(D371&gt;=Settings!$B$9,"Restrict COD or verify","Keep COD"))))</f>
        <v/>
      </c>
    </row>
    <row r="372" customFormat="false" ht="15" hidden="false" customHeight="false" outlineLevel="0" collapsed="false">
      <c r="A372" s="27"/>
      <c r="B372" s="17" t="str">
        <f aca="false">IF($A372="","",COUNTIFS(Orders!$C$2:$C$20001,$A372,Orders!$E$2:$E$20001,"COD",Orders!$F$2:$F$20001,"Delivered")+COUNTIFS(Orders!$C$2:$C$20001,$A372,Orders!$E$2:$E$20001,"COD",Orders!$F$2:$F$20001,"RTO"))</f>
        <v/>
      </c>
      <c r="C372" s="17" t="str">
        <f aca="false">IF($A372="","",COUNTIFS(Orders!$C$2:$C$20001,$A372,Orders!$E$2:$E$20001,"COD",Orders!$F$2:$F$20001,"RTO"))</f>
        <v/>
      </c>
      <c r="D372" s="18" t="str">
        <f aca="false">IF($A372="","",IFERROR(C372/B372,0))</f>
        <v/>
      </c>
      <c r="E372" s="17" t="str">
        <f aca="false">IF($A372="","",COUNTIFS(Orders!$C$2:$C$20001,$A372,Orders!$E$2:$E$20001,"Prepaid",Orders!$F$2:$F$20001,"Delivered")+COUNTIFS(Orders!$C$2:$C$20001,$A372,Orders!$E$2:$E$20001,"Prepaid",Orders!$F$2:$F$20001,"RTO"))</f>
        <v/>
      </c>
      <c r="F372" s="17" t="str">
        <f aca="false">IF($A372="","",COUNTIFS(Orders!$C$2:$C$20001,$A372,Orders!$E$2:$E$20001,"Prepaid",Orders!$F$2:$F$20001,"RTO"))</f>
        <v/>
      </c>
      <c r="G372" s="18" t="str">
        <f aca="false">IF($A372="","",IFERROR(F372/E372,0))</f>
        <v/>
      </c>
      <c r="H372" s="19" t="str">
        <f aca="false">IF($A372="","",C372*Settings!$B$11)</f>
        <v/>
      </c>
      <c r="I372" s="20" t="str">
        <f aca="false">IF($A372="","",IF(N(H372)=0,"",RANK(H372,$H$5:$H$2004)))</f>
        <v/>
      </c>
      <c r="J372" s="21" t="str">
        <f aca="false">IF($A372="","",IF(B372=0,"No COD orders",IF(B372&lt;Settings!$B$8,"Too few orders",IF(D372&gt;=Settings!$B$9,"Restrict COD or verify","Keep COD"))))</f>
        <v/>
      </c>
    </row>
    <row r="373" customFormat="false" ht="15" hidden="false" customHeight="false" outlineLevel="0" collapsed="false">
      <c r="A373" s="27"/>
      <c r="B373" s="17" t="str">
        <f aca="false">IF($A373="","",COUNTIFS(Orders!$C$2:$C$20001,$A373,Orders!$E$2:$E$20001,"COD",Orders!$F$2:$F$20001,"Delivered")+COUNTIFS(Orders!$C$2:$C$20001,$A373,Orders!$E$2:$E$20001,"COD",Orders!$F$2:$F$20001,"RTO"))</f>
        <v/>
      </c>
      <c r="C373" s="17" t="str">
        <f aca="false">IF($A373="","",COUNTIFS(Orders!$C$2:$C$20001,$A373,Orders!$E$2:$E$20001,"COD",Orders!$F$2:$F$20001,"RTO"))</f>
        <v/>
      </c>
      <c r="D373" s="18" t="str">
        <f aca="false">IF($A373="","",IFERROR(C373/B373,0))</f>
        <v/>
      </c>
      <c r="E373" s="17" t="str">
        <f aca="false">IF($A373="","",COUNTIFS(Orders!$C$2:$C$20001,$A373,Orders!$E$2:$E$20001,"Prepaid",Orders!$F$2:$F$20001,"Delivered")+COUNTIFS(Orders!$C$2:$C$20001,$A373,Orders!$E$2:$E$20001,"Prepaid",Orders!$F$2:$F$20001,"RTO"))</f>
        <v/>
      </c>
      <c r="F373" s="17" t="str">
        <f aca="false">IF($A373="","",COUNTIFS(Orders!$C$2:$C$20001,$A373,Orders!$E$2:$E$20001,"Prepaid",Orders!$F$2:$F$20001,"RTO"))</f>
        <v/>
      </c>
      <c r="G373" s="18" t="str">
        <f aca="false">IF($A373="","",IFERROR(F373/E373,0))</f>
        <v/>
      </c>
      <c r="H373" s="19" t="str">
        <f aca="false">IF($A373="","",C373*Settings!$B$11)</f>
        <v/>
      </c>
      <c r="I373" s="20" t="str">
        <f aca="false">IF($A373="","",IF(N(H373)=0,"",RANK(H373,$H$5:$H$2004)))</f>
        <v/>
      </c>
      <c r="J373" s="21" t="str">
        <f aca="false">IF($A373="","",IF(B373=0,"No COD orders",IF(B373&lt;Settings!$B$8,"Too few orders",IF(D373&gt;=Settings!$B$9,"Restrict COD or verify","Keep COD"))))</f>
        <v/>
      </c>
    </row>
    <row r="374" customFormat="false" ht="15" hidden="false" customHeight="false" outlineLevel="0" collapsed="false">
      <c r="A374" s="27"/>
      <c r="B374" s="17" t="str">
        <f aca="false">IF($A374="","",COUNTIFS(Orders!$C$2:$C$20001,$A374,Orders!$E$2:$E$20001,"COD",Orders!$F$2:$F$20001,"Delivered")+COUNTIFS(Orders!$C$2:$C$20001,$A374,Orders!$E$2:$E$20001,"COD",Orders!$F$2:$F$20001,"RTO"))</f>
        <v/>
      </c>
      <c r="C374" s="17" t="str">
        <f aca="false">IF($A374="","",COUNTIFS(Orders!$C$2:$C$20001,$A374,Orders!$E$2:$E$20001,"COD",Orders!$F$2:$F$20001,"RTO"))</f>
        <v/>
      </c>
      <c r="D374" s="18" t="str">
        <f aca="false">IF($A374="","",IFERROR(C374/B374,0))</f>
        <v/>
      </c>
      <c r="E374" s="17" t="str">
        <f aca="false">IF($A374="","",COUNTIFS(Orders!$C$2:$C$20001,$A374,Orders!$E$2:$E$20001,"Prepaid",Orders!$F$2:$F$20001,"Delivered")+COUNTIFS(Orders!$C$2:$C$20001,$A374,Orders!$E$2:$E$20001,"Prepaid",Orders!$F$2:$F$20001,"RTO"))</f>
        <v/>
      </c>
      <c r="F374" s="17" t="str">
        <f aca="false">IF($A374="","",COUNTIFS(Orders!$C$2:$C$20001,$A374,Orders!$E$2:$E$20001,"Prepaid",Orders!$F$2:$F$20001,"RTO"))</f>
        <v/>
      </c>
      <c r="G374" s="18" t="str">
        <f aca="false">IF($A374="","",IFERROR(F374/E374,0))</f>
        <v/>
      </c>
      <c r="H374" s="19" t="str">
        <f aca="false">IF($A374="","",C374*Settings!$B$11)</f>
        <v/>
      </c>
      <c r="I374" s="20" t="str">
        <f aca="false">IF($A374="","",IF(N(H374)=0,"",RANK(H374,$H$5:$H$2004)))</f>
        <v/>
      </c>
      <c r="J374" s="21" t="str">
        <f aca="false">IF($A374="","",IF(B374=0,"No COD orders",IF(B374&lt;Settings!$B$8,"Too few orders",IF(D374&gt;=Settings!$B$9,"Restrict COD or verify","Keep COD"))))</f>
        <v/>
      </c>
    </row>
    <row r="375" customFormat="false" ht="15" hidden="false" customHeight="false" outlineLevel="0" collapsed="false">
      <c r="A375" s="27"/>
      <c r="B375" s="17" t="str">
        <f aca="false">IF($A375="","",COUNTIFS(Orders!$C$2:$C$20001,$A375,Orders!$E$2:$E$20001,"COD",Orders!$F$2:$F$20001,"Delivered")+COUNTIFS(Orders!$C$2:$C$20001,$A375,Orders!$E$2:$E$20001,"COD",Orders!$F$2:$F$20001,"RTO"))</f>
        <v/>
      </c>
      <c r="C375" s="17" t="str">
        <f aca="false">IF($A375="","",COUNTIFS(Orders!$C$2:$C$20001,$A375,Orders!$E$2:$E$20001,"COD",Orders!$F$2:$F$20001,"RTO"))</f>
        <v/>
      </c>
      <c r="D375" s="18" t="str">
        <f aca="false">IF($A375="","",IFERROR(C375/B375,0))</f>
        <v/>
      </c>
      <c r="E375" s="17" t="str">
        <f aca="false">IF($A375="","",COUNTIFS(Orders!$C$2:$C$20001,$A375,Orders!$E$2:$E$20001,"Prepaid",Orders!$F$2:$F$20001,"Delivered")+COUNTIFS(Orders!$C$2:$C$20001,$A375,Orders!$E$2:$E$20001,"Prepaid",Orders!$F$2:$F$20001,"RTO"))</f>
        <v/>
      </c>
      <c r="F375" s="17" t="str">
        <f aca="false">IF($A375="","",COUNTIFS(Orders!$C$2:$C$20001,$A375,Orders!$E$2:$E$20001,"Prepaid",Orders!$F$2:$F$20001,"RTO"))</f>
        <v/>
      </c>
      <c r="G375" s="18" t="str">
        <f aca="false">IF($A375="","",IFERROR(F375/E375,0))</f>
        <v/>
      </c>
      <c r="H375" s="19" t="str">
        <f aca="false">IF($A375="","",C375*Settings!$B$11)</f>
        <v/>
      </c>
      <c r="I375" s="20" t="str">
        <f aca="false">IF($A375="","",IF(N(H375)=0,"",RANK(H375,$H$5:$H$2004)))</f>
        <v/>
      </c>
      <c r="J375" s="21" t="str">
        <f aca="false">IF($A375="","",IF(B375=0,"No COD orders",IF(B375&lt;Settings!$B$8,"Too few orders",IF(D375&gt;=Settings!$B$9,"Restrict COD or verify","Keep COD"))))</f>
        <v/>
      </c>
    </row>
    <row r="376" customFormat="false" ht="15" hidden="false" customHeight="false" outlineLevel="0" collapsed="false">
      <c r="A376" s="27"/>
      <c r="B376" s="17" t="str">
        <f aca="false">IF($A376="","",COUNTIFS(Orders!$C$2:$C$20001,$A376,Orders!$E$2:$E$20001,"COD",Orders!$F$2:$F$20001,"Delivered")+COUNTIFS(Orders!$C$2:$C$20001,$A376,Orders!$E$2:$E$20001,"COD",Orders!$F$2:$F$20001,"RTO"))</f>
        <v/>
      </c>
      <c r="C376" s="17" t="str">
        <f aca="false">IF($A376="","",COUNTIFS(Orders!$C$2:$C$20001,$A376,Orders!$E$2:$E$20001,"COD",Orders!$F$2:$F$20001,"RTO"))</f>
        <v/>
      </c>
      <c r="D376" s="18" t="str">
        <f aca="false">IF($A376="","",IFERROR(C376/B376,0))</f>
        <v/>
      </c>
      <c r="E376" s="17" t="str">
        <f aca="false">IF($A376="","",COUNTIFS(Orders!$C$2:$C$20001,$A376,Orders!$E$2:$E$20001,"Prepaid",Orders!$F$2:$F$20001,"Delivered")+COUNTIFS(Orders!$C$2:$C$20001,$A376,Orders!$E$2:$E$20001,"Prepaid",Orders!$F$2:$F$20001,"RTO"))</f>
        <v/>
      </c>
      <c r="F376" s="17" t="str">
        <f aca="false">IF($A376="","",COUNTIFS(Orders!$C$2:$C$20001,$A376,Orders!$E$2:$E$20001,"Prepaid",Orders!$F$2:$F$20001,"RTO"))</f>
        <v/>
      </c>
      <c r="G376" s="18" t="str">
        <f aca="false">IF($A376="","",IFERROR(F376/E376,0))</f>
        <v/>
      </c>
      <c r="H376" s="19" t="str">
        <f aca="false">IF($A376="","",C376*Settings!$B$11)</f>
        <v/>
      </c>
      <c r="I376" s="20" t="str">
        <f aca="false">IF($A376="","",IF(N(H376)=0,"",RANK(H376,$H$5:$H$2004)))</f>
        <v/>
      </c>
      <c r="J376" s="21" t="str">
        <f aca="false">IF($A376="","",IF(B376=0,"No COD orders",IF(B376&lt;Settings!$B$8,"Too few orders",IF(D376&gt;=Settings!$B$9,"Restrict COD or verify","Keep COD"))))</f>
        <v/>
      </c>
    </row>
    <row r="377" customFormat="false" ht="15" hidden="false" customHeight="false" outlineLevel="0" collapsed="false">
      <c r="A377" s="27"/>
      <c r="B377" s="17" t="str">
        <f aca="false">IF($A377="","",COUNTIFS(Orders!$C$2:$C$20001,$A377,Orders!$E$2:$E$20001,"COD",Orders!$F$2:$F$20001,"Delivered")+COUNTIFS(Orders!$C$2:$C$20001,$A377,Orders!$E$2:$E$20001,"COD",Orders!$F$2:$F$20001,"RTO"))</f>
        <v/>
      </c>
      <c r="C377" s="17" t="str">
        <f aca="false">IF($A377="","",COUNTIFS(Orders!$C$2:$C$20001,$A377,Orders!$E$2:$E$20001,"COD",Orders!$F$2:$F$20001,"RTO"))</f>
        <v/>
      </c>
      <c r="D377" s="18" t="str">
        <f aca="false">IF($A377="","",IFERROR(C377/B377,0))</f>
        <v/>
      </c>
      <c r="E377" s="17" t="str">
        <f aca="false">IF($A377="","",COUNTIFS(Orders!$C$2:$C$20001,$A377,Orders!$E$2:$E$20001,"Prepaid",Orders!$F$2:$F$20001,"Delivered")+COUNTIFS(Orders!$C$2:$C$20001,$A377,Orders!$E$2:$E$20001,"Prepaid",Orders!$F$2:$F$20001,"RTO"))</f>
        <v/>
      </c>
      <c r="F377" s="17" t="str">
        <f aca="false">IF($A377="","",COUNTIFS(Orders!$C$2:$C$20001,$A377,Orders!$E$2:$E$20001,"Prepaid",Orders!$F$2:$F$20001,"RTO"))</f>
        <v/>
      </c>
      <c r="G377" s="18" t="str">
        <f aca="false">IF($A377="","",IFERROR(F377/E377,0))</f>
        <v/>
      </c>
      <c r="H377" s="19" t="str">
        <f aca="false">IF($A377="","",C377*Settings!$B$11)</f>
        <v/>
      </c>
      <c r="I377" s="20" t="str">
        <f aca="false">IF($A377="","",IF(N(H377)=0,"",RANK(H377,$H$5:$H$2004)))</f>
        <v/>
      </c>
      <c r="J377" s="21" t="str">
        <f aca="false">IF($A377="","",IF(B377=0,"No COD orders",IF(B377&lt;Settings!$B$8,"Too few orders",IF(D377&gt;=Settings!$B$9,"Restrict COD or verify","Keep COD"))))</f>
        <v/>
      </c>
    </row>
    <row r="378" customFormat="false" ht="15" hidden="false" customHeight="false" outlineLevel="0" collapsed="false">
      <c r="A378" s="27"/>
      <c r="B378" s="17" t="str">
        <f aca="false">IF($A378="","",COUNTIFS(Orders!$C$2:$C$20001,$A378,Orders!$E$2:$E$20001,"COD",Orders!$F$2:$F$20001,"Delivered")+COUNTIFS(Orders!$C$2:$C$20001,$A378,Orders!$E$2:$E$20001,"COD",Orders!$F$2:$F$20001,"RTO"))</f>
        <v/>
      </c>
      <c r="C378" s="17" t="str">
        <f aca="false">IF($A378="","",COUNTIFS(Orders!$C$2:$C$20001,$A378,Orders!$E$2:$E$20001,"COD",Orders!$F$2:$F$20001,"RTO"))</f>
        <v/>
      </c>
      <c r="D378" s="18" t="str">
        <f aca="false">IF($A378="","",IFERROR(C378/B378,0))</f>
        <v/>
      </c>
      <c r="E378" s="17" t="str">
        <f aca="false">IF($A378="","",COUNTIFS(Orders!$C$2:$C$20001,$A378,Orders!$E$2:$E$20001,"Prepaid",Orders!$F$2:$F$20001,"Delivered")+COUNTIFS(Orders!$C$2:$C$20001,$A378,Orders!$E$2:$E$20001,"Prepaid",Orders!$F$2:$F$20001,"RTO"))</f>
        <v/>
      </c>
      <c r="F378" s="17" t="str">
        <f aca="false">IF($A378="","",COUNTIFS(Orders!$C$2:$C$20001,$A378,Orders!$E$2:$E$20001,"Prepaid",Orders!$F$2:$F$20001,"RTO"))</f>
        <v/>
      </c>
      <c r="G378" s="18" t="str">
        <f aca="false">IF($A378="","",IFERROR(F378/E378,0))</f>
        <v/>
      </c>
      <c r="H378" s="19" t="str">
        <f aca="false">IF($A378="","",C378*Settings!$B$11)</f>
        <v/>
      </c>
      <c r="I378" s="20" t="str">
        <f aca="false">IF($A378="","",IF(N(H378)=0,"",RANK(H378,$H$5:$H$2004)))</f>
        <v/>
      </c>
      <c r="J378" s="21" t="str">
        <f aca="false">IF($A378="","",IF(B378=0,"No COD orders",IF(B378&lt;Settings!$B$8,"Too few orders",IF(D378&gt;=Settings!$B$9,"Restrict COD or verify","Keep COD"))))</f>
        <v/>
      </c>
    </row>
    <row r="379" customFormat="false" ht="15" hidden="false" customHeight="false" outlineLevel="0" collapsed="false">
      <c r="A379" s="27"/>
      <c r="B379" s="17" t="str">
        <f aca="false">IF($A379="","",COUNTIFS(Orders!$C$2:$C$20001,$A379,Orders!$E$2:$E$20001,"COD",Orders!$F$2:$F$20001,"Delivered")+COUNTIFS(Orders!$C$2:$C$20001,$A379,Orders!$E$2:$E$20001,"COD",Orders!$F$2:$F$20001,"RTO"))</f>
        <v/>
      </c>
      <c r="C379" s="17" t="str">
        <f aca="false">IF($A379="","",COUNTIFS(Orders!$C$2:$C$20001,$A379,Orders!$E$2:$E$20001,"COD",Orders!$F$2:$F$20001,"RTO"))</f>
        <v/>
      </c>
      <c r="D379" s="18" t="str">
        <f aca="false">IF($A379="","",IFERROR(C379/B379,0))</f>
        <v/>
      </c>
      <c r="E379" s="17" t="str">
        <f aca="false">IF($A379="","",COUNTIFS(Orders!$C$2:$C$20001,$A379,Orders!$E$2:$E$20001,"Prepaid",Orders!$F$2:$F$20001,"Delivered")+COUNTIFS(Orders!$C$2:$C$20001,$A379,Orders!$E$2:$E$20001,"Prepaid",Orders!$F$2:$F$20001,"RTO"))</f>
        <v/>
      </c>
      <c r="F379" s="17" t="str">
        <f aca="false">IF($A379="","",COUNTIFS(Orders!$C$2:$C$20001,$A379,Orders!$E$2:$E$20001,"Prepaid",Orders!$F$2:$F$20001,"RTO"))</f>
        <v/>
      </c>
      <c r="G379" s="18" t="str">
        <f aca="false">IF($A379="","",IFERROR(F379/E379,0))</f>
        <v/>
      </c>
      <c r="H379" s="19" t="str">
        <f aca="false">IF($A379="","",C379*Settings!$B$11)</f>
        <v/>
      </c>
      <c r="I379" s="20" t="str">
        <f aca="false">IF($A379="","",IF(N(H379)=0,"",RANK(H379,$H$5:$H$2004)))</f>
        <v/>
      </c>
      <c r="J379" s="21" t="str">
        <f aca="false">IF($A379="","",IF(B379=0,"No COD orders",IF(B379&lt;Settings!$B$8,"Too few orders",IF(D379&gt;=Settings!$B$9,"Restrict COD or verify","Keep COD"))))</f>
        <v/>
      </c>
    </row>
    <row r="380" customFormat="false" ht="15" hidden="false" customHeight="false" outlineLevel="0" collapsed="false">
      <c r="A380" s="27"/>
      <c r="B380" s="17" t="str">
        <f aca="false">IF($A380="","",COUNTIFS(Orders!$C$2:$C$20001,$A380,Orders!$E$2:$E$20001,"COD",Orders!$F$2:$F$20001,"Delivered")+COUNTIFS(Orders!$C$2:$C$20001,$A380,Orders!$E$2:$E$20001,"COD",Orders!$F$2:$F$20001,"RTO"))</f>
        <v/>
      </c>
      <c r="C380" s="17" t="str">
        <f aca="false">IF($A380="","",COUNTIFS(Orders!$C$2:$C$20001,$A380,Orders!$E$2:$E$20001,"COD",Orders!$F$2:$F$20001,"RTO"))</f>
        <v/>
      </c>
      <c r="D380" s="18" t="str">
        <f aca="false">IF($A380="","",IFERROR(C380/B380,0))</f>
        <v/>
      </c>
      <c r="E380" s="17" t="str">
        <f aca="false">IF($A380="","",COUNTIFS(Orders!$C$2:$C$20001,$A380,Orders!$E$2:$E$20001,"Prepaid",Orders!$F$2:$F$20001,"Delivered")+COUNTIFS(Orders!$C$2:$C$20001,$A380,Orders!$E$2:$E$20001,"Prepaid",Orders!$F$2:$F$20001,"RTO"))</f>
        <v/>
      </c>
      <c r="F380" s="17" t="str">
        <f aca="false">IF($A380="","",COUNTIFS(Orders!$C$2:$C$20001,$A380,Orders!$E$2:$E$20001,"Prepaid",Orders!$F$2:$F$20001,"RTO"))</f>
        <v/>
      </c>
      <c r="G380" s="18" t="str">
        <f aca="false">IF($A380="","",IFERROR(F380/E380,0))</f>
        <v/>
      </c>
      <c r="H380" s="19" t="str">
        <f aca="false">IF($A380="","",C380*Settings!$B$11)</f>
        <v/>
      </c>
      <c r="I380" s="20" t="str">
        <f aca="false">IF($A380="","",IF(N(H380)=0,"",RANK(H380,$H$5:$H$2004)))</f>
        <v/>
      </c>
      <c r="J380" s="21" t="str">
        <f aca="false">IF($A380="","",IF(B380=0,"No COD orders",IF(B380&lt;Settings!$B$8,"Too few orders",IF(D380&gt;=Settings!$B$9,"Restrict COD or verify","Keep COD"))))</f>
        <v/>
      </c>
    </row>
    <row r="381" customFormat="false" ht="15" hidden="false" customHeight="false" outlineLevel="0" collapsed="false">
      <c r="A381" s="27"/>
      <c r="B381" s="17" t="str">
        <f aca="false">IF($A381="","",COUNTIFS(Orders!$C$2:$C$20001,$A381,Orders!$E$2:$E$20001,"COD",Orders!$F$2:$F$20001,"Delivered")+COUNTIFS(Orders!$C$2:$C$20001,$A381,Orders!$E$2:$E$20001,"COD",Orders!$F$2:$F$20001,"RTO"))</f>
        <v/>
      </c>
      <c r="C381" s="17" t="str">
        <f aca="false">IF($A381="","",COUNTIFS(Orders!$C$2:$C$20001,$A381,Orders!$E$2:$E$20001,"COD",Orders!$F$2:$F$20001,"RTO"))</f>
        <v/>
      </c>
      <c r="D381" s="18" t="str">
        <f aca="false">IF($A381="","",IFERROR(C381/B381,0))</f>
        <v/>
      </c>
      <c r="E381" s="17" t="str">
        <f aca="false">IF($A381="","",COUNTIFS(Orders!$C$2:$C$20001,$A381,Orders!$E$2:$E$20001,"Prepaid",Orders!$F$2:$F$20001,"Delivered")+COUNTIFS(Orders!$C$2:$C$20001,$A381,Orders!$E$2:$E$20001,"Prepaid",Orders!$F$2:$F$20001,"RTO"))</f>
        <v/>
      </c>
      <c r="F381" s="17" t="str">
        <f aca="false">IF($A381="","",COUNTIFS(Orders!$C$2:$C$20001,$A381,Orders!$E$2:$E$20001,"Prepaid",Orders!$F$2:$F$20001,"RTO"))</f>
        <v/>
      </c>
      <c r="G381" s="18" t="str">
        <f aca="false">IF($A381="","",IFERROR(F381/E381,0))</f>
        <v/>
      </c>
      <c r="H381" s="19" t="str">
        <f aca="false">IF($A381="","",C381*Settings!$B$11)</f>
        <v/>
      </c>
      <c r="I381" s="20" t="str">
        <f aca="false">IF($A381="","",IF(N(H381)=0,"",RANK(H381,$H$5:$H$2004)))</f>
        <v/>
      </c>
      <c r="J381" s="21" t="str">
        <f aca="false">IF($A381="","",IF(B381=0,"No COD orders",IF(B381&lt;Settings!$B$8,"Too few orders",IF(D381&gt;=Settings!$B$9,"Restrict COD or verify","Keep COD"))))</f>
        <v/>
      </c>
    </row>
    <row r="382" customFormat="false" ht="15" hidden="false" customHeight="false" outlineLevel="0" collapsed="false">
      <c r="A382" s="27"/>
      <c r="B382" s="17" t="str">
        <f aca="false">IF($A382="","",COUNTIFS(Orders!$C$2:$C$20001,$A382,Orders!$E$2:$E$20001,"COD",Orders!$F$2:$F$20001,"Delivered")+COUNTIFS(Orders!$C$2:$C$20001,$A382,Orders!$E$2:$E$20001,"COD",Orders!$F$2:$F$20001,"RTO"))</f>
        <v/>
      </c>
      <c r="C382" s="17" t="str">
        <f aca="false">IF($A382="","",COUNTIFS(Orders!$C$2:$C$20001,$A382,Orders!$E$2:$E$20001,"COD",Orders!$F$2:$F$20001,"RTO"))</f>
        <v/>
      </c>
      <c r="D382" s="18" t="str">
        <f aca="false">IF($A382="","",IFERROR(C382/B382,0))</f>
        <v/>
      </c>
      <c r="E382" s="17" t="str">
        <f aca="false">IF($A382="","",COUNTIFS(Orders!$C$2:$C$20001,$A382,Orders!$E$2:$E$20001,"Prepaid",Orders!$F$2:$F$20001,"Delivered")+COUNTIFS(Orders!$C$2:$C$20001,$A382,Orders!$E$2:$E$20001,"Prepaid",Orders!$F$2:$F$20001,"RTO"))</f>
        <v/>
      </c>
      <c r="F382" s="17" t="str">
        <f aca="false">IF($A382="","",COUNTIFS(Orders!$C$2:$C$20001,$A382,Orders!$E$2:$E$20001,"Prepaid",Orders!$F$2:$F$20001,"RTO"))</f>
        <v/>
      </c>
      <c r="G382" s="18" t="str">
        <f aca="false">IF($A382="","",IFERROR(F382/E382,0))</f>
        <v/>
      </c>
      <c r="H382" s="19" t="str">
        <f aca="false">IF($A382="","",C382*Settings!$B$11)</f>
        <v/>
      </c>
      <c r="I382" s="20" t="str">
        <f aca="false">IF($A382="","",IF(N(H382)=0,"",RANK(H382,$H$5:$H$2004)))</f>
        <v/>
      </c>
      <c r="J382" s="21" t="str">
        <f aca="false">IF($A382="","",IF(B382=0,"No COD orders",IF(B382&lt;Settings!$B$8,"Too few orders",IF(D382&gt;=Settings!$B$9,"Restrict COD or verify","Keep COD"))))</f>
        <v/>
      </c>
    </row>
    <row r="383" customFormat="false" ht="15" hidden="false" customHeight="false" outlineLevel="0" collapsed="false">
      <c r="A383" s="27"/>
      <c r="B383" s="17" t="str">
        <f aca="false">IF($A383="","",COUNTIFS(Orders!$C$2:$C$20001,$A383,Orders!$E$2:$E$20001,"COD",Orders!$F$2:$F$20001,"Delivered")+COUNTIFS(Orders!$C$2:$C$20001,$A383,Orders!$E$2:$E$20001,"COD",Orders!$F$2:$F$20001,"RTO"))</f>
        <v/>
      </c>
      <c r="C383" s="17" t="str">
        <f aca="false">IF($A383="","",COUNTIFS(Orders!$C$2:$C$20001,$A383,Orders!$E$2:$E$20001,"COD",Orders!$F$2:$F$20001,"RTO"))</f>
        <v/>
      </c>
      <c r="D383" s="18" t="str">
        <f aca="false">IF($A383="","",IFERROR(C383/B383,0))</f>
        <v/>
      </c>
      <c r="E383" s="17" t="str">
        <f aca="false">IF($A383="","",COUNTIFS(Orders!$C$2:$C$20001,$A383,Orders!$E$2:$E$20001,"Prepaid",Orders!$F$2:$F$20001,"Delivered")+COUNTIFS(Orders!$C$2:$C$20001,$A383,Orders!$E$2:$E$20001,"Prepaid",Orders!$F$2:$F$20001,"RTO"))</f>
        <v/>
      </c>
      <c r="F383" s="17" t="str">
        <f aca="false">IF($A383="","",COUNTIFS(Orders!$C$2:$C$20001,$A383,Orders!$E$2:$E$20001,"Prepaid",Orders!$F$2:$F$20001,"RTO"))</f>
        <v/>
      </c>
      <c r="G383" s="18" t="str">
        <f aca="false">IF($A383="","",IFERROR(F383/E383,0))</f>
        <v/>
      </c>
      <c r="H383" s="19" t="str">
        <f aca="false">IF($A383="","",C383*Settings!$B$11)</f>
        <v/>
      </c>
      <c r="I383" s="20" t="str">
        <f aca="false">IF($A383="","",IF(N(H383)=0,"",RANK(H383,$H$5:$H$2004)))</f>
        <v/>
      </c>
      <c r="J383" s="21" t="str">
        <f aca="false">IF($A383="","",IF(B383=0,"No COD orders",IF(B383&lt;Settings!$B$8,"Too few orders",IF(D383&gt;=Settings!$B$9,"Restrict COD or verify","Keep COD"))))</f>
        <v/>
      </c>
    </row>
    <row r="384" customFormat="false" ht="15" hidden="false" customHeight="false" outlineLevel="0" collapsed="false">
      <c r="A384" s="27"/>
      <c r="B384" s="17" t="str">
        <f aca="false">IF($A384="","",COUNTIFS(Orders!$C$2:$C$20001,$A384,Orders!$E$2:$E$20001,"COD",Orders!$F$2:$F$20001,"Delivered")+COUNTIFS(Orders!$C$2:$C$20001,$A384,Orders!$E$2:$E$20001,"COD",Orders!$F$2:$F$20001,"RTO"))</f>
        <v/>
      </c>
      <c r="C384" s="17" t="str">
        <f aca="false">IF($A384="","",COUNTIFS(Orders!$C$2:$C$20001,$A384,Orders!$E$2:$E$20001,"COD",Orders!$F$2:$F$20001,"RTO"))</f>
        <v/>
      </c>
      <c r="D384" s="18" t="str">
        <f aca="false">IF($A384="","",IFERROR(C384/B384,0))</f>
        <v/>
      </c>
      <c r="E384" s="17" t="str">
        <f aca="false">IF($A384="","",COUNTIFS(Orders!$C$2:$C$20001,$A384,Orders!$E$2:$E$20001,"Prepaid",Orders!$F$2:$F$20001,"Delivered")+COUNTIFS(Orders!$C$2:$C$20001,$A384,Orders!$E$2:$E$20001,"Prepaid",Orders!$F$2:$F$20001,"RTO"))</f>
        <v/>
      </c>
      <c r="F384" s="17" t="str">
        <f aca="false">IF($A384="","",COUNTIFS(Orders!$C$2:$C$20001,$A384,Orders!$E$2:$E$20001,"Prepaid",Orders!$F$2:$F$20001,"RTO"))</f>
        <v/>
      </c>
      <c r="G384" s="18" t="str">
        <f aca="false">IF($A384="","",IFERROR(F384/E384,0))</f>
        <v/>
      </c>
      <c r="H384" s="19" t="str">
        <f aca="false">IF($A384="","",C384*Settings!$B$11)</f>
        <v/>
      </c>
      <c r="I384" s="20" t="str">
        <f aca="false">IF($A384="","",IF(N(H384)=0,"",RANK(H384,$H$5:$H$2004)))</f>
        <v/>
      </c>
      <c r="J384" s="21" t="str">
        <f aca="false">IF($A384="","",IF(B384=0,"No COD orders",IF(B384&lt;Settings!$B$8,"Too few orders",IF(D384&gt;=Settings!$B$9,"Restrict COD or verify","Keep COD"))))</f>
        <v/>
      </c>
    </row>
    <row r="385" customFormat="false" ht="15" hidden="false" customHeight="false" outlineLevel="0" collapsed="false">
      <c r="A385" s="27"/>
      <c r="B385" s="17" t="str">
        <f aca="false">IF($A385="","",COUNTIFS(Orders!$C$2:$C$20001,$A385,Orders!$E$2:$E$20001,"COD",Orders!$F$2:$F$20001,"Delivered")+COUNTIFS(Orders!$C$2:$C$20001,$A385,Orders!$E$2:$E$20001,"COD",Orders!$F$2:$F$20001,"RTO"))</f>
        <v/>
      </c>
      <c r="C385" s="17" t="str">
        <f aca="false">IF($A385="","",COUNTIFS(Orders!$C$2:$C$20001,$A385,Orders!$E$2:$E$20001,"COD",Orders!$F$2:$F$20001,"RTO"))</f>
        <v/>
      </c>
      <c r="D385" s="18" t="str">
        <f aca="false">IF($A385="","",IFERROR(C385/B385,0))</f>
        <v/>
      </c>
      <c r="E385" s="17" t="str">
        <f aca="false">IF($A385="","",COUNTIFS(Orders!$C$2:$C$20001,$A385,Orders!$E$2:$E$20001,"Prepaid",Orders!$F$2:$F$20001,"Delivered")+COUNTIFS(Orders!$C$2:$C$20001,$A385,Orders!$E$2:$E$20001,"Prepaid",Orders!$F$2:$F$20001,"RTO"))</f>
        <v/>
      </c>
      <c r="F385" s="17" t="str">
        <f aca="false">IF($A385="","",COUNTIFS(Orders!$C$2:$C$20001,$A385,Orders!$E$2:$E$20001,"Prepaid",Orders!$F$2:$F$20001,"RTO"))</f>
        <v/>
      </c>
      <c r="G385" s="18" t="str">
        <f aca="false">IF($A385="","",IFERROR(F385/E385,0))</f>
        <v/>
      </c>
      <c r="H385" s="19" t="str">
        <f aca="false">IF($A385="","",C385*Settings!$B$11)</f>
        <v/>
      </c>
      <c r="I385" s="20" t="str">
        <f aca="false">IF($A385="","",IF(N(H385)=0,"",RANK(H385,$H$5:$H$2004)))</f>
        <v/>
      </c>
      <c r="J385" s="21" t="str">
        <f aca="false">IF($A385="","",IF(B385=0,"No COD orders",IF(B385&lt;Settings!$B$8,"Too few orders",IF(D385&gt;=Settings!$B$9,"Restrict COD or verify","Keep COD"))))</f>
        <v/>
      </c>
    </row>
    <row r="386" customFormat="false" ht="15" hidden="false" customHeight="false" outlineLevel="0" collapsed="false">
      <c r="A386" s="27"/>
      <c r="B386" s="17" t="str">
        <f aca="false">IF($A386="","",COUNTIFS(Orders!$C$2:$C$20001,$A386,Orders!$E$2:$E$20001,"COD",Orders!$F$2:$F$20001,"Delivered")+COUNTIFS(Orders!$C$2:$C$20001,$A386,Orders!$E$2:$E$20001,"COD",Orders!$F$2:$F$20001,"RTO"))</f>
        <v/>
      </c>
      <c r="C386" s="17" t="str">
        <f aca="false">IF($A386="","",COUNTIFS(Orders!$C$2:$C$20001,$A386,Orders!$E$2:$E$20001,"COD",Orders!$F$2:$F$20001,"RTO"))</f>
        <v/>
      </c>
      <c r="D386" s="18" t="str">
        <f aca="false">IF($A386="","",IFERROR(C386/B386,0))</f>
        <v/>
      </c>
      <c r="E386" s="17" t="str">
        <f aca="false">IF($A386="","",COUNTIFS(Orders!$C$2:$C$20001,$A386,Orders!$E$2:$E$20001,"Prepaid",Orders!$F$2:$F$20001,"Delivered")+COUNTIFS(Orders!$C$2:$C$20001,$A386,Orders!$E$2:$E$20001,"Prepaid",Orders!$F$2:$F$20001,"RTO"))</f>
        <v/>
      </c>
      <c r="F386" s="17" t="str">
        <f aca="false">IF($A386="","",COUNTIFS(Orders!$C$2:$C$20001,$A386,Orders!$E$2:$E$20001,"Prepaid",Orders!$F$2:$F$20001,"RTO"))</f>
        <v/>
      </c>
      <c r="G386" s="18" t="str">
        <f aca="false">IF($A386="","",IFERROR(F386/E386,0))</f>
        <v/>
      </c>
      <c r="H386" s="19" t="str">
        <f aca="false">IF($A386="","",C386*Settings!$B$11)</f>
        <v/>
      </c>
      <c r="I386" s="20" t="str">
        <f aca="false">IF($A386="","",IF(N(H386)=0,"",RANK(H386,$H$5:$H$2004)))</f>
        <v/>
      </c>
      <c r="J386" s="21" t="str">
        <f aca="false">IF($A386="","",IF(B386=0,"No COD orders",IF(B386&lt;Settings!$B$8,"Too few orders",IF(D386&gt;=Settings!$B$9,"Restrict COD or verify","Keep COD"))))</f>
        <v/>
      </c>
    </row>
    <row r="387" customFormat="false" ht="15" hidden="false" customHeight="false" outlineLevel="0" collapsed="false">
      <c r="A387" s="27"/>
      <c r="B387" s="17" t="str">
        <f aca="false">IF($A387="","",COUNTIFS(Orders!$C$2:$C$20001,$A387,Orders!$E$2:$E$20001,"COD",Orders!$F$2:$F$20001,"Delivered")+COUNTIFS(Orders!$C$2:$C$20001,$A387,Orders!$E$2:$E$20001,"COD",Orders!$F$2:$F$20001,"RTO"))</f>
        <v/>
      </c>
      <c r="C387" s="17" t="str">
        <f aca="false">IF($A387="","",COUNTIFS(Orders!$C$2:$C$20001,$A387,Orders!$E$2:$E$20001,"COD",Orders!$F$2:$F$20001,"RTO"))</f>
        <v/>
      </c>
      <c r="D387" s="18" t="str">
        <f aca="false">IF($A387="","",IFERROR(C387/B387,0))</f>
        <v/>
      </c>
      <c r="E387" s="17" t="str">
        <f aca="false">IF($A387="","",COUNTIFS(Orders!$C$2:$C$20001,$A387,Orders!$E$2:$E$20001,"Prepaid",Orders!$F$2:$F$20001,"Delivered")+COUNTIFS(Orders!$C$2:$C$20001,$A387,Orders!$E$2:$E$20001,"Prepaid",Orders!$F$2:$F$20001,"RTO"))</f>
        <v/>
      </c>
      <c r="F387" s="17" t="str">
        <f aca="false">IF($A387="","",COUNTIFS(Orders!$C$2:$C$20001,$A387,Orders!$E$2:$E$20001,"Prepaid",Orders!$F$2:$F$20001,"RTO"))</f>
        <v/>
      </c>
      <c r="G387" s="18" t="str">
        <f aca="false">IF($A387="","",IFERROR(F387/E387,0))</f>
        <v/>
      </c>
      <c r="H387" s="19" t="str">
        <f aca="false">IF($A387="","",C387*Settings!$B$11)</f>
        <v/>
      </c>
      <c r="I387" s="20" t="str">
        <f aca="false">IF($A387="","",IF(N(H387)=0,"",RANK(H387,$H$5:$H$2004)))</f>
        <v/>
      </c>
      <c r="J387" s="21" t="str">
        <f aca="false">IF($A387="","",IF(B387=0,"No COD orders",IF(B387&lt;Settings!$B$8,"Too few orders",IF(D387&gt;=Settings!$B$9,"Restrict COD or verify","Keep COD"))))</f>
        <v/>
      </c>
    </row>
    <row r="388" customFormat="false" ht="15" hidden="false" customHeight="false" outlineLevel="0" collapsed="false">
      <c r="A388" s="27"/>
      <c r="B388" s="17" t="str">
        <f aca="false">IF($A388="","",COUNTIFS(Orders!$C$2:$C$20001,$A388,Orders!$E$2:$E$20001,"COD",Orders!$F$2:$F$20001,"Delivered")+COUNTIFS(Orders!$C$2:$C$20001,$A388,Orders!$E$2:$E$20001,"COD",Orders!$F$2:$F$20001,"RTO"))</f>
        <v/>
      </c>
      <c r="C388" s="17" t="str">
        <f aca="false">IF($A388="","",COUNTIFS(Orders!$C$2:$C$20001,$A388,Orders!$E$2:$E$20001,"COD",Orders!$F$2:$F$20001,"RTO"))</f>
        <v/>
      </c>
      <c r="D388" s="18" t="str">
        <f aca="false">IF($A388="","",IFERROR(C388/B388,0))</f>
        <v/>
      </c>
      <c r="E388" s="17" t="str">
        <f aca="false">IF($A388="","",COUNTIFS(Orders!$C$2:$C$20001,$A388,Orders!$E$2:$E$20001,"Prepaid",Orders!$F$2:$F$20001,"Delivered")+COUNTIFS(Orders!$C$2:$C$20001,$A388,Orders!$E$2:$E$20001,"Prepaid",Orders!$F$2:$F$20001,"RTO"))</f>
        <v/>
      </c>
      <c r="F388" s="17" t="str">
        <f aca="false">IF($A388="","",COUNTIFS(Orders!$C$2:$C$20001,$A388,Orders!$E$2:$E$20001,"Prepaid",Orders!$F$2:$F$20001,"RTO"))</f>
        <v/>
      </c>
      <c r="G388" s="18" t="str">
        <f aca="false">IF($A388="","",IFERROR(F388/E388,0))</f>
        <v/>
      </c>
      <c r="H388" s="19" t="str">
        <f aca="false">IF($A388="","",C388*Settings!$B$11)</f>
        <v/>
      </c>
      <c r="I388" s="20" t="str">
        <f aca="false">IF($A388="","",IF(N(H388)=0,"",RANK(H388,$H$5:$H$2004)))</f>
        <v/>
      </c>
      <c r="J388" s="21" t="str">
        <f aca="false">IF($A388="","",IF(B388=0,"No COD orders",IF(B388&lt;Settings!$B$8,"Too few orders",IF(D388&gt;=Settings!$B$9,"Restrict COD or verify","Keep COD"))))</f>
        <v/>
      </c>
    </row>
    <row r="389" customFormat="false" ht="15" hidden="false" customHeight="false" outlineLevel="0" collapsed="false">
      <c r="A389" s="27"/>
      <c r="B389" s="17" t="str">
        <f aca="false">IF($A389="","",COUNTIFS(Orders!$C$2:$C$20001,$A389,Orders!$E$2:$E$20001,"COD",Orders!$F$2:$F$20001,"Delivered")+COUNTIFS(Orders!$C$2:$C$20001,$A389,Orders!$E$2:$E$20001,"COD",Orders!$F$2:$F$20001,"RTO"))</f>
        <v/>
      </c>
      <c r="C389" s="17" t="str">
        <f aca="false">IF($A389="","",COUNTIFS(Orders!$C$2:$C$20001,$A389,Orders!$E$2:$E$20001,"COD",Orders!$F$2:$F$20001,"RTO"))</f>
        <v/>
      </c>
      <c r="D389" s="18" t="str">
        <f aca="false">IF($A389="","",IFERROR(C389/B389,0))</f>
        <v/>
      </c>
      <c r="E389" s="17" t="str">
        <f aca="false">IF($A389="","",COUNTIFS(Orders!$C$2:$C$20001,$A389,Orders!$E$2:$E$20001,"Prepaid",Orders!$F$2:$F$20001,"Delivered")+COUNTIFS(Orders!$C$2:$C$20001,$A389,Orders!$E$2:$E$20001,"Prepaid",Orders!$F$2:$F$20001,"RTO"))</f>
        <v/>
      </c>
      <c r="F389" s="17" t="str">
        <f aca="false">IF($A389="","",COUNTIFS(Orders!$C$2:$C$20001,$A389,Orders!$E$2:$E$20001,"Prepaid",Orders!$F$2:$F$20001,"RTO"))</f>
        <v/>
      </c>
      <c r="G389" s="18" t="str">
        <f aca="false">IF($A389="","",IFERROR(F389/E389,0))</f>
        <v/>
      </c>
      <c r="H389" s="19" t="str">
        <f aca="false">IF($A389="","",C389*Settings!$B$11)</f>
        <v/>
      </c>
      <c r="I389" s="20" t="str">
        <f aca="false">IF($A389="","",IF(N(H389)=0,"",RANK(H389,$H$5:$H$2004)))</f>
        <v/>
      </c>
      <c r="J389" s="21" t="str">
        <f aca="false">IF($A389="","",IF(B389=0,"No COD orders",IF(B389&lt;Settings!$B$8,"Too few orders",IF(D389&gt;=Settings!$B$9,"Restrict COD or verify","Keep COD"))))</f>
        <v/>
      </c>
    </row>
    <row r="390" customFormat="false" ht="15" hidden="false" customHeight="false" outlineLevel="0" collapsed="false">
      <c r="A390" s="27"/>
      <c r="B390" s="17" t="str">
        <f aca="false">IF($A390="","",COUNTIFS(Orders!$C$2:$C$20001,$A390,Orders!$E$2:$E$20001,"COD",Orders!$F$2:$F$20001,"Delivered")+COUNTIFS(Orders!$C$2:$C$20001,$A390,Orders!$E$2:$E$20001,"COD",Orders!$F$2:$F$20001,"RTO"))</f>
        <v/>
      </c>
      <c r="C390" s="17" t="str">
        <f aca="false">IF($A390="","",COUNTIFS(Orders!$C$2:$C$20001,$A390,Orders!$E$2:$E$20001,"COD",Orders!$F$2:$F$20001,"RTO"))</f>
        <v/>
      </c>
      <c r="D390" s="18" t="str">
        <f aca="false">IF($A390="","",IFERROR(C390/B390,0))</f>
        <v/>
      </c>
      <c r="E390" s="17" t="str">
        <f aca="false">IF($A390="","",COUNTIFS(Orders!$C$2:$C$20001,$A390,Orders!$E$2:$E$20001,"Prepaid",Orders!$F$2:$F$20001,"Delivered")+COUNTIFS(Orders!$C$2:$C$20001,$A390,Orders!$E$2:$E$20001,"Prepaid",Orders!$F$2:$F$20001,"RTO"))</f>
        <v/>
      </c>
      <c r="F390" s="17" t="str">
        <f aca="false">IF($A390="","",COUNTIFS(Orders!$C$2:$C$20001,$A390,Orders!$E$2:$E$20001,"Prepaid",Orders!$F$2:$F$20001,"RTO"))</f>
        <v/>
      </c>
      <c r="G390" s="18" t="str">
        <f aca="false">IF($A390="","",IFERROR(F390/E390,0))</f>
        <v/>
      </c>
      <c r="H390" s="19" t="str">
        <f aca="false">IF($A390="","",C390*Settings!$B$11)</f>
        <v/>
      </c>
      <c r="I390" s="20" t="str">
        <f aca="false">IF($A390="","",IF(N(H390)=0,"",RANK(H390,$H$5:$H$2004)))</f>
        <v/>
      </c>
      <c r="J390" s="21" t="str">
        <f aca="false">IF($A390="","",IF(B390=0,"No COD orders",IF(B390&lt;Settings!$B$8,"Too few orders",IF(D390&gt;=Settings!$B$9,"Restrict COD or verify","Keep COD"))))</f>
        <v/>
      </c>
    </row>
    <row r="391" customFormat="false" ht="15" hidden="false" customHeight="false" outlineLevel="0" collapsed="false">
      <c r="A391" s="27"/>
      <c r="B391" s="17" t="str">
        <f aca="false">IF($A391="","",COUNTIFS(Orders!$C$2:$C$20001,$A391,Orders!$E$2:$E$20001,"COD",Orders!$F$2:$F$20001,"Delivered")+COUNTIFS(Orders!$C$2:$C$20001,$A391,Orders!$E$2:$E$20001,"COD",Orders!$F$2:$F$20001,"RTO"))</f>
        <v/>
      </c>
      <c r="C391" s="17" t="str">
        <f aca="false">IF($A391="","",COUNTIFS(Orders!$C$2:$C$20001,$A391,Orders!$E$2:$E$20001,"COD",Orders!$F$2:$F$20001,"RTO"))</f>
        <v/>
      </c>
      <c r="D391" s="18" t="str">
        <f aca="false">IF($A391="","",IFERROR(C391/B391,0))</f>
        <v/>
      </c>
      <c r="E391" s="17" t="str">
        <f aca="false">IF($A391="","",COUNTIFS(Orders!$C$2:$C$20001,$A391,Orders!$E$2:$E$20001,"Prepaid",Orders!$F$2:$F$20001,"Delivered")+COUNTIFS(Orders!$C$2:$C$20001,$A391,Orders!$E$2:$E$20001,"Prepaid",Orders!$F$2:$F$20001,"RTO"))</f>
        <v/>
      </c>
      <c r="F391" s="17" t="str">
        <f aca="false">IF($A391="","",COUNTIFS(Orders!$C$2:$C$20001,$A391,Orders!$E$2:$E$20001,"Prepaid",Orders!$F$2:$F$20001,"RTO"))</f>
        <v/>
      </c>
      <c r="G391" s="18" t="str">
        <f aca="false">IF($A391="","",IFERROR(F391/E391,0))</f>
        <v/>
      </c>
      <c r="H391" s="19" t="str">
        <f aca="false">IF($A391="","",C391*Settings!$B$11)</f>
        <v/>
      </c>
      <c r="I391" s="20" t="str">
        <f aca="false">IF($A391="","",IF(N(H391)=0,"",RANK(H391,$H$5:$H$2004)))</f>
        <v/>
      </c>
      <c r="J391" s="21" t="str">
        <f aca="false">IF($A391="","",IF(B391=0,"No COD orders",IF(B391&lt;Settings!$B$8,"Too few orders",IF(D391&gt;=Settings!$B$9,"Restrict COD or verify","Keep COD"))))</f>
        <v/>
      </c>
    </row>
    <row r="392" customFormat="false" ht="15" hidden="false" customHeight="false" outlineLevel="0" collapsed="false">
      <c r="A392" s="27"/>
      <c r="B392" s="17" t="str">
        <f aca="false">IF($A392="","",COUNTIFS(Orders!$C$2:$C$20001,$A392,Orders!$E$2:$E$20001,"COD",Orders!$F$2:$F$20001,"Delivered")+COUNTIFS(Orders!$C$2:$C$20001,$A392,Orders!$E$2:$E$20001,"COD",Orders!$F$2:$F$20001,"RTO"))</f>
        <v/>
      </c>
      <c r="C392" s="17" t="str">
        <f aca="false">IF($A392="","",COUNTIFS(Orders!$C$2:$C$20001,$A392,Orders!$E$2:$E$20001,"COD",Orders!$F$2:$F$20001,"RTO"))</f>
        <v/>
      </c>
      <c r="D392" s="18" t="str">
        <f aca="false">IF($A392="","",IFERROR(C392/B392,0))</f>
        <v/>
      </c>
      <c r="E392" s="17" t="str">
        <f aca="false">IF($A392="","",COUNTIFS(Orders!$C$2:$C$20001,$A392,Orders!$E$2:$E$20001,"Prepaid",Orders!$F$2:$F$20001,"Delivered")+COUNTIFS(Orders!$C$2:$C$20001,$A392,Orders!$E$2:$E$20001,"Prepaid",Orders!$F$2:$F$20001,"RTO"))</f>
        <v/>
      </c>
      <c r="F392" s="17" t="str">
        <f aca="false">IF($A392="","",COUNTIFS(Orders!$C$2:$C$20001,$A392,Orders!$E$2:$E$20001,"Prepaid",Orders!$F$2:$F$20001,"RTO"))</f>
        <v/>
      </c>
      <c r="G392" s="18" t="str">
        <f aca="false">IF($A392="","",IFERROR(F392/E392,0))</f>
        <v/>
      </c>
      <c r="H392" s="19" t="str">
        <f aca="false">IF($A392="","",C392*Settings!$B$11)</f>
        <v/>
      </c>
      <c r="I392" s="20" t="str">
        <f aca="false">IF($A392="","",IF(N(H392)=0,"",RANK(H392,$H$5:$H$2004)))</f>
        <v/>
      </c>
      <c r="J392" s="21" t="str">
        <f aca="false">IF($A392="","",IF(B392=0,"No COD orders",IF(B392&lt;Settings!$B$8,"Too few orders",IF(D392&gt;=Settings!$B$9,"Restrict COD or verify","Keep COD"))))</f>
        <v/>
      </c>
    </row>
    <row r="393" customFormat="false" ht="15" hidden="false" customHeight="false" outlineLevel="0" collapsed="false">
      <c r="A393" s="27"/>
      <c r="B393" s="17" t="str">
        <f aca="false">IF($A393="","",COUNTIFS(Orders!$C$2:$C$20001,$A393,Orders!$E$2:$E$20001,"COD",Orders!$F$2:$F$20001,"Delivered")+COUNTIFS(Orders!$C$2:$C$20001,$A393,Orders!$E$2:$E$20001,"COD",Orders!$F$2:$F$20001,"RTO"))</f>
        <v/>
      </c>
      <c r="C393" s="17" t="str">
        <f aca="false">IF($A393="","",COUNTIFS(Orders!$C$2:$C$20001,$A393,Orders!$E$2:$E$20001,"COD",Orders!$F$2:$F$20001,"RTO"))</f>
        <v/>
      </c>
      <c r="D393" s="18" t="str">
        <f aca="false">IF($A393="","",IFERROR(C393/B393,0))</f>
        <v/>
      </c>
      <c r="E393" s="17" t="str">
        <f aca="false">IF($A393="","",COUNTIFS(Orders!$C$2:$C$20001,$A393,Orders!$E$2:$E$20001,"Prepaid",Orders!$F$2:$F$20001,"Delivered")+COUNTIFS(Orders!$C$2:$C$20001,$A393,Orders!$E$2:$E$20001,"Prepaid",Orders!$F$2:$F$20001,"RTO"))</f>
        <v/>
      </c>
      <c r="F393" s="17" t="str">
        <f aca="false">IF($A393="","",COUNTIFS(Orders!$C$2:$C$20001,$A393,Orders!$E$2:$E$20001,"Prepaid",Orders!$F$2:$F$20001,"RTO"))</f>
        <v/>
      </c>
      <c r="G393" s="18" t="str">
        <f aca="false">IF($A393="","",IFERROR(F393/E393,0))</f>
        <v/>
      </c>
      <c r="H393" s="19" t="str">
        <f aca="false">IF($A393="","",C393*Settings!$B$11)</f>
        <v/>
      </c>
      <c r="I393" s="20" t="str">
        <f aca="false">IF($A393="","",IF(N(H393)=0,"",RANK(H393,$H$5:$H$2004)))</f>
        <v/>
      </c>
      <c r="J393" s="21" t="str">
        <f aca="false">IF($A393="","",IF(B393=0,"No COD orders",IF(B393&lt;Settings!$B$8,"Too few orders",IF(D393&gt;=Settings!$B$9,"Restrict COD or verify","Keep COD"))))</f>
        <v/>
      </c>
    </row>
    <row r="394" customFormat="false" ht="15" hidden="false" customHeight="false" outlineLevel="0" collapsed="false">
      <c r="A394" s="27"/>
      <c r="B394" s="17" t="str">
        <f aca="false">IF($A394="","",COUNTIFS(Orders!$C$2:$C$20001,$A394,Orders!$E$2:$E$20001,"COD",Orders!$F$2:$F$20001,"Delivered")+COUNTIFS(Orders!$C$2:$C$20001,$A394,Orders!$E$2:$E$20001,"COD",Orders!$F$2:$F$20001,"RTO"))</f>
        <v/>
      </c>
      <c r="C394" s="17" t="str">
        <f aca="false">IF($A394="","",COUNTIFS(Orders!$C$2:$C$20001,$A394,Orders!$E$2:$E$20001,"COD",Orders!$F$2:$F$20001,"RTO"))</f>
        <v/>
      </c>
      <c r="D394" s="18" t="str">
        <f aca="false">IF($A394="","",IFERROR(C394/B394,0))</f>
        <v/>
      </c>
      <c r="E394" s="17" t="str">
        <f aca="false">IF($A394="","",COUNTIFS(Orders!$C$2:$C$20001,$A394,Orders!$E$2:$E$20001,"Prepaid",Orders!$F$2:$F$20001,"Delivered")+COUNTIFS(Orders!$C$2:$C$20001,$A394,Orders!$E$2:$E$20001,"Prepaid",Orders!$F$2:$F$20001,"RTO"))</f>
        <v/>
      </c>
      <c r="F394" s="17" t="str">
        <f aca="false">IF($A394="","",COUNTIFS(Orders!$C$2:$C$20001,$A394,Orders!$E$2:$E$20001,"Prepaid",Orders!$F$2:$F$20001,"RTO"))</f>
        <v/>
      </c>
      <c r="G394" s="18" t="str">
        <f aca="false">IF($A394="","",IFERROR(F394/E394,0))</f>
        <v/>
      </c>
      <c r="H394" s="19" t="str">
        <f aca="false">IF($A394="","",C394*Settings!$B$11)</f>
        <v/>
      </c>
      <c r="I394" s="20" t="str">
        <f aca="false">IF($A394="","",IF(N(H394)=0,"",RANK(H394,$H$5:$H$2004)))</f>
        <v/>
      </c>
      <c r="J394" s="21" t="str">
        <f aca="false">IF($A394="","",IF(B394=0,"No COD orders",IF(B394&lt;Settings!$B$8,"Too few orders",IF(D394&gt;=Settings!$B$9,"Restrict COD or verify","Keep COD"))))</f>
        <v/>
      </c>
    </row>
    <row r="395" customFormat="false" ht="15" hidden="false" customHeight="false" outlineLevel="0" collapsed="false">
      <c r="A395" s="27"/>
      <c r="B395" s="17" t="str">
        <f aca="false">IF($A395="","",COUNTIFS(Orders!$C$2:$C$20001,$A395,Orders!$E$2:$E$20001,"COD",Orders!$F$2:$F$20001,"Delivered")+COUNTIFS(Orders!$C$2:$C$20001,$A395,Orders!$E$2:$E$20001,"COD",Orders!$F$2:$F$20001,"RTO"))</f>
        <v/>
      </c>
      <c r="C395" s="17" t="str">
        <f aca="false">IF($A395="","",COUNTIFS(Orders!$C$2:$C$20001,$A395,Orders!$E$2:$E$20001,"COD",Orders!$F$2:$F$20001,"RTO"))</f>
        <v/>
      </c>
      <c r="D395" s="18" t="str">
        <f aca="false">IF($A395="","",IFERROR(C395/B395,0))</f>
        <v/>
      </c>
      <c r="E395" s="17" t="str">
        <f aca="false">IF($A395="","",COUNTIFS(Orders!$C$2:$C$20001,$A395,Orders!$E$2:$E$20001,"Prepaid",Orders!$F$2:$F$20001,"Delivered")+COUNTIFS(Orders!$C$2:$C$20001,$A395,Orders!$E$2:$E$20001,"Prepaid",Orders!$F$2:$F$20001,"RTO"))</f>
        <v/>
      </c>
      <c r="F395" s="17" t="str">
        <f aca="false">IF($A395="","",COUNTIFS(Orders!$C$2:$C$20001,$A395,Orders!$E$2:$E$20001,"Prepaid",Orders!$F$2:$F$20001,"RTO"))</f>
        <v/>
      </c>
      <c r="G395" s="18" t="str">
        <f aca="false">IF($A395="","",IFERROR(F395/E395,0))</f>
        <v/>
      </c>
      <c r="H395" s="19" t="str">
        <f aca="false">IF($A395="","",C395*Settings!$B$11)</f>
        <v/>
      </c>
      <c r="I395" s="20" t="str">
        <f aca="false">IF($A395="","",IF(N(H395)=0,"",RANK(H395,$H$5:$H$2004)))</f>
        <v/>
      </c>
      <c r="J395" s="21" t="str">
        <f aca="false">IF($A395="","",IF(B395=0,"No COD orders",IF(B395&lt;Settings!$B$8,"Too few orders",IF(D395&gt;=Settings!$B$9,"Restrict COD or verify","Keep COD"))))</f>
        <v/>
      </c>
    </row>
    <row r="396" customFormat="false" ht="15" hidden="false" customHeight="false" outlineLevel="0" collapsed="false">
      <c r="A396" s="27"/>
      <c r="B396" s="17" t="str">
        <f aca="false">IF($A396="","",COUNTIFS(Orders!$C$2:$C$20001,$A396,Orders!$E$2:$E$20001,"COD",Orders!$F$2:$F$20001,"Delivered")+COUNTIFS(Orders!$C$2:$C$20001,$A396,Orders!$E$2:$E$20001,"COD",Orders!$F$2:$F$20001,"RTO"))</f>
        <v/>
      </c>
      <c r="C396" s="17" t="str">
        <f aca="false">IF($A396="","",COUNTIFS(Orders!$C$2:$C$20001,$A396,Orders!$E$2:$E$20001,"COD",Orders!$F$2:$F$20001,"RTO"))</f>
        <v/>
      </c>
      <c r="D396" s="18" t="str">
        <f aca="false">IF($A396="","",IFERROR(C396/B396,0))</f>
        <v/>
      </c>
      <c r="E396" s="17" t="str">
        <f aca="false">IF($A396="","",COUNTIFS(Orders!$C$2:$C$20001,$A396,Orders!$E$2:$E$20001,"Prepaid",Orders!$F$2:$F$20001,"Delivered")+COUNTIFS(Orders!$C$2:$C$20001,$A396,Orders!$E$2:$E$20001,"Prepaid",Orders!$F$2:$F$20001,"RTO"))</f>
        <v/>
      </c>
      <c r="F396" s="17" t="str">
        <f aca="false">IF($A396="","",COUNTIFS(Orders!$C$2:$C$20001,$A396,Orders!$E$2:$E$20001,"Prepaid",Orders!$F$2:$F$20001,"RTO"))</f>
        <v/>
      </c>
      <c r="G396" s="18" t="str">
        <f aca="false">IF($A396="","",IFERROR(F396/E396,0))</f>
        <v/>
      </c>
      <c r="H396" s="19" t="str">
        <f aca="false">IF($A396="","",C396*Settings!$B$11)</f>
        <v/>
      </c>
      <c r="I396" s="20" t="str">
        <f aca="false">IF($A396="","",IF(N(H396)=0,"",RANK(H396,$H$5:$H$2004)))</f>
        <v/>
      </c>
      <c r="J396" s="21" t="str">
        <f aca="false">IF($A396="","",IF(B396=0,"No COD orders",IF(B396&lt;Settings!$B$8,"Too few orders",IF(D396&gt;=Settings!$B$9,"Restrict COD or verify","Keep COD"))))</f>
        <v/>
      </c>
    </row>
    <row r="397" customFormat="false" ht="15" hidden="false" customHeight="false" outlineLevel="0" collapsed="false">
      <c r="A397" s="27"/>
      <c r="B397" s="17" t="str">
        <f aca="false">IF($A397="","",COUNTIFS(Orders!$C$2:$C$20001,$A397,Orders!$E$2:$E$20001,"COD",Orders!$F$2:$F$20001,"Delivered")+COUNTIFS(Orders!$C$2:$C$20001,$A397,Orders!$E$2:$E$20001,"COD",Orders!$F$2:$F$20001,"RTO"))</f>
        <v/>
      </c>
      <c r="C397" s="17" t="str">
        <f aca="false">IF($A397="","",COUNTIFS(Orders!$C$2:$C$20001,$A397,Orders!$E$2:$E$20001,"COD",Orders!$F$2:$F$20001,"RTO"))</f>
        <v/>
      </c>
      <c r="D397" s="18" t="str">
        <f aca="false">IF($A397="","",IFERROR(C397/B397,0))</f>
        <v/>
      </c>
      <c r="E397" s="17" t="str">
        <f aca="false">IF($A397="","",COUNTIFS(Orders!$C$2:$C$20001,$A397,Orders!$E$2:$E$20001,"Prepaid",Orders!$F$2:$F$20001,"Delivered")+COUNTIFS(Orders!$C$2:$C$20001,$A397,Orders!$E$2:$E$20001,"Prepaid",Orders!$F$2:$F$20001,"RTO"))</f>
        <v/>
      </c>
      <c r="F397" s="17" t="str">
        <f aca="false">IF($A397="","",COUNTIFS(Orders!$C$2:$C$20001,$A397,Orders!$E$2:$E$20001,"Prepaid",Orders!$F$2:$F$20001,"RTO"))</f>
        <v/>
      </c>
      <c r="G397" s="18" t="str">
        <f aca="false">IF($A397="","",IFERROR(F397/E397,0))</f>
        <v/>
      </c>
      <c r="H397" s="19" t="str">
        <f aca="false">IF($A397="","",C397*Settings!$B$11)</f>
        <v/>
      </c>
      <c r="I397" s="20" t="str">
        <f aca="false">IF($A397="","",IF(N(H397)=0,"",RANK(H397,$H$5:$H$2004)))</f>
        <v/>
      </c>
      <c r="J397" s="21" t="str">
        <f aca="false">IF($A397="","",IF(B397=0,"No COD orders",IF(B397&lt;Settings!$B$8,"Too few orders",IF(D397&gt;=Settings!$B$9,"Restrict COD or verify","Keep COD"))))</f>
        <v/>
      </c>
    </row>
    <row r="398" customFormat="false" ht="15" hidden="false" customHeight="false" outlineLevel="0" collapsed="false">
      <c r="A398" s="27"/>
      <c r="B398" s="17" t="str">
        <f aca="false">IF($A398="","",COUNTIFS(Orders!$C$2:$C$20001,$A398,Orders!$E$2:$E$20001,"COD",Orders!$F$2:$F$20001,"Delivered")+COUNTIFS(Orders!$C$2:$C$20001,$A398,Orders!$E$2:$E$20001,"COD",Orders!$F$2:$F$20001,"RTO"))</f>
        <v/>
      </c>
      <c r="C398" s="17" t="str">
        <f aca="false">IF($A398="","",COUNTIFS(Orders!$C$2:$C$20001,$A398,Orders!$E$2:$E$20001,"COD",Orders!$F$2:$F$20001,"RTO"))</f>
        <v/>
      </c>
      <c r="D398" s="18" t="str">
        <f aca="false">IF($A398="","",IFERROR(C398/B398,0))</f>
        <v/>
      </c>
      <c r="E398" s="17" t="str">
        <f aca="false">IF($A398="","",COUNTIFS(Orders!$C$2:$C$20001,$A398,Orders!$E$2:$E$20001,"Prepaid",Orders!$F$2:$F$20001,"Delivered")+COUNTIFS(Orders!$C$2:$C$20001,$A398,Orders!$E$2:$E$20001,"Prepaid",Orders!$F$2:$F$20001,"RTO"))</f>
        <v/>
      </c>
      <c r="F398" s="17" t="str">
        <f aca="false">IF($A398="","",COUNTIFS(Orders!$C$2:$C$20001,$A398,Orders!$E$2:$E$20001,"Prepaid",Orders!$F$2:$F$20001,"RTO"))</f>
        <v/>
      </c>
      <c r="G398" s="18" t="str">
        <f aca="false">IF($A398="","",IFERROR(F398/E398,0))</f>
        <v/>
      </c>
      <c r="H398" s="19" t="str">
        <f aca="false">IF($A398="","",C398*Settings!$B$11)</f>
        <v/>
      </c>
      <c r="I398" s="20" t="str">
        <f aca="false">IF($A398="","",IF(N(H398)=0,"",RANK(H398,$H$5:$H$2004)))</f>
        <v/>
      </c>
      <c r="J398" s="21" t="str">
        <f aca="false">IF($A398="","",IF(B398=0,"No COD orders",IF(B398&lt;Settings!$B$8,"Too few orders",IF(D398&gt;=Settings!$B$9,"Restrict COD or verify","Keep COD"))))</f>
        <v/>
      </c>
    </row>
    <row r="399" customFormat="false" ht="15" hidden="false" customHeight="false" outlineLevel="0" collapsed="false">
      <c r="A399" s="27"/>
      <c r="B399" s="17" t="str">
        <f aca="false">IF($A399="","",COUNTIFS(Orders!$C$2:$C$20001,$A399,Orders!$E$2:$E$20001,"COD",Orders!$F$2:$F$20001,"Delivered")+COUNTIFS(Orders!$C$2:$C$20001,$A399,Orders!$E$2:$E$20001,"COD",Orders!$F$2:$F$20001,"RTO"))</f>
        <v/>
      </c>
      <c r="C399" s="17" t="str">
        <f aca="false">IF($A399="","",COUNTIFS(Orders!$C$2:$C$20001,$A399,Orders!$E$2:$E$20001,"COD",Orders!$F$2:$F$20001,"RTO"))</f>
        <v/>
      </c>
      <c r="D399" s="18" t="str">
        <f aca="false">IF($A399="","",IFERROR(C399/B399,0))</f>
        <v/>
      </c>
      <c r="E399" s="17" t="str">
        <f aca="false">IF($A399="","",COUNTIFS(Orders!$C$2:$C$20001,$A399,Orders!$E$2:$E$20001,"Prepaid",Orders!$F$2:$F$20001,"Delivered")+COUNTIFS(Orders!$C$2:$C$20001,$A399,Orders!$E$2:$E$20001,"Prepaid",Orders!$F$2:$F$20001,"RTO"))</f>
        <v/>
      </c>
      <c r="F399" s="17" t="str">
        <f aca="false">IF($A399="","",COUNTIFS(Orders!$C$2:$C$20001,$A399,Orders!$E$2:$E$20001,"Prepaid",Orders!$F$2:$F$20001,"RTO"))</f>
        <v/>
      </c>
      <c r="G399" s="18" t="str">
        <f aca="false">IF($A399="","",IFERROR(F399/E399,0))</f>
        <v/>
      </c>
      <c r="H399" s="19" t="str">
        <f aca="false">IF($A399="","",C399*Settings!$B$11)</f>
        <v/>
      </c>
      <c r="I399" s="20" t="str">
        <f aca="false">IF($A399="","",IF(N(H399)=0,"",RANK(H399,$H$5:$H$2004)))</f>
        <v/>
      </c>
      <c r="J399" s="21" t="str">
        <f aca="false">IF($A399="","",IF(B399=0,"No COD orders",IF(B399&lt;Settings!$B$8,"Too few orders",IF(D399&gt;=Settings!$B$9,"Restrict COD or verify","Keep COD"))))</f>
        <v/>
      </c>
    </row>
    <row r="400" customFormat="false" ht="15" hidden="false" customHeight="false" outlineLevel="0" collapsed="false">
      <c r="A400" s="27"/>
      <c r="B400" s="17" t="str">
        <f aca="false">IF($A400="","",COUNTIFS(Orders!$C$2:$C$20001,$A400,Orders!$E$2:$E$20001,"COD",Orders!$F$2:$F$20001,"Delivered")+COUNTIFS(Orders!$C$2:$C$20001,$A400,Orders!$E$2:$E$20001,"COD",Orders!$F$2:$F$20001,"RTO"))</f>
        <v/>
      </c>
      <c r="C400" s="17" t="str">
        <f aca="false">IF($A400="","",COUNTIFS(Orders!$C$2:$C$20001,$A400,Orders!$E$2:$E$20001,"COD",Orders!$F$2:$F$20001,"RTO"))</f>
        <v/>
      </c>
      <c r="D400" s="18" t="str">
        <f aca="false">IF($A400="","",IFERROR(C400/B400,0))</f>
        <v/>
      </c>
      <c r="E400" s="17" t="str">
        <f aca="false">IF($A400="","",COUNTIFS(Orders!$C$2:$C$20001,$A400,Orders!$E$2:$E$20001,"Prepaid",Orders!$F$2:$F$20001,"Delivered")+COUNTIFS(Orders!$C$2:$C$20001,$A400,Orders!$E$2:$E$20001,"Prepaid",Orders!$F$2:$F$20001,"RTO"))</f>
        <v/>
      </c>
      <c r="F400" s="17" t="str">
        <f aca="false">IF($A400="","",COUNTIFS(Orders!$C$2:$C$20001,$A400,Orders!$E$2:$E$20001,"Prepaid",Orders!$F$2:$F$20001,"RTO"))</f>
        <v/>
      </c>
      <c r="G400" s="18" t="str">
        <f aca="false">IF($A400="","",IFERROR(F400/E400,0))</f>
        <v/>
      </c>
      <c r="H400" s="19" t="str">
        <f aca="false">IF($A400="","",C400*Settings!$B$11)</f>
        <v/>
      </c>
      <c r="I400" s="20" t="str">
        <f aca="false">IF($A400="","",IF(N(H400)=0,"",RANK(H400,$H$5:$H$2004)))</f>
        <v/>
      </c>
      <c r="J400" s="21" t="str">
        <f aca="false">IF($A400="","",IF(B400=0,"No COD orders",IF(B400&lt;Settings!$B$8,"Too few orders",IF(D400&gt;=Settings!$B$9,"Restrict COD or verify","Keep COD"))))</f>
        <v/>
      </c>
    </row>
    <row r="401" customFormat="false" ht="15" hidden="false" customHeight="false" outlineLevel="0" collapsed="false">
      <c r="A401" s="27"/>
      <c r="B401" s="17" t="str">
        <f aca="false">IF($A401="","",COUNTIFS(Orders!$C$2:$C$20001,$A401,Orders!$E$2:$E$20001,"COD",Orders!$F$2:$F$20001,"Delivered")+COUNTIFS(Orders!$C$2:$C$20001,$A401,Orders!$E$2:$E$20001,"COD",Orders!$F$2:$F$20001,"RTO"))</f>
        <v/>
      </c>
      <c r="C401" s="17" t="str">
        <f aca="false">IF($A401="","",COUNTIFS(Orders!$C$2:$C$20001,$A401,Orders!$E$2:$E$20001,"COD",Orders!$F$2:$F$20001,"RTO"))</f>
        <v/>
      </c>
      <c r="D401" s="18" t="str">
        <f aca="false">IF($A401="","",IFERROR(C401/B401,0))</f>
        <v/>
      </c>
      <c r="E401" s="17" t="str">
        <f aca="false">IF($A401="","",COUNTIFS(Orders!$C$2:$C$20001,$A401,Orders!$E$2:$E$20001,"Prepaid",Orders!$F$2:$F$20001,"Delivered")+COUNTIFS(Orders!$C$2:$C$20001,$A401,Orders!$E$2:$E$20001,"Prepaid",Orders!$F$2:$F$20001,"RTO"))</f>
        <v/>
      </c>
      <c r="F401" s="17" t="str">
        <f aca="false">IF($A401="","",COUNTIFS(Orders!$C$2:$C$20001,$A401,Orders!$E$2:$E$20001,"Prepaid",Orders!$F$2:$F$20001,"RTO"))</f>
        <v/>
      </c>
      <c r="G401" s="18" t="str">
        <f aca="false">IF($A401="","",IFERROR(F401/E401,0))</f>
        <v/>
      </c>
      <c r="H401" s="19" t="str">
        <f aca="false">IF($A401="","",C401*Settings!$B$11)</f>
        <v/>
      </c>
      <c r="I401" s="20" t="str">
        <f aca="false">IF($A401="","",IF(N(H401)=0,"",RANK(H401,$H$5:$H$2004)))</f>
        <v/>
      </c>
      <c r="J401" s="21" t="str">
        <f aca="false">IF($A401="","",IF(B401=0,"No COD orders",IF(B401&lt;Settings!$B$8,"Too few orders",IF(D401&gt;=Settings!$B$9,"Restrict COD or verify","Keep COD"))))</f>
        <v/>
      </c>
    </row>
    <row r="402" customFormat="false" ht="15" hidden="false" customHeight="false" outlineLevel="0" collapsed="false">
      <c r="A402" s="27"/>
      <c r="B402" s="17" t="str">
        <f aca="false">IF($A402="","",COUNTIFS(Orders!$C$2:$C$20001,$A402,Orders!$E$2:$E$20001,"COD",Orders!$F$2:$F$20001,"Delivered")+COUNTIFS(Orders!$C$2:$C$20001,$A402,Orders!$E$2:$E$20001,"COD",Orders!$F$2:$F$20001,"RTO"))</f>
        <v/>
      </c>
      <c r="C402" s="17" t="str">
        <f aca="false">IF($A402="","",COUNTIFS(Orders!$C$2:$C$20001,$A402,Orders!$E$2:$E$20001,"COD",Orders!$F$2:$F$20001,"RTO"))</f>
        <v/>
      </c>
      <c r="D402" s="18" t="str">
        <f aca="false">IF($A402="","",IFERROR(C402/B402,0))</f>
        <v/>
      </c>
      <c r="E402" s="17" t="str">
        <f aca="false">IF($A402="","",COUNTIFS(Orders!$C$2:$C$20001,$A402,Orders!$E$2:$E$20001,"Prepaid",Orders!$F$2:$F$20001,"Delivered")+COUNTIFS(Orders!$C$2:$C$20001,$A402,Orders!$E$2:$E$20001,"Prepaid",Orders!$F$2:$F$20001,"RTO"))</f>
        <v/>
      </c>
      <c r="F402" s="17" t="str">
        <f aca="false">IF($A402="","",COUNTIFS(Orders!$C$2:$C$20001,$A402,Orders!$E$2:$E$20001,"Prepaid",Orders!$F$2:$F$20001,"RTO"))</f>
        <v/>
      </c>
      <c r="G402" s="18" t="str">
        <f aca="false">IF($A402="","",IFERROR(F402/E402,0))</f>
        <v/>
      </c>
      <c r="H402" s="19" t="str">
        <f aca="false">IF($A402="","",C402*Settings!$B$11)</f>
        <v/>
      </c>
      <c r="I402" s="20" t="str">
        <f aca="false">IF($A402="","",IF(N(H402)=0,"",RANK(H402,$H$5:$H$2004)))</f>
        <v/>
      </c>
      <c r="J402" s="21" t="str">
        <f aca="false">IF($A402="","",IF(B402=0,"No COD orders",IF(B402&lt;Settings!$B$8,"Too few orders",IF(D402&gt;=Settings!$B$9,"Restrict COD or verify","Keep COD"))))</f>
        <v/>
      </c>
    </row>
    <row r="403" customFormat="false" ht="15" hidden="false" customHeight="false" outlineLevel="0" collapsed="false">
      <c r="A403" s="27"/>
      <c r="B403" s="17" t="str">
        <f aca="false">IF($A403="","",COUNTIFS(Orders!$C$2:$C$20001,$A403,Orders!$E$2:$E$20001,"COD",Orders!$F$2:$F$20001,"Delivered")+COUNTIFS(Orders!$C$2:$C$20001,$A403,Orders!$E$2:$E$20001,"COD",Orders!$F$2:$F$20001,"RTO"))</f>
        <v/>
      </c>
      <c r="C403" s="17" t="str">
        <f aca="false">IF($A403="","",COUNTIFS(Orders!$C$2:$C$20001,$A403,Orders!$E$2:$E$20001,"COD",Orders!$F$2:$F$20001,"RTO"))</f>
        <v/>
      </c>
      <c r="D403" s="18" t="str">
        <f aca="false">IF($A403="","",IFERROR(C403/B403,0))</f>
        <v/>
      </c>
      <c r="E403" s="17" t="str">
        <f aca="false">IF($A403="","",COUNTIFS(Orders!$C$2:$C$20001,$A403,Orders!$E$2:$E$20001,"Prepaid",Orders!$F$2:$F$20001,"Delivered")+COUNTIFS(Orders!$C$2:$C$20001,$A403,Orders!$E$2:$E$20001,"Prepaid",Orders!$F$2:$F$20001,"RTO"))</f>
        <v/>
      </c>
      <c r="F403" s="17" t="str">
        <f aca="false">IF($A403="","",COUNTIFS(Orders!$C$2:$C$20001,$A403,Orders!$E$2:$E$20001,"Prepaid",Orders!$F$2:$F$20001,"RTO"))</f>
        <v/>
      </c>
      <c r="G403" s="18" t="str">
        <f aca="false">IF($A403="","",IFERROR(F403/E403,0))</f>
        <v/>
      </c>
      <c r="H403" s="19" t="str">
        <f aca="false">IF($A403="","",C403*Settings!$B$11)</f>
        <v/>
      </c>
      <c r="I403" s="20" t="str">
        <f aca="false">IF($A403="","",IF(N(H403)=0,"",RANK(H403,$H$5:$H$2004)))</f>
        <v/>
      </c>
      <c r="J403" s="21" t="str">
        <f aca="false">IF($A403="","",IF(B403=0,"No COD orders",IF(B403&lt;Settings!$B$8,"Too few orders",IF(D403&gt;=Settings!$B$9,"Restrict COD or verify","Keep COD"))))</f>
        <v/>
      </c>
    </row>
    <row r="404" customFormat="false" ht="15" hidden="false" customHeight="false" outlineLevel="0" collapsed="false">
      <c r="A404" s="27"/>
      <c r="B404" s="17" t="str">
        <f aca="false">IF($A404="","",COUNTIFS(Orders!$C$2:$C$20001,$A404,Orders!$E$2:$E$20001,"COD",Orders!$F$2:$F$20001,"Delivered")+COUNTIFS(Orders!$C$2:$C$20001,$A404,Orders!$E$2:$E$20001,"COD",Orders!$F$2:$F$20001,"RTO"))</f>
        <v/>
      </c>
      <c r="C404" s="17" t="str">
        <f aca="false">IF($A404="","",COUNTIFS(Orders!$C$2:$C$20001,$A404,Orders!$E$2:$E$20001,"COD",Orders!$F$2:$F$20001,"RTO"))</f>
        <v/>
      </c>
      <c r="D404" s="18" t="str">
        <f aca="false">IF($A404="","",IFERROR(C404/B404,0))</f>
        <v/>
      </c>
      <c r="E404" s="17" t="str">
        <f aca="false">IF($A404="","",COUNTIFS(Orders!$C$2:$C$20001,$A404,Orders!$E$2:$E$20001,"Prepaid",Orders!$F$2:$F$20001,"Delivered")+COUNTIFS(Orders!$C$2:$C$20001,$A404,Orders!$E$2:$E$20001,"Prepaid",Orders!$F$2:$F$20001,"RTO"))</f>
        <v/>
      </c>
      <c r="F404" s="17" t="str">
        <f aca="false">IF($A404="","",COUNTIFS(Orders!$C$2:$C$20001,$A404,Orders!$E$2:$E$20001,"Prepaid",Orders!$F$2:$F$20001,"RTO"))</f>
        <v/>
      </c>
      <c r="G404" s="18" t="str">
        <f aca="false">IF($A404="","",IFERROR(F404/E404,0))</f>
        <v/>
      </c>
      <c r="H404" s="19" t="str">
        <f aca="false">IF($A404="","",C404*Settings!$B$11)</f>
        <v/>
      </c>
      <c r="I404" s="20" t="str">
        <f aca="false">IF($A404="","",IF(N(H404)=0,"",RANK(H404,$H$5:$H$2004)))</f>
        <v/>
      </c>
      <c r="J404" s="21" t="str">
        <f aca="false">IF($A404="","",IF(B404=0,"No COD orders",IF(B404&lt;Settings!$B$8,"Too few orders",IF(D404&gt;=Settings!$B$9,"Restrict COD or verify","Keep COD"))))</f>
        <v/>
      </c>
    </row>
    <row r="405" customFormat="false" ht="15" hidden="false" customHeight="false" outlineLevel="0" collapsed="false">
      <c r="A405" s="27"/>
      <c r="B405" s="17" t="str">
        <f aca="false">IF($A405="","",COUNTIFS(Orders!$C$2:$C$20001,$A405,Orders!$E$2:$E$20001,"COD",Orders!$F$2:$F$20001,"Delivered")+COUNTIFS(Orders!$C$2:$C$20001,$A405,Orders!$E$2:$E$20001,"COD",Orders!$F$2:$F$20001,"RTO"))</f>
        <v/>
      </c>
      <c r="C405" s="17" t="str">
        <f aca="false">IF($A405="","",COUNTIFS(Orders!$C$2:$C$20001,$A405,Orders!$E$2:$E$20001,"COD",Orders!$F$2:$F$20001,"RTO"))</f>
        <v/>
      </c>
      <c r="D405" s="18" t="str">
        <f aca="false">IF($A405="","",IFERROR(C405/B405,0))</f>
        <v/>
      </c>
      <c r="E405" s="17" t="str">
        <f aca="false">IF($A405="","",COUNTIFS(Orders!$C$2:$C$20001,$A405,Orders!$E$2:$E$20001,"Prepaid",Orders!$F$2:$F$20001,"Delivered")+COUNTIFS(Orders!$C$2:$C$20001,$A405,Orders!$E$2:$E$20001,"Prepaid",Orders!$F$2:$F$20001,"RTO"))</f>
        <v/>
      </c>
      <c r="F405" s="17" t="str">
        <f aca="false">IF($A405="","",COUNTIFS(Orders!$C$2:$C$20001,$A405,Orders!$E$2:$E$20001,"Prepaid",Orders!$F$2:$F$20001,"RTO"))</f>
        <v/>
      </c>
      <c r="G405" s="18" t="str">
        <f aca="false">IF($A405="","",IFERROR(F405/E405,0))</f>
        <v/>
      </c>
      <c r="H405" s="19" t="str">
        <f aca="false">IF($A405="","",C405*Settings!$B$11)</f>
        <v/>
      </c>
      <c r="I405" s="20" t="str">
        <f aca="false">IF($A405="","",IF(N(H405)=0,"",RANK(H405,$H$5:$H$2004)))</f>
        <v/>
      </c>
      <c r="J405" s="21" t="str">
        <f aca="false">IF($A405="","",IF(B405=0,"No COD orders",IF(B405&lt;Settings!$B$8,"Too few orders",IF(D405&gt;=Settings!$B$9,"Restrict COD or verify","Keep COD"))))</f>
        <v/>
      </c>
    </row>
    <row r="406" customFormat="false" ht="15" hidden="false" customHeight="false" outlineLevel="0" collapsed="false">
      <c r="A406" s="27"/>
      <c r="B406" s="17" t="str">
        <f aca="false">IF($A406="","",COUNTIFS(Orders!$C$2:$C$20001,$A406,Orders!$E$2:$E$20001,"COD",Orders!$F$2:$F$20001,"Delivered")+COUNTIFS(Orders!$C$2:$C$20001,$A406,Orders!$E$2:$E$20001,"COD",Orders!$F$2:$F$20001,"RTO"))</f>
        <v/>
      </c>
      <c r="C406" s="17" t="str">
        <f aca="false">IF($A406="","",COUNTIFS(Orders!$C$2:$C$20001,$A406,Orders!$E$2:$E$20001,"COD",Orders!$F$2:$F$20001,"RTO"))</f>
        <v/>
      </c>
      <c r="D406" s="18" t="str">
        <f aca="false">IF($A406="","",IFERROR(C406/B406,0))</f>
        <v/>
      </c>
      <c r="E406" s="17" t="str">
        <f aca="false">IF($A406="","",COUNTIFS(Orders!$C$2:$C$20001,$A406,Orders!$E$2:$E$20001,"Prepaid",Orders!$F$2:$F$20001,"Delivered")+COUNTIFS(Orders!$C$2:$C$20001,$A406,Orders!$E$2:$E$20001,"Prepaid",Orders!$F$2:$F$20001,"RTO"))</f>
        <v/>
      </c>
      <c r="F406" s="17" t="str">
        <f aca="false">IF($A406="","",COUNTIFS(Orders!$C$2:$C$20001,$A406,Orders!$E$2:$E$20001,"Prepaid",Orders!$F$2:$F$20001,"RTO"))</f>
        <v/>
      </c>
      <c r="G406" s="18" t="str">
        <f aca="false">IF($A406="","",IFERROR(F406/E406,0))</f>
        <v/>
      </c>
      <c r="H406" s="19" t="str">
        <f aca="false">IF($A406="","",C406*Settings!$B$11)</f>
        <v/>
      </c>
      <c r="I406" s="20" t="str">
        <f aca="false">IF($A406="","",IF(N(H406)=0,"",RANK(H406,$H$5:$H$2004)))</f>
        <v/>
      </c>
      <c r="J406" s="21" t="str">
        <f aca="false">IF($A406="","",IF(B406=0,"No COD orders",IF(B406&lt;Settings!$B$8,"Too few orders",IF(D406&gt;=Settings!$B$9,"Restrict COD or verify","Keep COD"))))</f>
        <v/>
      </c>
    </row>
    <row r="407" customFormat="false" ht="15" hidden="false" customHeight="false" outlineLevel="0" collapsed="false">
      <c r="A407" s="27"/>
      <c r="B407" s="17" t="str">
        <f aca="false">IF($A407="","",COUNTIFS(Orders!$C$2:$C$20001,$A407,Orders!$E$2:$E$20001,"COD",Orders!$F$2:$F$20001,"Delivered")+COUNTIFS(Orders!$C$2:$C$20001,$A407,Orders!$E$2:$E$20001,"COD",Orders!$F$2:$F$20001,"RTO"))</f>
        <v/>
      </c>
      <c r="C407" s="17" t="str">
        <f aca="false">IF($A407="","",COUNTIFS(Orders!$C$2:$C$20001,$A407,Orders!$E$2:$E$20001,"COD",Orders!$F$2:$F$20001,"RTO"))</f>
        <v/>
      </c>
      <c r="D407" s="18" t="str">
        <f aca="false">IF($A407="","",IFERROR(C407/B407,0))</f>
        <v/>
      </c>
      <c r="E407" s="17" t="str">
        <f aca="false">IF($A407="","",COUNTIFS(Orders!$C$2:$C$20001,$A407,Orders!$E$2:$E$20001,"Prepaid",Orders!$F$2:$F$20001,"Delivered")+COUNTIFS(Orders!$C$2:$C$20001,$A407,Orders!$E$2:$E$20001,"Prepaid",Orders!$F$2:$F$20001,"RTO"))</f>
        <v/>
      </c>
      <c r="F407" s="17" t="str">
        <f aca="false">IF($A407="","",COUNTIFS(Orders!$C$2:$C$20001,$A407,Orders!$E$2:$E$20001,"Prepaid",Orders!$F$2:$F$20001,"RTO"))</f>
        <v/>
      </c>
      <c r="G407" s="18" t="str">
        <f aca="false">IF($A407="","",IFERROR(F407/E407,0))</f>
        <v/>
      </c>
      <c r="H407" s="19" t="str">
        <f aca="false">IF($A407="","",C407*Settings!$B$11)</f>
        <v/>
      </c>
      <c r="I407" s="20" t="str">
        <f aca="false">IF($A407="","",IF(N(H407)=0,"",RANK(H407,$H$5:$H$2004)))</f>
        <v/>
      </c>
      <c r="J407" s="21" t="str">
        <f aca="false">IF($A407="","",IF(B407=0,"No COD orders",IF(B407&lt;Settings!$B$8,"Too few orders",IF(D407&gt;=Settings!$B$9,"Restrict COD or verify","Keep COD"))))</f>
        <v/>
      </c>
    </row>
    <row r="408" customFormat="false" ht="15" hidden="false" customHeight="false" outlineLevel="0" collapsed="false">
      <c r="A408" s="27"/>
      <c r="B408" s="17" t="str">
        <f aca="false">IF($A408="","",COUNTIFS(Orders!$C$2:$C$20001,$A408,Orders!$E$2:$E$20001,"COD",Orders!$F$2:$F$20001,"Delivered")+COUNTIFS(Orders!$C$2:$C$20001,$A408,Orders!$E$2:$E$20001,"COD",Orders!$F$2:$F$20001,"RTO"))</f>
        <v/>
      </c>
      <c r="C408" s="17" t="str">
        <f aca="false">IF($A408="","",COUNTIFS(Orders!$C$2:$C$20001,$A408,Orders!$E$2:$E$20001,"COD",Orders!$F$2:$F$20001,"RTO"))</f>
        <v/>
      </c>
      <c r="D408" s="18" t="str">
        <f aca="false">IF($A408="","",IFERROR(C408/B408,0))</f>
        <v/>
      </c>
      <c r="E408" s="17" t="str">
        <f aca="false">IF($A408="","",COUNTIFS(Orders!$C$2:$C$20001,$A408,Orders!$E$2:$E$20001,"Prepaid",Orders!$F$2:$F$20001,"Delivered")+COUNTIFS(Orders!$C$2:$C$20001,$A408,Orders!$E$2:$E$20001,"Prepaid",Orders!$F$2:$F$20001,"RTO"))</f>
        <v/>
      </c>
      <c r="F408" s="17" t="str">
        <f aca="false">IF($A408="","",COUNTIFS(Orders!$C$2:$C$20001,$A408,Orders!$E$2:$E$20001,"Prepaid",Orders!$F$2:$F$20001,"RTO"))</f>
        <v/>
      </c>
      <c r="G408" s="18" t="str">
        <f aca="false">IF($A408="","",IFERROR(F408/E408,0))</f>
        <v/>
      </c>
      <c r="H408" s="19" t="str">
        <f aca="false">IF($A408="","",C408*Settings!$B$11)</f>
        <v/>
      </c>
      <c r="I408" s="20" t="str">
        <f aca="false">IF($A408="","",IF(N(H408)=0,"",RANK(H408,$H$5:$H$2004)))</f>
        <v/>
      </c>
      <c r="J408" s="21" t="str">
        <f aca="false">IF($A408="","",IF(B408=0,"No COD orders",IF(B408&lt;Settings!$B$8,"Too few orders",IF(D408&gt;=Settings!$B$9,"Restrict COD or verify","Keep COD"))))</f>
        <v/>
      </c>
    </row>
    <row r="409" customFormat="false" ht="15" hidden="false" customHeight="false" outlineLevel="0" collapsed="false">
      <c r="A409" s="27"/>
      <c r="B409" s="17" t="str">
        <f aca="false">IF($A409="","",COUNTIFS(Orders!$C$2:$C$20001,$A409,Orders!$E$2:$E$20001,"COD",Orders!$F$2:$F$20001,"Delivered")+COUNTIFS(Orders!$C$2:$C$20001,$A409,Orders!$E$2:$E$20001,"COD",Orders!$F$2:$F$20001,"RTO"))</f>
        <v/>
      </c>
      <c r="C409" s="17" t="str">
        <f aca="false">IF($A409="","",COUNTIFS(Orders!$C$2:$C$20001,$A409,Orders!$E$2:$E$20001,"COD",Orders!$F$2:$F$20001,"RTO"))</f>
        <v/>
      </c>
      <c r="D409" s="18" t="str">
        <f aca="false">IF($A409="","",IFERROR(C409/B409,0))</f>
        <v/>
      </c>
      <c r="E409" s="17" t="str">
        <f aca="false">IF($A409="","",COUNTIFS(Orders!$C$2:$C$20001,$A409,Orders!$E$2:$E$20001,"Prepaid",Orders!$F$2:$F$20001,"Delivered")+COUNTIFS(Orders!$C$2:$C$20001,$A409,Orders!$E$2:$E$20001,"Prepaid",Orders!$F$2:$F$20001,"RTO"))</f>
        <v/>
      </c>
      <c r="F409" s="17" t="str">
        <f aca="false">IF($A409="","",COUNTIFS(Orders!$C$2:$C$20001,$A409,Orders!$E$2:$E$20001,"Prepaid",Orders!$F$2:$F$20001,"RTO"))</f>
        <v/>
      </c>
      <c r="G409" s="18" t="str">
        <f aca="false">IF($A409="","",IFERROR(F409/E409,0))</f>
        <v/>
      </c>
      <c r="H409" s="19" t="str">
        <f aca="false">IF($A409="","",C409*Settings!$B$11)</f>
        <v/>
      </c>
      <c r="I409" s="20" t="str">
        <f aca="false">IF($A409="","",IF(N(H409)=0,"",RANK(H409,$H$5:$H$2004)))</f>
        <v/>
      </c>
      <c r="J409" s="21" t="str">
        <f aca="false">IF($A409="","",IF(B409=0,"No COD orders",IF(B409&lt;Settings!$B$8,"Too few orders",IF(D409&gt;=Settings!$B$9,"Restrict COD or verify","Keep COD"))))</f>
        <v/>
      </c>
    </row>
    <row r="410" customFormat="false" ht="15" hidden="false" customHeight="false" outlineLevel="0" collapsed="false">
      <c r="A410" s="27"/>
      <c r="B410" s="17" t="str">
        <f aca="false">IF($A410="","",COUNTIFS(Orders!$C$2:$C$20001,$A410,Orders!$E$2:$E$20001,"COD",Orders!$F$2:$F$20001,"Delivered")+COUNTIFS(Orders!$C$2:$C$20001,$A410,Orders!$E$2:$E$20001,"COD",Orders!$F$2:$F$20001,"RTO"))</f>
        <v/>
      </c>
      <c r="C410" s="17" t="str">
        <f aca="false">IF($A410="","",COUNTIFS(Orders!$C$2:$C$20001,$A410,Orders!$E$2:$E$20001,"COD",Orders!$F$2:$F$20001,"RTO"))</f>
        <v/>
      </c>
      <c r="D410" s="18" t="str">
        <f aca="false">IF($A410="","",IFERROR(C410/B410,0))</f>
        <v/>
      </c>
      <c r="E410" s="17" t="str">
        <f aca="false">IF($A410="","",COUNTIFS(Orders!$C$2:$C$20001,$A410,Orders!$E$2:$E$20001,"Prepaid",Orders!$F$2:$F$20001,"Delivered")+COUNTIFS(Orders!$C$2:$C$20001,$A410,Orders!$E$2:$E$20001,"Prepaid",Orders!$F$2:$F$20001,"RTO"))</f>
        <v/>
      </c>
      <c r="F410" s="17" t="str">
        <f aca="false">IF($A410="","",COUNTIFS(Orders!$C$2:$C$20001,$A410,Orders!$E$2:$E$20001,"Prepaid",Orders!$F$2:$F$20001,"RTO"))</f>
        <v/>
      </c>
      <c r="G410" s="18" t="str">
        <f aca="false">IF($A410="","",IFERROR(F410/E410,0))</f>
        <v/>
      </c>
      <c r="H410" s="19" t="str">
        <f aca="false">IF($A410="","",C410*Settings!$B$11)</f>
        <v/>
      </c>
      <c r="I410" s="20" t="str">
        <f aca="false">IF($A410="","",IF(N(H410)=0,"",RANK(H410,$H$5:$H$2004)))</f>
        <v/>
      </c>
      <c r="J410" s="21" t="str">
        <f aca="false">IF($A410="","",IF(B410=0,"No COD orders",IF(B410&lt;Settings!$B$8,"Too few orders",IF(D410&gt;=Settings!$B$9,"Restrict COD or verify","Keep COD"))))</f>
        <v/>
      </c>
    </row>
    <row r="411" customFormat="false" ht="15" hidden="false" customHeight="false" outlineLevel="0" collapsed="false">
      <c r="A411" s="27"/>
      <c r="B411" s="17" t="str">
        <f aca="false">IF($A411="","",COUNTIFS(Orders!$C$2:$C$20001,$A411,Orders!$E$2:$E$20001,"COD",Orders!$F$2:$F$20001,"Delivered")+COUNTIFS(Orders!$C$2:$C$20001,$A411,Orders!$E$2:$E$20001,"COD",Orders!$F$2:$F$20001,"RTO"))</f>
        <v/>
      </c>
      <c r="C411" s="17" t="str">
        <f aca="false">IF($A411="","",COUNTIFS(Orders!$C$2:$C$20001,$A411,Orders!$E$2:$E$20001,"COD",Orders!$F$2:$F$20001,"RTO"))</f>
        <v/>
      </c>
      <c r="D411" s="18" t="str">
        <f aca="false">IF($A411="","",IFERROR(C411/B411,0))</f>
        <v/>
      </c>
      <c r="E411" s="17" t="str">
        <f aca="false">IF($A411="","",COUNTIFS(Orders!$C$2:$C$20001,$A411,Orders!$E$2:$E$20001,"Prepaid",Orders!$F$2:$F$20001,"Delivered")+COUNTIFS(Orders!$C$2:$C$20001,$A411,Orders!$E$2:$E$20001,"Prepaid",Orders!$F$2:$F$20001,"RTO"))</f>
        <v/>
      </c>
      <c r="F411" s="17" t="str">
        <f aca="false">IF($A411="","",COUNTIFS(Orders!$C$2:$C$20001,$A411,Orders!$E$2:$E$20001,"Prepaid",Orders!$F$2:$F$20001,"RTO"))</f>
        <v/>
      </c>
      <c r="G411" s="18" t="str">
        <f aca="false">IF($A411="","",IFERROR(F411/E411,0))</f>
        <v/>
      </c>
      <c r="H411" s="19" t="str">
        <f aca="false">IF($A411="","",C411*Settings!$B$11)</f>
        <v/>
      </c>
      <c r="I411" s="20" t="str">
        <f aca="false">IF($A411="","",IF(N(H411)=0,"",RANK(H411,$H$5:$H$2004)))</f>
        <v/>
      </c>
      <c r="J411" s="21" t="str">
        <f aca="false">IF($A411="","",IF(B411=0,"No COD orders",IF(B411&lt;Settings!$B$8,"Too few orders",IF(D411&gt;=Settings!$B$9,"Restrict COD or verify","Keep COD"))))</f>
        <v/>
      </c>
    </row>
    <row r="412" customFormat="false" ht="15" hidden="false" customHeight="false" outlineLevel="0" collapsed="false">
      <c r="A412" s="27"/>
      <c r="B412" s="17" t="str">
        <f aca="false">IF($A412="","",COUNTIFS(Orders!$C$2:$C$20001,$A412,Orders!$E$2:$E$20001,"COD",Orders!$F$2:$F$20001,"Delivered")+COUNTIFS(Orders!$C$2:$C$20001,$A412,Orders!$E$2:$E$20001,"COD",Orders!$F$2:$F$20001,"RTO"))</f>
        <v/>
      </c>
      <c r="C412" s="17" t="str">
        <f aca="false">IF($A412="","",COUNTIFS(Orders!$C$2:$C$20001,$A412,Orders!$E$2:$E$20001,"COD",Orders!$F$2:$F$20001,"RTO"))</f>
        <v/>
      </c>
      <c r="D412" s="18" t="str">
        <f aca="false">IF($A412="","",IFERROR(C412/B412,0))</f>
        <v/>
      </c>
      <c r="E412" s="17" t="str">
        <f aca="false">IF($A412="","",COUNTIFS(Orders!$C$2:$C$20001,$A412,Orders!$E$2:$E$20001,"Prepaid",Orders!$F$2:$F$20001,"Delivered")+COUNTIFS(Orders!$C$2:$C$20001,$A412,Orders!$E$2:$E$20001,"Prepaid",Orders!$F$2:$F$20001,"RTO"))</f>
        <v/>
      </c>
      <c r="F412" s="17" t="str">
        <f aca="false">IF($A412="","",COUNTIFS(Orders!$C$2:$C$20001,$A412,Orders!$E$2:$E$20001,"Prepaid",Orders!$F$2:$F$20001,"RTO"))</f>
        <v/>
      </c>
      <c r="G412" s="18" t="str">
        <f aca="false">IF($A412="","",IFERROR(F412/E412,0))</f>
        <v/>
      </c>
      <c r="H412" s="19" t="str">
        <f aca="false">IF($A412="","",C412*Settings!$B$11)</f>
        <v/>
      </c>
      <c r="I412" s="20" t="str">
        <f aca="false">IF($A412="","",IF(N(H412)=0,"",RANK(H412,$H$5:$H$2004)))</f>
        <v/>
      </c>
      <c r="J412" s="21" t="str">
        <f aca="false">IF($A412="","",IF(B412=0,"No COD orders",IF(B412&lt;Settings!$B$8,"Too few orders",IF(D412&gt;=Settings!$B$9,"Restrict COD or verify","Keep COD"))))</f>
        <v/>
      </c>
    </row>
    <row r="413" customFormat="false" ht="15" hidden="false" customHeight="false" outlineLevel="0" collapsed="false">
      <c r="A413" s="27"/>
      <c r="B413" s="17" t="str">
        <f aca="false">IF($A413="","",COUNTIFS(Orders!$C$2:$C$20001,$A413,Orders!$E$2:$E$20001,"COD",Orders!$F$2:$F$20001,"Delivered")+COUNTIFS(Orders!$C$2:$C$20001,$A413,Orders!$E$2:$E$20001,"COD",Orders!$F$2:$F$20001,"RTO"))</f>
        <v/>
      </c>
      <c r="C413" s="17" t="str">
        <f aca="false">IF($A413="","",COUNTIFS(Orders!$C$2:$C$20001,$A413,Orders!$E$2:$E$20001,"COD",Orders!$F$2:$F$20001,"RTO"))</f>
        <v/>
      </c>
      <c r="D413" s="18" t="str">
        <f aca="false">IF($A413="","",IFERROR(C413/B413,0))</f>
        <v/>
      </c>
      <c r="E413" s="17" t="str">
        <f aca="false">IF($A413="","",COUNTIFS(Orders!$C$2:$C$20001,$A413,Orders!$E$2:$E$20001,"Prepaid",Orders!$F$2:$F$20001,"Delivered")+COUNTIFS(Orders!$C$2:$C$20001,$A413,Orders!$E$2:$E$20001,"Prepaid",Orders!$F$2:$F$20001,"RTO"))</f>
        <v/>
      </c>
      <c r="F413" s="17" t="str">
        <f aca="false">IF($A413="","",COUNTIFS(Orders!$C$2:$C$20001,$A413,Orders!$E$2:$E$20001,"Prepaid",Orders!$F$2:$F$20001,"RTO"))</f>
        <v/>
      </c>
      <c r="G413" s="18" t="str">
        <f aca="false">IF($A413="","",IFERROR(F413/E413,0))</f>
        <v/>
      </c>
      <c r="H413" s="19" t="str">
        <f aca="false">IF($A413="","",C413*Settings!$B$11)</f>
        <v/>
      </c>
      <c r="I413" s="20" t="str">
        <f aca="false">IF($A413="","",IF(N(H413)=0,"",RANK(H413,$H$5:$H$2004)))</f>
        <v/>
      </c>
      <c r="J413" s="21" t="str">
        <f aca="false">IF($A413="","",IF(B413=0,"No COD orders",IF(B413&lt;Settings!$B$8,"Too few orders",IF(D413&gt;=Settings!$B$9,"Restrict COD or verify","Keep COD"))))</f>
        <v/>
      </c>
    </row>
    <row r="414" customFormat="false" ht="15" hidden="false" customHeight="false" outlineLevel="0" collapsed="false">
      <c r="A414" s="27"/>
      <c r="B414" s="17" t="str">
        <f aca="false">IF($A414="","",COUNTIFS(Orders!$C$2:$C$20001,$A414,Orders!$E$2:$E$20001,"COD",Orders!$F$2:$F$20001,"Delivered")+COUNTIFS(Orders!$C$2:$C$20001,$A414,Orders!$E$2:$E$20001,"COD",Orders!$F$2:$F$20001,"RTO"))</f>
        <v/>
      </c>
      <c r="C414" s="17" t="str">
        <f aca="false">IF($A414="","",COUNTIFS(Orders!$C$2:$C$20001,$A414,Orders!$E$2:$E$20001,"COD",Orders!$F$2:$F$20001,"RTO"))</f>
        <v/>
      </c>
      <c r="D414" s="18" t="str">
        <f aca="false">IF($A414="","",IFERROR(C414/B414,0))</f>
        <v/>
      </c>
      <c r="E414" s="17" t="str">
        <f aca="false">IF($A414="","",COUNTIFS(Orders!$C$2:$C$20001,$A414,Orders!$E$2:$E$20001,"Prepaid",Orders!$F$2:$F$20001,"Delivered")+COUNTIFS(Orders!$C$2:$C$20001,$A414,Orders!$E$2:$E$20001,"Prepaid",Orders!$F$2:$F$20001,"RTO"))</f>
        <v/>
      </c>
      <c r="F414" s="17" t="str">
        <f aca="false">IF($A414="","",COUNTIFS(Orders!$C$2:$C$20001,$A414,Orders!$E$2:$E$20001,"Prepaid",Orders!$F$2:$F$20001,"RTO"))</f>
        <v/>
      </c>
      <c r="G414" s="18" t="str">
        <f aca="false">IF($A414="","",IFERROR(F414/E414,0))</f>
        <v/>
      </c>
      <c r="H414" s="19" t="str">
        <f aca="false">IF($A414="","",C414*Settings!$B$11)</f>
        <v/>
      </c>
      <c r="I414" s="20" t="str">
        <f aca="false">IF($A414="","",IF(N(H414)=0,"",RANK(H414,$H$5:$H$2004)))</f>
        <v/>
      </c>
      <c r="J414" s="21" t="str">
        <f aca="false">IF($A414="","",IF(B414=0,"No COD orders",IF(B414&lt;Settings!$B$8,"Too few orders",IF(D414&gt;=Settings!$B$9,"Restrict COD or verify","Keep COD"))))</f>
        <v/>
      </c>
    </row>
    <row r="415" customFormat="false" ht="15" hidden="false" customHeight="false" outlineLevel="0" collapsed="false">
      <c r="A415" s="27"/>
      <c r="B415" s="17" t="str">
        <f aca="false">IF($A415="","",COUNTIFS(Orders!$C$2:$C$20001,$A415,Orders!$E$2:$E$20001,"COD",Orders!$F$2:$F$20001,"Delivered")+COUNTIFS(Orders!$C$2:$C$20001,$A415,Orders!$E$2:$E$20001,"COD",Orders!$F$2:$F$20001,"RTO"))</f>
        <v/>
      </c>
      <c r="C415" s="17" t="str">
        <f aca="false">IF($A415="","",COUNTIFS(Orders!$C$2:$C$20001,$A415,Orders!$E$2:$E$20001,"COD",Orders!$F$2:$F$20001,"RTO"))</f>
        <v/>
      </c>
      <c r="D415" s="18" t="str">
        <f aca="false">IF($A415="","",IFERROR(C415/B415,0))</f>
        <v/>
      </c>
      <c r="E415" s="17" t="str">
        <f aca="false">IF($A415="","",COUNTIFS(Orders!$C$2:$C$20001,$A415,Orders!$E$2:$E$20001,"Prepaid",Orders!$F$2:$F$20001,"Delivered")+COUNTIFS(Orders!$C$2:$C$20001,$A415,Orders!$E$2:$E$20001,"Prepaid",Orders!$F$2:$F$20001,"RTO"))</f>
        <v/>
      </c>
      <c r="F415" s="17" t="str">
        <f aca="false">IF($A415="","",COUNTIFS(Orders!$C$2:$C$20001,$A415,Orders!$E$2:$E$20001,"Prepaid",Orders!$F$2:$F$20001,"RTO"))</f>
        <v/>
      </c>
      <c r="G415" s="18" t="str">
        <f aca="false">IF($A415="","",IFERROR(F415/E415,0))</f>
        <v/>
      </c>
      <c r="H415" s="19" t="str">
        <f aca="false">IF($A415="","",C415*Settings!$B$11)</f>
        <v/>
      </c>
      <c r="I415" s="20" t="str">
        <f aca="false">IF($A415="","",IF(N(H415)=0,"",RANK(H415,$H$5:$H$2004)))</f>
        <v/>
      </c>
      <c r="J415" s="21" t="str">
        <f aca="false">IF($A415="","",IF(B415=0,"No COD orders",IF(B415&lt;Settings!$B$8,"Too few orders",IF(D415&gt;=Settings!$B$9,"Restrict COD or verify","Keep COD"))))</f>
        <v/>
      </c>
    </row>
    <row r="416" customFormat="false" ht="15" hidden="false" customHeight="false" outlineLevel="0" collapsed="false">
      <c r="A416" s="27"/>
      <c r="B416" s="17" t="str">
        <f aca="false">IF($A416="","",COUNTIFS(Orders!$C$2:$C$20001,$A416,Orders!$E$2:$E$20001,"COD",Orders!$F$2:$F$20001,"Delivered")+COUNTIFS(Orders!$C$2:$C$20001,$A416,Orders!$E$2:$E$20001,"COD",Orders!$F$2:$F$20001,"RTO"))</f>
        <v/>
      </c>
      <c r="C416" s="17" t="str">
        <f aca="false">IF($A416="","",COUNTIFS(Orders!$C$2:$C$20001,$A416,Orders!$E$2:$E$20001,"COD",Orders!$F$2:$F$20001,"RTO"))</f>
        <v/>
      </c>
      <c r="D416" s="18" t="str">
        <f aca="false">IF($A416="","",IFERROR(C416/B416,0))</f>
        <v/>
      </c>
      <c r="E416" s="17" t="str">
        <f aca="false">IF($A416="","",COUNTIFS(Orders!$C$2:$C$20001,$A416,Orders!$E$2:$E$20001,"Prepaid",Orders!$F$2:$F$20001,"Delivered")+COUNTIFS(Orders!$C$2:$C$20001,$A416,Orders!$E$2:$E$20001,"Prepaid",Orders!$F$2:$F$20001,"RTO"))</f>
        <v/>
      </c>
      <c r="F416" s="17" t="str">
        <f aca="false">IF($A416="","",COUNTIFS(Orders!$C$2:$C$20001,$A416,Orders!$E$2:$E$20001,"Prepaid",Orders!$F$2:$F$20001,"RTO"))</f>
        <v/>
      </c>
      <c r="G416" s="18" t="str">
        <f aca="false">IF($A416="","",IFERROR(F416/E416,0))</f>
        <v/>
      </c>
      <c r="H416" s="19" t="str">
        <f aca="false">IF($A416="","",C416*Settings!$B$11)</f>
        <v/>
      </c>
      <c r="I416" s="20" t="str">
        <f aca="false">IF($A416="","",IF(N(H416)=0,"",RANK(H416,$H$5:$H$2004)))</f>
        <v/>
      </c>
      <c r="J416" s="21" t="str">
        <f aca="false">IF($A416="","",IF(B416=0,"No COD orders",IF(B416&lt;Settings!$B$8,"Too few orders",IF(D416&gt;=Settings!$B$9,"Restrict COD or verify","Keep COD"))))</f>
        <v/>
      </c>
    </row>
    <row r="417" customFormat="false" ht="15" hidden="false" customHeight="false" outlineLevel="0" collapsed="false">
      <c r="A417" s="27"/>
      <c r="B417" s="17" t="str">
        <f aca="false">IF($A417="","",COUNTIFS(Orders!$C$2:$C$20001,$A417,Orders!$E$2:$E$20001,"COD",Orders!$F$2:$F$20001,"Delivered")+COUNTIFS(Orders!$C$2:$C$20001,$A417,Orders!$E$2:$E$20001,"COD",Orders!$F$2:$F$20001,"RTO"))</f>
        <v/>
      </c>
      <c r="C417" s="17" t="str">
        <f aca="false">IF($A417="","",COUNTIFS(Orders!$C$2:$C$20001,$A417,Orders!$E$2:$E$20001,"COD",Orders!$F$2:$F$20001,"RTO"))</f>
        <v/>
      </c>
      <c r="D417" s="18" t="str">
        <f aca="false">IF($A417="","",IFERROR(C417/B417,0))</f>
        <v/>
      </c>
      <c r="E417" s="17" t="str">
        <f aca="false">IF($A417="","",COUNTIFS(Orders!$C$2:$C$20001,$A417,Orders!$E$2:$E$20001,"Prepaid",Orders!$F$2:$F$20001,"Delivered")+COUNTIFS(Orders!$C$2:$C$20001,$A417,Orders!$E$2:$E$20001,"Prepaid",Orders!$F$2:$F$20001,"RTO"))</f>
        <v/>
      </c>
      <c r="F417" s="17" t="str">
        <f aca="false">IF($A417="","",COUNTIFS(Orders!$C$2:$C$20001,$A417,Orders!$E$2:$E$20001,"Prepaid",Orders!$F$2:$F$20001,"RTO"))</f>
        <v/>
      </c>
      <c r="G417" s="18" t="str">
        <f aca="false">IF($A417="","",IFERROR(F417/E417,0))</f>
        <v/>
      </c>
      <c r="H417" s="19" t="str">
        <f aca="false">IF($A417="","",C417*Settings!$B$11)</f>
        <v/>
      </c>
      <c r="I417" s="20" t="str">
        <f aca="false">IF($A417="","",IF(N(H417)=0,"",RANK(H417,$H$5:$H$2004)))</f>
        <v/>
      </c>
      <c r="J417" s="21" t="str">
        <f aca="false">IF($A417="","",IF(B417=0,"No COD orders",IF(B417&lt;Settings!$B$8,"Too few orders",IF(D417&gt;=Settings!$B$9,"Restrict COD or verify","Keep COD"))))</f>
        <v/>
      </c>
    </row>
    <row r="418" customFormat="false" ht="15" hidden="false" customHeight="false" outlineLevel="0" collapsed="false">
      <c r="A418" s="27"/>
      <c r="B418" s="17" t="str">
        <f aca="false">IF($A418="","",COUNTIFS(Orders!$C$2:$C$20001,$A418,Orders!$E$2:$E$20001,"COD",Orders!$F$2:$F$20001,"Delivered")+COUNTIFS(Orders!$C$2:$C$20001,$A418,Orders!$E$2:$E$20001,"COD",Orders!$F$2:$F$20001,"RTO"))</f>
        <v/>
      </c>
      <c r="C418" s="17" t="str">
        <f aca="false">IF($A418="","",COUNTIFS(Orders!$C$2:$C$20001,$A418,Orders!$E$2:$E$20001,"COD",Orders!$F$2:$F$20001,"RTO"))</f>
        <v/>
      </c>
      <c r="D418" s="18" t="str">
        <f aca="false">IF($A418="","",IFERROR(C418/B418,0))</f>
        <v/>
      </c>
      <c r="E418" s="17" t="str">
        <f aca="false">IF($A418="","",COUNTIFS(Orders!$C$2:$C$20001,$A418,Orders!$E$2:$E$20001,"Prepaid",Orders!$F$2:$F$20001,"Delivered")+COUNTIFS(Orders!$C$2:$C$20001,$A418,Orders!$E$2:$E$20001,"Prepaid",Orders!$F$2:$F$20001,"RTO"))</f>
        <v/>
      </c>
      <c r="F418" s="17" t="str">
        <f aca="false">IF($A418="","",COUNTIFS(Orders!$C$2:$C$20001,$A418,Orders!$E$2:$E$20001,"Prepaid",Orders!$F$2:$F$20001,"RTO"))</f>
        <v/>
      </c>
      <c r="G418" s="18" t="str">
        <f aca="false">IF($A418="","",IFERROR(F418/E418,0))</f>
        <v/>
      </c>
      <c r="H418" s="19" t="str">
        <f aca="false">IF($A418="","",C418*Settings!$B$11)</f>
        <v/>
      </c>
      <c r="I418" s="20" t="str">
        <f aca="false">IF($A418="","",IF(N(H418)=0,"",RANK(H418,$H$5:$H$2004)))</f>
        <v/>
      </c>
      <c r="J418" s="21" t="str">
        <f aca="false">IF($A418="","",IF(B418=0,"No COD orders",IF(B418&lt;Settings!$B$8,"Too few orders",IF(D418&gt;=Settings!$B$9,"Restrict COD or verify","Keep COD"))))</f>
        <v/>
      </c>
    </row>
    <row r="419" customFormat="false" ht="15" hidden="false" customHeight="false" outlineLevel="0" collapsed="false">
      <c r="A419" s="27"/>
      <c r="B419" s="17" t="str">
        <f aca="false">IF($A419="","",COUNTIFS(Orders!$C$2:$C$20001,$A419,Orders!$E$2:$E$20001,"COD",Orders!$F$2:$F$20001,"Delivered")+COUNTIFS(Orders!$C$2:$C$20001,$A419,Orders!$E$2:$E$20001,"COD",Orders!$F$2:$F$20001,"RTO"))</f>
        <v/>
      </c>
      <c r="C419" s="17" t="str">
        <f aca="false">IF($A419="","",COUNTIFS(Orders!$C$2:$C$20001,$A419,Orders!$E$2:$E$20001,"COD",Orders!$F$2:$F$20001,"RTO"))</f>
        <v/>
      </c>
      <c r="D419" s="18" t="str">
        <f aca="false">IF($A419="","",IFERROR(C419/B419,0))</f>
        <v/>
      </c>
      <c r="E419" s="17" t="str">
        <f aca="false">IF($A419="","",COUNTIFS(Orders!$C$2:$C$20001,$A419,Orders!$E$2:$E$20001,"Prepaid",Orders!$F$2:$F$20001,"Delivered")+COUNTIFS(Orders!$C$2:$C$20001,$A419,Orders!$E$2:$E$20001,"Prepaid",Orders!$F$2:$F$20001,"RTO"))</f>
        <v/>
      </c>
      <c r="F419" s="17" t="str">
        <f aca="false">IF($A419="","",COUNTIFS(Orders!$C$2:$C$20001,$A419,Orders!$E$2:$E$20001,"Prepaid",Orders!$F$2:$F$20001,"RTO"))</f>
        <v/>
      </c>
      <c r="G419" s="18" t="str">
        <f aca="false">IF($A419="","",IFERROR(F419/E419,0))</f>
        <v/>
      </c>
      <c r="H419" s="19" t="str">
        <f aca="false">IF($A419="","",C419*Settings!$B$11)</f>
        <v/>
      </c>
      <c r="I419" s="20" t="str">
        <f aca="false">IF($A419="","",IF(N(H419)=0,"",RANK(H419,$H$5:$H$2004)))</f>
        <v/>
      </c>
      <c r="J419" s="21" t="str">
        <f aca="false">IF($A419="","",IF(B419=0,"No COD orders",IF(B419&lt;Settings!$B$8,"Too few orders",IF(D419&gt;=Settings!$B$9,"Restrict COD or verify","Keep COD"))))</f>
        <v/>
      </c>
    </row>
    <row r="420" customFormat="false" ht="15" hidden="false" customHeight="false" outlineLevel="0" collapsed="false">
      <c r="A420" s="27"/>
      <c r="B420" s="17" t="str">
        <f aca="false">IF($A420="","",COUNTIFS(Orders!$C$2:$C$20001,$A420,Orders!$E$2:$E$20001,"COD",Orders!$F$2:$F$20001,"Delivered")+COUNTIFS(Orders!$C$2:$C$20001,$A420,Orders!$E$2:$E$20001,"COD",Orders!$F$2:$F$20001,"RTO"))</f>
        <v/>
      </c>
      <c r="C420" s="17" t="str">
        <f aca="false">IF($A420="","",COUNTIFS(Orders!$C$2:$C$20001,$A420,Orders!$E$2:$E$20001,"COD",Orders!$F$2:$F$20001,"RTO"))</f>
        <v/>
      </c>
      <c r="D420" s="18" t="str">
        <f aca="false">IF($A420="","",IFERROR(C420/B420,0))</f>
        <v/>
      </c>
      <c r="E420" s="17" t="str">
        <f aca="false">IF($A420="","",COUNTIFS(Orders!$C$2:$C$20001,$A420,Orders!$E$2:$E$20001,"Prepaid",Orders!$F$2:$F$20001,"Delivered")+COUNTIFS(Orders!$C$2:$C$20001,$A420,Orders!$E$2:$E$20001,"Prepaid",Orders!$F$2:$F$20001,"RTO"))</f>
        <v/>
      </c>
      <c r="F420" s="17" t="str">
        <f aca="false">IF($A420="","",COUNTIFS(Orders!$C$2:$C$20001,$A420,Orders!$E$2:$E$20001,"Prepaid",Orders!$F$2:$F$20001,"RTO"))</f>
        <v/>
      </c>
      <c r="G420" s="18" t="str">
        <f aca="false">IF($A420="","",IFERROR(F420/E420,0))</f>
        <v/>
      </c>
      <c r="H420" s="19" t="str">
        <f aca="false">IF($A420="","",C420*Settings!$B$11)</f>
        <v/>
      </c>
      <c r="I420" s="20" t="str">
        <f aca="false">IF($A420="","",IF(N(H420)=0,"",RANK(H420,$H$5:$H$2004)))</f>
        <v/>
      </c>
      <c r="J420" s="21" t="str">
        <f aca="false">IF($A420="","",IF(B420=0,"No COD orders",IF(B420&lt;Settings!$B$8,"Too few orders",IF(D420&gt;=Settings!$B$9,"Restrict COD or verify","Keep COD"))))</f>
        <v/>
      </c>
    </row>
    <row r="421" customFormat="false" ht="15" hidden="false" customHeight="false" outlineLevel="0" collapsed="false">
      <c r="A421" s="27"/>
      <c r="B421" s="17" t="str">
        <f aca="false">IF($A421="","",COUNTIFS(Orders!$C$2:$C$20001,$A421,Orders!$E$2:$E$20001,"COD",Orders!$F$2:$F$20001,"Delivered")+COUNTIFS(Orders!$C$2:$C$20001,$A421,Orders!$E$2:$E$20001,"COD",Orders!$F$2:$F$20001,"RTO"))</f>
        <v/>
      </c>
      <c r="C421" s="17" t="str">
        <f aca="false">IF($A421="","",COUNTIFS(Orders!$C$2:$C$20001,$A421,Orders!$E$2:$E$20001,"COD",Orders!$F$2:$F$20001,"RTO"))</f>
        <v/>
      </c>
      <c r="D421" s="18" t="str">
        <f aca="false">IF($A421="","",IFERROR(C421/B421,0))</f>
        <v/>
      </c>
      <c r="E421" s="17" t="str">
        <f aca="false">IF($A421="","",COUNTIFS(Orders!$C$2:$C$20001,$A421,Orders!$E$2:$E$20001,"Prepaid",Orders!$F$2:$F$20001,"Delivered")+COUNTIFS(Orders!$C$2:$C$20001,$A421,Orders!$E$2:$E$20001,"Prepaid",Orders!$F$2:$F$20001,"RTO"))</f>
        <v/>
      </c>
      <c r="F421" s="17" t="str">
        <f aca="false">IF($A421="","",COUNTIFS(Orders!$C$2:$C$20001,$A421,Orders!$E$2:$E$20001,"Prepaid",Orders!$F$2:$F$20001,"RTO"))</f>
        <v/>
      </c>
      <c r="G421" s="18" t="str">
        <f aca="false">IF($A421="","",IFERROR(F421/E421,0))</f>
        <v/>
      </c>
      <c r="H421" s="19" t="str">
        <f aca="false">IF($A421="","",C421*Settings!$B$11)</f>
        <v/>
      </c>
      <c r="I421" s="20" t="str">
        <f aca="false">IF($A421="","",IF(N(H421)=0,"",RANK(H421,$H$5:$H$2004)))</f>
        <v/>
      </c>
      <c r="J421" s="21" t="str">
        <f aca="false">IF($A421="","",IF(B421=0,"No COD orders",IF(B421&lt;Settings!$B$8,"Too few orders",IF(D421&gt;=Settings!$B$9,"Restrict COD or verify","Keep COD"))))</f>
        <v/>
      </c>
    </row>
    <row r="422" customFormat="false" ht="15" hidden="false" customHeight="false" outlineLevel="0" collapsed="false">
      <c r="A422" s="27"/>
      <c r="B422" s="17" t="str">
        <f aca="false">IF($A422="","",COUNTIFS(Orders!$C$2:$C$20001,$A422,Orders!$E$2:$E$20001,"COD",Orders!$F$2:$F$20001,"Delivered")+COUNTIFS(Orders!$C$2:$C$20001,$A422,Orders!$E$2:$E$20001,"COD",Orders!$F$2:$F$20001,"RTO"))</f>
        <v/>
      </c>
      <c r="C422" s="17" t="str">
        <f aca="false">IF($A422="","",COUNTIFS(Orders!$C$2:$C$20001,$A422,Orders!$E$2:$E$20001,"COD",Orders!$F$2:$F$20001,"RTO"))</f>
        <v/>
      </c>
      <c r="D422" s="18" t="str">
        <f aca="false">IF($A422="","",IFERROR(C422/B422,0))</f>
        <v/>
      </c>
      <c r="E422" s="17" t="str">
        <f aca="false">IF($A422="","",COUNTIFS(Orders!$C$2:$C$20001,$A422,Orders!$E$2:$E$20001,"Prepaid",Orders!$F$2:$F$20001,"Delivered")+COUNTIFS(Orders!$C$2:$C$20001,$A422,Orders!$E$2:$E$20001,"Prepaid",Orders!$F$2:$F$20001,"RTO"))</f>
        <v/>
      </c>
      <c r="F422" s="17" t="str">
        <f aca="false">IF($A422="","",COUNTIFS(Orders!$C$2:$C$20001,$A422,Orders!$E$2:$E$20001,"Prepaid",Orders!$F$2:$F$20001,"RTO"))</f>
        <v/>
      </c>
      <c r="G422" s="18" t="str">
        <f aca="false">IF($A422="","",IFERROR(F422/E422,0))</f>
        <v/>
      </c>
      <c r="H422" s="19" t="str">
        <f aca="false">IF($A422="","",C422*Settings!$B$11)</f>
        <v/>
      </c>
      <c r="I422" s="20" t="str">
        <f aca="false">IF($A422="","",IF(N(H422)=0,"",RANK(H422,$H$5:$H$2004)))</f>
        <v/>
      </c>
      <c r="J422" s="21" t="str">
        <f aca="false">IF($A422="","",IF(B422=0,"No COD orders",IF(B422&lt;Settings!$B$8,"Too few orders",IF(D422&gt;=Settings!$B$9,"Restrict COD or verify","Keep COD"))))</f>
        <v/>
      </c>
    </row>
    <row r="423" customFormat="false" ht="15" hidden="false" customHeight="false" outlineLevel="0" collapsed="false">
      <c r="A423" s="27"/>
      <c r="B423" s="17" t="str">
        <f aca="false">IF($A423="","",COUNTIFS(Orders!$C$2:$C$20001,$A423,Orders!$E$2:$E$20001,"COD",Orders!$F$2:$F$20001,"Delivered")+COUNTIFS(Orders!$C$2:$C$20001,$A423,Orders!$E$2:$E$20001,"COD",Orders!$F$2:$F$20001,"RTO"))</f>
        <v/>
      </c>
      <c r="C423" s="17" t="str">
        <f aca="false">IF($A423="","",COUNTIFS(Orders!$C$2:$C$20001,$A423,Orders!$E$2:$E$20001,"COD",Orders!$F$2:$F$20001,"RTO"))</f>
        <v/>
      </c>
      <c r="D423" s="18" t="str">
        <f aca="false">IF($A423="","",IFERROR(C423/B423,0))</f>
        <v/>
      </c>
      <c r="E423" s="17" t="str">
        <f aca="false">IF($A423="","",COUNTIFS(Orders!$C$2:$C$20001,$A423,Orders!$E$2:$E$20001,"Prepaid",Orders!$F$2:$F$20001,"Delivered")+COUNTIFS(Orders!$C$2:$C$20001,$A423,Orders!$E$2:$E$20001,"Prepaid",Orders!$F$2:$F$20001,"RTO"))</f>
        <v/>
      </c>
      <c r="F423" s="17" t="str">
        <f aca="false">IF($A423="","",COUNTIFS(Orders!$C$2:$C$20001,$A423,Orders!$E$2:$E$20001,"Prepaid",Orders!$F$2:$F$20001,"RTO"))</f>
        <v/>
      </c>
      <c r="G423" s="18" t="str">
        <f aca="false">IF($A423="","",IFERROR(F423/E423,0))</f>
        <v/>
      </c>
      <c r="H423" s="19" t="str">
        <f aca="false">IF($A423="","",C423*Settings!$B$11)</f>
        <v/>
      </c>
      <c r="I423" s="20" t="str">
        <f aca="false">IF($A423="","",IF(N(H423)=0,"",RANK(H423,$H$5:$H$2004)))</f>
        <v/>
      </c>
      <c r="J423" s="21" t="str">
        <f aca="false">IF($A423="","",IF(B423=0,"No COD orders",IF(B423&lt;Settings!$B$8,"Too few orders",IF(D423&gt;=Settings!$B$9,"Restrict COD or verify","Keep COD"))))</f>
        <v/>
      </c>
    </row>
    <row r="424" customFormat="false" ht="15" hidden="false" customHeight="false" outlineLevel="0" collapsed="false">
      <c r="A424" s="27"/>
      <c r="B424" s="17" t="str">
        <f aca="false">IF($A424="","",COUNTIFS(Orders!$C$2:$C$20001,$A424,Orders!$E$2:$E$20001,"COD",Orders!$F$2:$F$20001,"Delivered")+COUNTIFS(Orders!$C$2:$C$20001,$A424,Orders!$E$2:$E$20001,"COD",Orders!$F$2:$F$20001,"RTO"))</f>
        <v/>
      </c>
      <c r="C424" s="17" t="str">
        <f aca="false">IF($A424="","",COUNTIFS(Orders!$C$2:$C$20001,$A424,Orders!$E$2:$E$20001,"COD",Orders!$F$2:$F$20001,"RTO"))</f>
        <v/>
      </c>
      <c r="D424" s="18" t="str">
        <f aca="false">IF($A424="","",IFERROR(C424/B424,0))</f>
        <v/>
      </c>
      <c r="E424" s="17" t="str">
        <f aca="false">IF($A424="","",COUNTIFS(Orders!$C$2:$C$20001,$A424,Orders!$E$2:$E$20001,"Prepaid",Orders!$F$2:$F$20001,"Delivered")+COUNTIFS(Orders!$C$2:$C$20001,$A424,Orders!$E$2:$E$20001,"Prepaid",Orders!$F$2:$F$20001,"RTO"))</f>
        <v/>
      </c>
      <c r="F424" s="17" t="str">
        <f aca="false">IF($A424="","",COUNTIFS(Orders!$C$2:$C$20001,$A424,Orders!$E$2:$E$20001,"Prepaid",Orders!$F$2:$F$20001,"RTO"))</f>
        <v/>
      </c>
      <c r="G424" s="18" t="str">
        <f aca="false">IF($A424="","",IFERROR(F424/E424,0))</f>
        <v/>
      </c>
      <c r="H424" s="19" t="str">
        <f aca="false">IF($A424="","",C424*Settings!$B$11)</f>
        <v/>
      </c>
      <c r="I424" s="20" t="str">
        <f aca="false">IF($A424="","",IF(N(H424)=0,"",RANK(H424,$H$5:$H$2004)))</f>
        <v/>
      </c>
      <c r="J424" s="21" t="str">
        <f aca="false">IF($A424="","",IF(B424=0,"No COD orders",IF(B424&lt;Settings!$B$8,"Too few orders",IF(D424&gt;=Settings!$B$9,"Restrict COD or verify","Keep COD"))))</f>
        <v/>
      </c>
    </row>
    <row r="425" customFormat="false" ht="15" hidden="false" customHeight="false" outlineLevel="0" collapsed="false">
      <c r="A425" s="27"/>
      <c r="B425" s="17" t="str">
        <f aca="false">IF($A425="","",COUNTIFS(Orders!$C$2:$C$20001,$A425,Orders!$E$2:$E$20001,"COD",Orders!$F$2:$F$20001,"Delivered")+COUNTIFS(Orders!$C$2:$C$20001,$A425,Orders!$E$2:$E$20001,"COD",Orders!$F$2:$F$20001,"RTO"))</f>
        <v/>
      </c>
      <c r="C425" s="17" t="str">
        <f aca="false">IF($A425="","",COUNTIFS(Orders!$C$2:$C$20001,$A425,Orders!$E$2:$E$20001,"COD",Orders!$F$2:$F$20001,"RTO"))</f>
        <v/>
      </c>
      <c r="D425" s="18" t="str">
        <f aca="false">IF($A425="","",IFERROR(C425/B425,0))</f>
        <v/>
      </c>
      <c r="E425" s="17" t="str">
        <f aca="false">IF($A425="","",COUNTIFS(Orders!$C$2:$C$20001,$A425,Orders!$E$2:$E$20001,"Prepaid",Orders!$F$2:$F$20001,"Delivered")+COUNTIFS(Orders!$C$2:$C$20001,$A425,Orders!$E$2:$E$20001,"Prepaid",Orders!$F$2:$F$20001,"RTO"))</f>
        <v/>
      </c>
      <c r="F425" s="17" t="str">
        <f aca="false">IF($A425="","",COUNTIFS(Orders!$C$2:$C$20001,$A425,Orders!$E$2:$E$20001,"Prepaid",Orders!$F$2:$F$20001,"RTO"))</f>
        <v/>
      </c>
      <c r="G425" s="18" t="str">
        <f aca="false">IF($A425="","",IFERROR(F425/E425,0))</f>
        <v/>
      </c>
      <c r="H425" s="19" t="str">
        <f aca="false">IF($A425="","",C425*Settings!$B$11)</f>
        <v/>
      </c>
      <c r="I425" s="20" t="str">
        <f aca="false">IF($A425="","",IF(N(H425)=0,"",RANK(H425,$H$5:$H$2004)))</f>
        <v/>
      </c>
      <c r="J425" s="21" t="str">
        <f aca="false">IF($A425="","",IF(B425=0,"No COD orders",IF(B425&lt;Settings!$B$8,"Too few orders",IF(D425&gt;=Settings!$B$9,"Restrict COD or verify","Keep COD"))))</f>
        <v/>
      </c>
    </row>
    <row r="426" customFormat="false" ht="15" hidden="false" customHeight="false" outlineLevel="0" collapsed="false">
      <c r="A426" s="27"/>
      <c r="B426" s="17" t="str">
        <f aca="false">IF($A426="","",COUNTIFS(Orders!$C$2:$C$20001,$A426,Orders!$E$2:$E$20001,"COD",Orders!$F$2:$F$20001,"Delivered")+COUNTIFS(Orders!$C$2:$C$20001,$A426,Orders!$E$2:$E$20001,"COD",Orders!$F$2:$F$20001,"RTO"))</f>
        <v/>
      </c>
      <c r="C426" s="17" t="str">
        <f aca="false">IF($A426="","",COUNTIFS(Orders!$C$2:$C$20001,$A426,Orders!$E$2:$E$20001,"COD",Orders!$F$2:$F$20001,"RTO"))</f>
        <v/>
      </c>
      <c r="D426" s="18" t="str">
        <f aca="false">IF($A426="","",IFERROR(C426/B426,0))</f>
        <v/>
      </c>
      <c r="E426" s="17" t="str">
        <f aca="false">IF($A426="","",COUNTIFS(Orders!$C$2:$C$20001,$A426,Orders!$E$2:$E$20001,"Prepaid",Orders!$F$2:$F$20001,"Delivered")+COUNTIFS(Orders!$C$2:$C$20001,$A426,Orders!$E$2:$E$20001,"Prepaid",Orders!$F$2:$F$20001,"RTO"))</f>
        <v/>
      </c>
      <c r="F426" s="17" t="str">
        <f aca="false">IF($A426="","",COUNTIFS(Orders!$C$2:$C$20001,$A426,Orders!$E$2:$E$20001,"Prepaid",Orders!$F$2:$F$20001,"RTO"))</f>
        <v/>
      </c>
      <c r="G426" s="18" t="str">
        <f aca="false">IF($A426="","",IFERROR(F426/E426,0))</f>
        <v/>
      </c>
      <c r="H426" s="19" t="str">
        <f aca="false">IF($A426="","",C426*Settings!$B$11)</f>
        <v/>
      </c>
      <c r="I426" s="20" t="str">
        <f aca="false">IF($A426="","",IF(N(H426)=0,"",RANK(H426,$H$5:$H$2004)))</f>
        <v/>
      </c>
      <c r="J426" s="21" t="str">
        <f aca="false">IF($A426="","",IF(B426=0,"No COD orders",IF(B426&lt;Settings!$B$8,"Too few orders",IF(D426&gt;=Settings!$B$9,"Restrict COD or verify","Keep COD"))))</f>
        <v/>
      </c>
    </row>
    <row r="427" customFormat="false" ht="15" hidden="false" customHeight="false" outlineLevel="0" collapsed="false">
      <c r="A427" s="27"/>
      <c r="B427" s="17" t="str">
        <f aca="false">IF($A427="","",COUNTIFS(Orders!$C$2:$C$20001,$A427,Orders!$E$2:$E$20001,"COD",Orders!$F$2:$F$20001,"Delivered")+COUNTIFS(Orders!$C$2:$C$20001,$A427,Orders!$E$2:$E$20001,"COD",Orders!$F$2:$F$20001,"RTO"))</f>
        <v/>
      </c>
      <c r="C427" s="17" t="str">
        <f aca="false">IF($A427="","",COUNTIFS(Orders!$C$2:$C$20001,$A427,Orders!$E$2:$E$20001,"COD",Orders!$F$2:$F$20001,"RTO"))</f>
        <v/>
      </c>
      <c r="D427" s="18" t="str">
        <f aca="false">IF($A427="","",IFERROR(C427/B427,0))</f>
        <v/>
      </c>
      <c r="E427" s="17" t="str">
        <f aca="false">IF($A427="","",COUNTIFS(Orders!$C$2:$C$20001,$A427,Orders!$E$2:$E$20001,"Prepaid",Orders!$F$2:$F$20001,"Delivered")+COUNTIFS(Orders!$C$2:$C$20001,$A427,Orders!$E$2:$E$20001,"Prepaid",Orders!$F$2:$F$20001,"RTO"))</f>
        <v/>
      </c>
      <c r="F427" s="17" t="str">
        <f aca="false">IF($A427="","",COUNTIFS(Orders!$C$2:$C$20001,$A427,Orders!$E$2:$E$20001,"Prepaid",Orders!$F$2:$F$20001,"RTO"))</f>
        <v/>
      </c>
      <c r="G427" s="18" t="str">
        <f aca="false">IF($A427="","",IFERROR(F427/E427,0))</f>
        <v/>
      </c>
      <c r="H427" s="19" t="str">
        <f aca="false">IF($A427="","",C427*Settings!$B$11)</f>
        <v/>
      </c>
      <c r="I427" s="20" t="str">
        <f aca="false">IF($A427="","",IF(N(H427)=0,"",RANK(H427,$H$5:$H$2004)))</f>
        <v/>
      </c>
      <c r="J427" s="21" t="str">
        <f aca="false">IF($A427="","",IF(B427=0,"No COD orders",IF(B427&lt;Settings!$B$8,"Too few orders",IF(D427&gt;=Settings!$B$9,"Restrict COD or verify","Keep COD"))))</f>
        <v/>
      </c>
    </row>
    <row r="428" customFormat="false" ht="15" hidden="false" customHeight="false" outlineLevel="0" collapsed="false">
      <c r="A428" s="27"/>
      <c r="B428" s="17" t="str">
        <f aca="false">IF($A428="","",COUNTIFS(Orders!$C$2:$C$20001,$A428,Orders!$E$2:$E$20001,"COD",Orders!$F$2:$F$20001,"Delivered")+COUNTIFS(Orders!$C$2:$C$20001,$A428,Orders!$E$2:$E$20001,"COD",Orders!$F$2:$F$20001,"RTO"))</f>
        <v/>
      </c>
      <c r="C428" s="17" t="str">
        <f aca="false">IF($A428="","",COUNTIFS(Orders!$C$2:$C$20001,$A428,Orders!$E$2:$E$20001,"COD",Orders!$F$2:$F$20001,"RTO"))</f>
        <v/>
      </c>
      <c r="D428" s="18" t="str">
        <f aca="false">IF($A428="","",IFERROR(C428/B428,0))</f>
        <v/>
      </c>
      <c r="E428" s="17" t="str">
        <f aca="false">IF($A428="","",COUNTIFS(Orders!$C$2:$C$20001,$A428,Orders!$E$2:$E$20001,"Prepaid",Orders!$F$2:$F$20001,"Delivered")+COUNTIFS(Orders!$C$2:$C$20001,$A428,Orders!$E$2:$E$20001,"Prepaid",Orders!$F$2:$F$20001,"RTO"))</f>
        <v/>
      </c>
      <c r="F428" s="17" t="str">
        <f aca="false">IF($A428="","",COUNTIFS(Orders!$C$2:$C$20001,$A428,Orders!$E$2:$E$20001,"Prepaid",Orders!$F$2:$F$20001,"RTO"))</f>
        <v/>
      </c>
      <c r="G428" s="18" t="str">
        <f aca="false">IF($A428="","",IFERROR(F428/E428,0))</f>
        <v/>
      </c>
      <c r="H428" s="19" t="str">
        <f aca="false">IF($A428="","",C428*Settings!$B$11)</f>
        <v/>
      </c>
      <c r="I428" s="20" t="str">
        <f aca="false">IF($A428="","",IF(N(H428)=0,"",RANK(H428,$H$5:$H$2004)))</f>
        <v/>
      </c>
      <c r="J428" s="21" t="str">
        <f aca="false">IF($A428="","",IF(B428=0,"No COD orders",IF(B428&lt;Settings!$B$8,"Too few orders",IF(D428&gt;=Settings!$B$9,"Restrict COD or verify","Keep COD"))))</f>
        <v/>
      </c>
    </row>
    <row r="429" customFormat="false" ht="15" hidden="false" customHeight="false" outlineLevel="0" collapsed="false">
      <c r="A429" s="27"/>
      <c r="B429" s="17" t="str">
        <f aca="false">IF($A429="","",COUNTIFS(Orders!$C$2:$C$20001,$A429,Orders!$E$2:$E$20001,"COD",Orders!$F$2:$F$20001,"Delivered")+COUNTIFS(Orders!$C$2:$C$20001,$A429,Orders!$E$2:$E$20001,"COD",Orders!$F$2:$F$20001,"RTO"))</f>
        <v/>
      </c>
      <c r="C429" s="17" t="str">
        <f aca="false">IF($A429="","",COUNTIFS(Orders!$C$2:$C$20001,$A429,Orders!$E$2:$E$20001,"COD",Orders!$F$2:$F$20001,"RTO"))</f>
        <v/>
      </c>
      <c r="D429" s="18" t="str">
        <f aca="false">IF($A429="","",IFERROR(C429/B429,0))</f>
        <v/>
      </c>
      <c r="E429" s="17" t="str">
        <f aca="false">IF($A429="","",COUNTIFS(Orders!$C$2:$C$20001,$A429,Orders!$E$2:$E$20001,"Prepaid",Orders!$F$2:$F$20001,"Delivered")+COUNTIFS(Orders!$C$2:$C$20001,$A429,Orders!$E$2:$E$20001,"Prepaid",Orders!$F$2:$F$20001,"RTO"))</f>
        <v/>
      </c>
      <c r="F429" s="17" t="str">
        <f aca="false">IF($A429="","",COUNTIFS(Orders!$C$2:$C$20001,$A429,Orders!$E$2:$E$20001,"Prepaid",Orders!$F$2:$F$20001,"RTO"))</f>
        <v/>
      </c>
      <c r="G429" s="18" t="str">
        <f aca="false">IF($A429="","",IFERROR(F429/E429,0))</f>
        <v/>
      </c>
      <c r="H429" s="19" t="str">
        <f aca="false">IF($A429="","",C429*Settings!$B$11)</f>
        <v/>
      </c>
      <c r="I429" s="20" t="str">
        <f aca="false">IF($A429="","",IF(N(H429)=0,"",RANK(H429,$H$5:$H$2004)))</f>
        <v/>
      </c>
      <c r="J429" s="21" t="str">
        <f aca="false">IF($A429="","",IF(B429=0,"No COD orders",IF(B429&lt;Settings!$B$8,"Too few orders",IF(D429&gt;=Settings!$B$9,"Restrict COD or verify","Keep COD"))))</f>
        <v/>
      </c>
    </row>
    <row r="430" customFormat="false" ht="15" hidden="false" customHeight="false" outlineLevel="0" collapsed="false">
      <c r="A430" s="27"/>
      <c r="B430" s="17" t="str">
        <f aca="false">IF($A430="","",COUNTIFS(Orders!$C$2:$C$20001,$A430,Orders!$E$2:$E$20001,"COD",Orders!$F$2:$F$20001,"Delivered")+COUNTIFS(Orders!$C$2:$C$20001,$A430,Orders!$E$2:$E$20001,"COD",Orders!$F$2:$F$20001,"RTO"))</f>
        <v/>
      </c>
      <c r="C430" s="17" t="str">
        <f aca="false">IF($A430="","",COUNTIFS(Orders!$C$2:$C$20001,$A430,Orders!$E$2:$E$20001,"COD",Orders!$F$2:$F$20001,"RTO"))</f>
        <v/>
      </c>
      <c r="D430" s="18" t="str">
        <f aca="false">IF($A430="","",IFERROR(C430/B430,0))</f>
        <v/>
      </c>
      <c r="E430" s="17" t="str">
        <f aca="false">IF($A430="","",COUNTIFS(Orders!$C$2:$C$20001,$A430,Orders!$E$2:$E$20001,"Prepaid",Orders!$F$2:$F$20001,"Delivered")+COUNTIFS(Orders!$C$2:$C$20001,$A430,Orders!$E$2:$E$20001,"Prepaid",Orders!$F$2:$F$20001,"RTO"))</f>
        <v/>
      </c>
      <c r="F430" s="17" t="str">
        <f aca="false">IF($A430="","",COUNTIFS(Orders!$C$2:$C$20001,$A430,Orders!$E$2:$E$20001,"Prepaid",Orders!$F$2:$F$20001,"RTO"))</f>
        <v/>
      </c>
      <c r="G430" s="18" t="str">
        <f aca="false">IF($A430="","",IFERROR(F430/E430,0))</f>
        <v/>
      </c>
      <c r="H430" s="19" t="str">
        <f aca="false">IF($A430="","",C430*Settings!$B$11)</f>
        <v/>
      </c>
      <c r="I430" s="20" t="str">
        <f aca="false">IF($A430="","",IF(N(H430)=0,"",RANK(H430,$H$5:$H$2004)))</f>
        <v/>
      </c>
      <c r="J430" s="21" t="str">
        <f aca="false">IF($A430="","",IF(B430=0,"No COD orders",IF(B430&lt;Settings!$B$8,"Too few orders",IF(D430&gt;=Settings!$B$9,"Restrict COD or verify","Keep COD"))))</f>
        <v/>
      </c>
    </row>
    <row r="431" customFormat="false" ht="15" hidden="false" customHeight="false" outlineLevel="0" collapsed="false">
      <c r="A431" s="27"/>
      <c r="B431" s="17" t="str">
        <f aca="false">IF($A431="","",COUNTIFS(Orders!$C$2:$C$20001,$A431,Orders!$E$2:$E$20001,"COD",Orders!$F$2:$F$20001,"Delivered")+COUNTIFS(Orders!$C$2:$C$20001,$A431,Orders!$E$2:$E$20001,"COD",Orders!$F$2:$F$20001,"RTO"))</f>
        <v/>
      </c>
      <c r="C431" s="17" t="str">
        <f aca="false">IF($A431="","",COUNTIFS(Orders!$C$2:$C$20001,$A431,Orders!$E$2:$E$20001,"COD",Orders!$F$2:$F$20001,"RTO"))</f>
        <v/>
      </c>
      <c r="D431" s="18" t="str">
        <f aca="false">IF($A431="","",IFERROR(C431/B431,0))</f>
        <v/>
      </c>
      <c r="E431" s="17" t="str">
        <f aca="false">IF($A431="","",COUNTIFS(Orders!$C$2:$C$20001,$A431,Orders!$E$2:$E$20001,"Prepaid",Orders!$F$2:$F$20001,"Delivered")+COUNTIFS(Orders!$C$2:$C$20001,$A431,Orders!$E$2:$E$20001,"Prepaid",Orders!$F$2:$F$20001,"RTO"))</f>
        <v/>
      </c>
      <c r="F431" s="17" t="str">
        <f aca="false">IF($A431="","",COUNTIFS(Orders!$C$2:$C$20001,$A431,Orders!$E$2:$E$20001,"Prepaid",Orders!$F$2:$F$20001,"RTO"))</f>
        <v/>
      </c>
      <c r="G431" s="18" t="str">
        <f aca="false">IF($A431="","",IFERROR(F431/E431,0))</f>
        <v/>
      </c>
      <c r="H431" s="19" t="str">
        <f aca="false">IF($A431="","",C431*Settings!$B$11)</f>
        <v/>
      </c>
      <c r="I431" s="20" t="str">
        <f aca="false">IF($A431="","",IF(N(H431)=0,"",RANK(H431,$H$5:$H$2004)))</f>
        <v/>
      </c>
      <c r="J431" s="21" t="str">
        <f aca="false">IF($A431="","",IF(B431=0,"No COD orders",IF(B431&lt;Settings!$B$8,"Too few orders",IF(D431&gt;=Settings!$B$9,"Restrict COD or verify","Keep COD"))))</f>
        <v/>
      </c>
    </row>
    <row r="432" customFormat="false" ht="15" hidden="false" customHeight="false" outlineLevel="0" collapsed="false">
      <c r="A432" s="27"/>
      <c r="B432" s="17" t="str">
        <f aca="false">IF($A432="","",COUNTIFS(Orders!$C$2:$C$20001,$A432,Orders!$E$2:$E$20001,"COD",Orders!$F$2:$F$20001,"Delivered")+COUNTIFS(Orders!$C$2:$C$20001,$A432,Orders!$E$2:$E$20001,"COD",Orders!$F$2:$F$20001,"RTO"))</f>
        <v/>
      </c>
      <c r="C432" s="17" t="str">
        <f aca="false">IF($A432="","",COUNTIFS(Orders!$C$2:$C$20001,$A432,Orders!$E$2:$E$20001,"COD",Orders!$F$2:$F$20001,"RTO"))</f>
        <v/>
      </c>
      <c r="D432" s="18" t="str">
        <f aca="false">IF($A432="","",IFERROR(C432/B432,0))</f>
        <v/>
      </c>
      <c r="E432" s="17" t="str">
        <f aca="false">IF($A432="","",COUNTIFS(Orders!$C$2:$C$20001,$A432,Orders!$E$2:$E$20001,"Prepaid",Orders!$F$2:$F$20001,"Delivered")+COUNTIFS(Orders!$C$2:$C$20001,$A432,Orders!$E$2:$E$20001,"Prepaid",Orders!$F$2:$F$20001,"RTO"))</f>
        <v/>
      </c>
      <c r="F432" s="17" t="str">
        <f aca="false">IF($A432="","",COUNTIFS(Orders!$C$2:$C$20001,$A432,Orders!$E$2:$E$20001,"Prepaid",Orders!$F$2:$F$20001,"RTO"))</f>
        <v/>
      </c>
      <c r="G432" s="18" t="str">
        <f aca="false">IF($A432="","",IFERROR(F432/E432,0))</f>
        <v/>
      </c>
      <c r="H432" s="19" t="str">
        <f aca="false">IF($A432="","",C432*Settings!$B$11)</f>
        <v/>
      </c>
      <c r="I432" s="20" t="str">
        <f aca="false">IF($A432="","",IF(N(H432)=0,"",RANK(H432,$H$5:$H$2004)))</f>
        <v/>
      </c>
      <c r="J432" s="21" t="str">
        <f aca="false">IF($A432="","",IF(B432=0,"No COD orders",IF(B432&lt;Settings!$B$8,"Too few orders",IF(D432&gt;=Settings!$B$9,"Restrict COD or verify","Keep COD"))))</f>
        <v/>
      </c>
    </row>
    <row r="433" customFormat="false" ht="15" hidden="false" customHeight="false" outlineLevel="0" collapsed="false">
      <c r="A433" s="27"/>
      <c r="B433" s="17" t="str">
        <f aca="false">IF($A433="","",COUNTIFS(Orders!$C$2:$C$20001,$A433,Orders!$E$2:$E$20001,"COD",Orders!$F$2:$F$20001,"Delivered")+COUNTIFS(Orders!$C$2:$C$20001,$A433,Orders!$E$2:$E$20001,"COD",Orders!$F$2:$F$20001,"RTO"))</f>
        <v/>
      </c>
      <c r="C433" s="17" t="str">
        <f aca="false">IF($A433="","",COUNTIFS(Orders!$C$2:$C$20001,$A433,Orders!$E$2:$E$20001,"COD",Orders!$F$2:$F$20001,"RTO"))</f>
        <v/>
      </c>
      <c r="D433" s="18" t="str">
        <f aca="false">IF($A433="","",IFERROR(C433/B433,0))</f>
        <v/>
      </c>
      <c r="E433" s="17" t="str">
        <f aca="false">IF($A433="","",COUNTIFS(Orders!$C$2:$C$20001,$A433,Orders!$E$2:$E$20001,"Prepaid",Orders!$F$2:$F$20001,"Delivered")+COUNTIFS(Orders!$C$2:$C$20001,$A433,Orders!$E$2:$E$20001,"Prepaid",Orders!$F$2:$F$20001,"RTO"))</f>
        <v/>
      </c>
      <c r="F433" s="17" t="str">
        <f aca="false">IF($A433="","",COUNTIFS(Orders!$C$2:$C$20001,$A433,Orders!$E$2:$E$20001,"Prepaid",Orders!$F$2:$F$20001,"RTO"))</f>
        <v/>
      </c>
      <c r="G433" s="18" t="str">
        <f aca="false">IF($A433="","",IFERROR(F433/E433,0))</f>
        <v/>
      </c>
      <c r="H433" s="19" t="str">
        <f aca="false">IF($A433="","",C433*Settings!$B$11)</f>
        <v/>
      </c>
      <c r="I433" s="20" t="str">
        <f aca="false">IF($A433="","",IF(N(H433)=0,"",RANK(H433,$H$5:$H$2004)))</f>
        <v/>
      </c>
      <c r="J433" s="21" t="str">
        <f aca="false">IF($A433="","",IF(B433=0,"No COD orders",IF(B433&lt;Settings!$B$8,"Too few orders",IF(D433&gt;=Settings!$B$9,"Restrict COD or verify","Keep COD"))))</f>
        <v/>
      </c>
    </row>
    <row r="434" customFormat="false" ht="15" hidden="false" customHeight="false" outlineLevel="0" collapsed="false">
      <c r="A434" s="27"/>
      <c r="B434" s="17" t="str">
        <f aca="false">IF($A434="","",COUNTIFS(Orders!$C$2:$C$20001,$A434,Orders!$E$2:$E$20001,"COD",Orders!$F$2:$F$20001,"Delivered")+COUNTIFS(Orders!$C$2:$C$20001,$A434,Orders!$E$2:$E$20001,"COD",Orders!$F$2:$F$20001,"RTO"))</f>
        <v/>
      </c>
      <c r="C434" s="17" t="str">
        <f aca="false">IF($A434="","",COUNTIFS(Orders!$C$2:$C$20001,$A434,Orders!$E$2:$E$20001,"COD",Orders!$F$2:$F$20001,"RTO"))</f>
        <v/>
      </c>
      <c r="D434" s="18" t="str">
        <f aca="false">IF($A434="","",IFERROR(C434/B434,0))</f>
        <v/>
      </c>
      <c r="E434" s="17" t="str">
        <f aca="false">IF($A434="","",COUNTIFS(Orders!$C$2:$C$20001,$A434,Orders!$E$2:$E$20001,"Prepaid",Orders!$F$2:$F$20001,"Delivered")+COUNTIFS(Orders!$C$2:$C$20001,$A434,Orders!$E$2:$E$20001,"Prepaid",Orders!$F$2:$F$20001,"RTO"))</f>
        <v/>
      </c>
      <c r="F434" s="17" t="str">
        <f aca="false">IF($A434="","",COUNTIFS(Orders!$C$2:$C$20001,$A434,Orders!$E$2:$E$20001,"Prepaid",Orders!$F$2:$F$20001,"RTO"))</f>
        <v/>
      </c>
      <c r="G434" s="18" t="str">
        <f aca="false">IF($A434="","",IFERROR(F434/E434,0))</f>
        <v/>
      </c>
      <c r="H434" s="19" t="str">
        <f aca="false">IF($A434="","",C434*Settings!$B$11)</f>
        <v/>
      </c>
      <c r="I434" s="20" t="str">
        <f aca="false">IF($A434="","",IF(N(H434)=0,"",RANK(H434,$H$5:$H$2004)))</f>
        <v/>
      </c>
      <c r="J434" s="21" t="str">
        <f aca="false">IF($A434="","",IF(B434=0,"No COD orders",IF(B434&lt;Settings!$B$8,"Too few orders",IF(D434&gt;=Settings!$B$9,"Restrict COD or verify","Keep COD"))))</f>
        <v/>
      </c>
    </row>
    <row r="435" customFormat="false" ht="15" hidden="false" customHeight="false" outlineLevel="0" collapsed="false">
      <c r="A435" s="27"/>
      <c r="B435" s="17" t="str">
        <f aca="false">IF($A435="","",COUNTIFS(Orders!$C$2:$C$20001,$A435,Orders!$E$2:$E$20001,"COD",Orders!$F$2:$F$20001,"Delivered")+COUNTIFS(Orders!$C$2:$C$20001,$A435,Orders!$E$2:$E$20001,"COD",Orders!$F$2:$F$20001,"RTO"))</f>
        <v/>
      </c>
      <c r="C435" s="17" t="str">
        <f aca="false">IF($A435="","",COUNTIFS(Orders!$C$2:$C$20001,$A435,Orders!$E$2:$E$20001,"COD",Orders!$F$2:$F$20001,"RTO"))</f>
        <v/>
      </c>
      <c r="D435" s="18" t="str">
        <f aca="false">IF($A435="","",IFERROR(C435/B435,0))</f>
        <v/>
      </c>
      <c r="E435" s="17" t="str">
        <f aca="false">IF($A435="","",COUNTIFS(Orders!$C$2:$C$20001,$A435,Orders!$E$2:$E$20001,"Prepaid",Orders!$F$2:$F$20001,"Delivered")+COUNTIFS(Orders!$C$2:$C$20001,$A435,Orders!$E$2:$E$20001,"Prepaid",Orders!$F$2:$F$20001,"RTO"))</f>
        <v/>
      </c>
      <c r="F435" s="17" t="str">
        <f aca="false">IF($A435="","",COUNTIFS(Orders!$C$2:$C$20001,$A435,Orders!$E$2:$E$20001,"Prepaid",Orders!$F$2:$F$20001,"RTO"))</f>
        <v/>
      </c>
      <c r="G435" s="18" t="str">
        <f aca="false">IF($A435="","",IFERROR(F435/E435,0))</f>
        <v/>
      </c>
      <c r="H435" s="19" t="str">
        <f aca="false">IF($A435="","",C435*Settings!$B$11)</f>
        <v/>
      </c>
      <c r="I435" s="20" t="str">
        <f aca="false">IF($A435="","",IF(N(H435)=0,"",RANK(H435,$H$5:$H$2004)))</f>
        <v/>
      </c>
      <c r="J435" s="21" t="str">
        <f aca="false">IF($A435="","",IF(B435=0,"No COD orders",IF(B435&lt;Settings!$B$8,"Too few orders",IF(D435&gt;=Settings!$B$9,"Restrict COD or verify","Keep COD"))))</f>
        <v/>
      </c>
    </row>
    <row r="436" customFormat="false" ht="15" hidden="false" customHeight="false" outlineLevel="0" collapsed="false">
      <c r="A436" s="27"/>
      <c r="B436" s="17" t="str">
        <f aca="false">IF($A436="","",COUNTIFS(Orders!$C$2:$C$20001,$A436,Orders!$E$2:$E$20001,"COD",Orders!$F$2:$F$20001,"Delivered")+COUNTIFS(Orders!$C$2:$C$20001,$A436,Orders!$E$2:$E$20001,"COD",Orders!$F$2:$F$20001,"RTO"))</f>
        <v/>
      </c>
      <c r="C436" s="17" t="str">
        <f aca="false">IF($A436="","",COUNTIFS(Orders!$C$2:$C$20001,$A436,Orders!$E$2:$E$20001,"COD",Orders!$F$2:$F$20001,"RTO"))</f>
        <v/>
      </c>
      <c r="D436" s="18" t="str">
        <f aca="false">IF($A436="","",IFERROR(C436/B436,0))</f>
        <v/>
      </c>
      <c r="E436" s="17" t="str">
        <f aca="false">IF($A436="","",COUNTIFS(Orders!$C$2:$C$20001,$A436,Orders!$E$2:$E$20001,"Prepaid",Orders!$F$2:$F$20001,"Delivered")+COUNTIFS(Orders!$C$2:$C$20001,$A436,Orders!$E$2:$E$20001,"Prepaid",Orders!$F$2:$F$20001,"RTO"))</f>
        <v/>
      </c>
      <c r="F436" s="17" t="str">
        <f aca="false">IF($A436="","",COUNTIFS(Orders!$C$2:$C$20001,$A436,Orders!$E$2:$E$20001,"Prepaid",Orders!$F$2:$F$20001,"RTO"))</f>
        <v/>
      </c>
      <c r="G436" s="18" t="str">
        <f aca="false">IF($A436="","",IFERROR(F436/E436,0))</f>
        <v/>
      </c>
      <c r="H436" s="19" t="str">
        <f aca="false">IF($A436="","",C436*Settings!$B$11)</f>
        <v/>
      </c>
      <c r="I436" s="20" t="str">
        <f aca="false">IF($A436="","",IF(N(H436)=0,"",RANK(H436,$H$5:$H$2004)))</f>
        <v/>
      </c>
      <c r="J436" s="21" t="str">
        <f aca="false">IF($A436="","",IF(B436=0,"No COD orders",IF(B436&lt;Settings!$B$8,"Too few orders",IF(D436&gt;=Settings!$B$9,"Restrict COD or verify","Keep COD"))))</f>
        <v/>
      </c>
    </row>
    <row r="437" customFormat="false" ht="15" hidden="false" customHeight="false" outlineLevel="0" collapsed="false">
      <c r="A437" s="27"/>
      <c r="B437" s="17" t="str">
        <f aca="false">IF($A437="","",COUNTIFS(Orders!$C$2:$C$20001,$A437,Orders!$E$2:$E$20001,"COD",Orders!$F$2:$F$20001,"Delivered")+COUNTIFS(Orders!$C$2:$C$20001,$A437,Orders!$E$2:$E$20001,"COD",Orders!$F$2:$F$20001,"RTO"))</f>
        <v/>
      </c>
      <c r="C437" s="17" t="str">
        <f aca="false">IF($A437="","",COUNTIFS(Orders!$C$2:$C$20001,$A437,Orders!$E$2:$E$20001,"COD",Orders!$F$2:$F$20001,"RTO"))</f>
        <v/>
      </c>
      <c r="D437" s="18" t="str">
        <f aca="false">IF($A437="","",IFERROR(C437/B437,0))</f>
        <v/>
      </c>
      <c r="E437" s="17" t="str">
        <f aca="false">IF($A437="","",COUNTIFS(Orders!$C$2:$C$20001,$A437,Orders!$E$2:$E$20001,"Prepaid",Orders!$F$2:$F$20001,"Delivered")+COUNTIFS(Orders!$C$2:$C$20001,$A437,Orders!$E$2:$E$20001,"Prepaid",Orders!$F$2:$F$20001,"RTO"))</f>
        <v/>
      </c>
      <c r="F437" s="17" t="str">
        <f aca="false">IF($A437="","",COUNTIFS(Orders!$C$2:$C$20001,$A437,Orders!$E$2:$E$20001,"Prepaid",Orders!$F$2:$F$20001,"RTO"))</f>
        <v/>
      </c>
      <c r="G437" s="18" t="str">
        <f aca="false">IF($A437="","",IFERROR(F437/E437,0))</f>
        <v/>
      </c>
      <c r="H437" s="19" t="str">
        <f aca="false">IF($A437="","",C437*Settings!$B$11)</f>
        <v/>
      </c>
      <c r="I437" s="20" t="str">
        <f aca="false">IF($A437="","",IF(N(H437)=0,"",RANK(H437,$H$5:$H$2004)))</f>
        <v/>
      </c>
      <c r="J437" s="21" t="str">
        <f aca="false">IF($A437="","",IF(B437=0,"No COD orders",IF(B437&lt;Settings!$B$8,"Too few orders",IF(D437&gt;=Settings!$B$9,"Restrict COD or verify","Keep COD"))))</f>
        <v/>
      </c>
    </row>
    <row r="438" customFormat="false" ht="15" hidden="false" customHeight="false" outlineLevel="0" collapsed="false">
      <c r="A438" s="27"/>
      <c r="B438" s="17" t="str">
        <f aca="false">IF($A438="","",COUNTIFS(Orders!$C$2:$C$20001,$A438,Orders!$E$2:$E$20001,"COD",Orders!$F$2:$F$20001,"Delivered")+COUNTIFS(Orders!$C$2:$C$20001,$A438,Orders!$E$2:$E$20001,"COD",Orders!$F$2:$F$20001,"RTO"))</f>
        <v/>
      </c>
      <c r="C438" s="17" t="str">
        <f aca="false">IF($A438="","",COUNTIFS(Orders!$C$2:$C$20001,$A438,Orders!$E$2:$E$20001,"COD",Orders!$F$2:$F$20001,"RTO"))</f>
        <v/>
      </c>
      <c r="D438" s="18" t="str">
        <f aca="false">IF($A438="","",IFERROR(C438/B438,0))</f>
        <v/>
      </c>
      <c r="E438" s="17" t="str">
        <f aca="false">IF($A438="","",COUNTIFS(Orders!$C$2:$C$20001,$A438,Orders!$E$2:$E$20001,"Prepaid",Orders!$F$2:$F$20001,"Delivered")+COUNTIFS(Orders!$C$2:$C$20001,$A438,Orders!$E$2:$E$20001,"Prepaid",Orders!$F$2:$F$20001,"RTO"))</f>
        <v/>
      </c>
      <c r="F438" s="17" t="str">
        <f aca="false">IF($A438="","",COUNTIFS(Orders!$C$2:$C$20001,$A438,Orders!$E$2:$E$20001,"Prepaid",Orders!$F$2:$F$20001,"RTO"))</f>
        <v/>
      </c>
      <c r="G438" s="18" t="str">
        <f aca="false">IF($A438="","",IFERROR(F438/E438,0))</f>
        <v/>
      </c>
      <c r="H438" s="19" t="str">
        <f aca="false">IF($A438="","",C438*Settings!$B$11)</f>
        <v/>
      </c>
      <c r="I438" s="20" t="str">
        <f aca="false">IF($A438="","",IF(N(H438)=0,"",RANK(H438,$H$5:$H$2004)))</f>
        <v/>
      </c>
      <c r="J438" s="21" t="str">
        <f aca="false">IF($A438="","",IF(B438=0,"No COD orders",IF(B438&lt;Settings!$B$8,"Too few orders",IF(D438&gt;=Settings!$B$9,"Restrict COD or verify","Keep COD"))))</f>
        <v/>
      </c>
    </row>
    <row r="439" customFormat="false" ht="15" hidden="false" customHeight="false" outlineLevel="0" collapsed="false">
      <c r="A439" s="27"/>
      <c r="B439" s="17" t="str">
        <f aca="false">IF($A439="","",COUNTIFS(Orders!$C$2:$C$20001,$A439,Orders!$E$2:$E$20001,"COD",Orders!$F$2:$F$20001,"Delivered")+COUNTIFS(Orders!$C$2:$C$20001,$A439,Orders!$E$2:$E$20001,"COD",Orders!$F$2:$F$20001,"RTO"))</f>
        <v/>
      </c>
      <c r="C439" s="17" t="str">
        <f aca="false">IF($A439="","",COUNTIFS(Orders!$C$2:$C$20001,$A439,Orders!$E$2:$E$20001,"COD",Orders!$F$2:$F$20001,"RTO"))</f>
        <v/>
      </c>
      <c r="D439" s="18" t="str">
        <f aca="false">IF($A439="","",IFERROR(C439/B439,0))</f>
        <v/>
      </c>
      <c r="E439" s="17" t="str">
        <f aca="false">IF($A439="","",COUNTIFS(Orders!$C$2:$C$20001,$A439,Orders!$E$2:$E$20001,"Prepaid",Orders!$F$2:$F$20001,"Delivered")+COUNTIFS(Orders!$C$2:$C$20001,$A439,Orders!$E$2:$E$20001,"Prepaid",Orders!$F$2:$F$20001,"RTO"))</f>
        <v/>
      </c>
      <c r="F439" s="17" t="str">
        <f aca="false">IF($A439="","",COUNTIFS(Orders!$C$2:$C$20001,$A439,Orders!$E$2:$E$20001,"Prepaid",Orders!$F$2:$F$20001,"RTO"))</f>
        <v/>
      </c>
      <c r="G439" s="18" t="str">
        <f aca="false">IF($A439="","",IFERROR(F439/E439,0))</f>
        <v/>
      </c>
      <c r="H439" s="19" t="str">
        <f aca="false">IF($A439="","",C439*Settings!$B$11)</f>
        <v/>
      </c>
      <c r="I439" s="20" t="str">
        <f aca="false">IF($A439="","",IF(N(H439)=0,"",RANK(H439,$H$5:$H$2004)))</f>
        <v/>
      </c>
      <c r="J439" s="21" t="str">
        <f aca="false">IF($A439="","",IF(B439=0,"No COD orders",IF(B439&lt;Settings!$B$8,"Too few orders",IF(D439&gt;=Settings!$B$9,"Restrict COD or verify","Keep COD"))))</f>
        <v/>
      </c>
    </row>
    <row r="440" customFormat="false" ht="15" hidden="false" customHeight="false" outlineLevel="0" collapsed="false">
      <c r="A440" s="27"/>
      <c r="B440" s="17" t="str">
        <f aca="false">IF($A440="","",COUNTIFS(Orders!$C$2:$C$20001,$A440,Orders!$E$2:$E$20001,"COD",Orders!$F$2:$F$20001,"Delivered")+COUNTIFS(Orders!$C$2:$C$20001,$A440,Orders!$E$2:$E$20001,"COD",Orders!$F$2:$F$20001,"RTO"))</f>
        <v/>
      </c>
      <c r="C440" s="17" t="str">
        <f aca="false">IF($A440="","",COUNTIFS(Orders!$C$2:$C$20001,$A440,Orders!$E$2:$E$20001,"COD",Orders!$F$2:$F$20001,"RTO"))</f>
        <v/>
      </c>
      <c r="D440" s="18" t="str">
        <f aca="false">IF($A440="","",IFERROR(C440/B440,0))</f>
        <v/>
      </c>
      <c r="E440" s="17" t="str">
        <f aca="false">IF($A440="","",COUNTIFS(Orders!$C$2:$C$20001,$A440,Orders!$E$2:$E$20001,"Prepaid",Orders!$F$2:$F$20001,"Delivered")+COUNTIFS(Orders!$C$2:$C$20001,$A440,Orders!$E$2:$E$20001,"Prepaid",Orders!$F$2:$F$20001,"RTO"))</f>
        <v/>
      </c>
      <c r="F440" s="17" t="str">
        <f aca="false">IF($A440="","",COUNTIFS(Orders!$C$2:$C$20001,$A440,Orders!$E$2:$E$20001,"Prepaid",Orders!$F$2:$F$20001,"RTO"))</f>
        <v/>
      </c>
      <c r="G440" s="18" t="str">
        <f aca="false">IF($A440="","",IFERROR(F440/E440,0))</f>
        <v/>
      </c>
      <c r="H440" s="19" t="str">
        <f aca="false">IF($A440="","",C440*Settings!$B$11)</f>
        <v/>
      </c>
      <c r="I440" s="20" t="str">
        <f aca="false">IF($A440="","",IF(N(H440)=0,"",RANK(H440,$H$5:$H$2004)))</f>
        <v/>
      </c>
      <c r="J440" s="21" t="str">
        <f aca="false">IF($A440="","",IF(B440=0,"No COD orders",IF(B440&lt;Settings!$B$8,"Too few orders",IF(D440&gt;=Settings!$B$9,"Restrict COD or verify","Keep COD"))))</f>
        <v/>
      </c>
    </row>
    <row r="441" customFormat="false" ht="15" hidden="false" customHeight="false" outlineLevel="0" collapsed="false">
      <c r="A441" s="27"/>
      <c r="B441" s="17" t="str">
        <f aca="false">IF($A441="","",COUNTIFS(Orders!$C$2:$C$20001,$A441,Orders!$E$2:$E$20001,"COD",Orders!$F$2:$F$20001,"Delivered")+COUNTIFS(Orders!$C$2:$C$20001,$A441,Orders!$E$2:$E$20001,"COD",Orders!$F$2:$F$20001,"RTO"))</f>
        <v/>
      </c>
      <c r="C441" s="17" t="str">
        <f aca="false">IF($A441="","",COUNTIFS(Orders!$C$2:$C$20001,$A441,Orders!$E$2:$E$20001,"COD",Orders!$F$2:$F$20001,"RTO"))</f>
        <v/>
      </c>
      <c r="D441" s="18" t="str">
        <f aca="false">IF($A441="","",IFERROR(C441/B441,0))</f>
        <v/>
      </c>
      <c r="E441" s="17" t="str">
        <f aca="false">IF($A441="","",COUNTIFS(Orders!$C$2:$C$20001,$A441,Orders!$E$2:$E$20001,"Prepaid",Orders!$F$2:$F$20001,"Delivered")+COUNTIFS(Orders!$C$2:$C$20001,$A441,Orders!$E$2:$E$20001,"Prepaid",Orders!$F$2:$F$20001,"RTO"))</f>
        <v/>
      </c>
      <c r="F441" s="17" t="str">
        <f aca="false">IF($A441="","",COUNTIFS(Orders!$C$2:$C$20001,$A441,Orders!$E$2:$E$20001,"Prepaid",Orders!$F$2:$F$20001,"RTO"))</f>
        <v/>
      </c>
      <c r="G441" s="18" t="str">
        <f aca="false">IF($A441="","",IFERROR(F441/E441,0))</f>
        <v/>
      </c>
      <c r="H441" s="19" t="str">
        <f aca="false">IF($A441="","",C441*Settings!$B$11)</f>
        <v/>
      </c>
      <c r="I441" s="20" t="str">
        <f aca="false">IF($A441="","",IF(N(H441)=0,"",RANK(H441,$H$5:$H$2004)))</f>
        <v/>
      </c>
      <c r="J441" s="21" t="str">
        <f aca="false">IF($A441="","",IF(B441=0,"No COD orders",IF(B441&lt;Settings!$B$8,"Too few orders",IF(D441&gt;=Settings!$B$9,"Restrict COD or verify","Keep COD"))))</f>
        <v/>
      </c>
    </row>
    <row r="442" customFormat="false" ht="15" hidden="false" customHeight="false" outlineLevel="0" collapsed="false">
      <c r="A442" s="27"/>
      <c r="B442" s="17" t="str">
        <f aca="false">IF($A442="","",COUNTIFS(Orders!$C$2:$C$20001,$A442,Orders!$E$2:$E$20001,"COD",Orders!$F$2:$F$20001,"Delivered")+COUNTIFS(Orders!$C$2:$C$20001,$A442,Orders!$E$2:$E$20001,"COD",Orders!$F$2:$F$20001,"RTO"))</f>
        <v/>
      </c>
      <c r="C442" s="17" t="str">
        <f aca="false">IF($A442="","",COUNTIFS(Orders!$C$2:$C$20001,$A442,Orders!$E$2:$E$20001,"COD",Orders!$F$2:$F$20001,"RTO"))</f>
        <v/>
      </c>
      <c r="D442" s="18" t="str">
        <f aca="false">IF($A442="","",IFERROR(C442/B442,0))</f>
        <v/>
      </c>
      <c r="E442" s="17" t="str">
        <f aca="false">IF($A442="","",COUNTIFS(Orders!$C$2:$C$20001,$A442,Orders!$E$2:$E$20001,"Prepaid",Orders!$F$2:$F$20001,"Delivered")+COUNTIFS(Orders!$C$2:$C$20001,$A442,Orders!$E$2:$E$20001,"Prepaid",Orders!$F$2:$F$20001,"RTO"))</f>
        <v/>
      </c>
      <c r="F442" s="17" t="str">
        <f aca="false">IF($A442="","",COUNTIFS(Orders!$C$2:$C$20001,$A442,Orders!$E$2:$E$20001,"Prepaid",Orders!$F$2:$F$20001,"RTO"))</f>
        <v/>
      </c>
      <c r="G442" s="18" t="str">
        <f aca="false">IF($A442="","",IFERROR(F442/E442,0))</f>
        <v/>
      </c>
      <c r="H442" s="19" t="str">
        <f aca="false">IF($A442="","",C442*Settings!$B$11)</f>
        <v/>
      </c>
      <c r="I442" s="20" t="str">
        <f aca="false">IF($A442="","",IF(N(H442)=0,"",RANK(H442,$H$5:$H$2004)))</f>
        <v/>
      </c>
      <c r="J442" s="21" t="str">
        <f aca="false">IF($A442="","",IF(B442=0,"No COD orders",IF(B442&lt;Settings!$B$8,"Too few orders",IF(D442&gt;=Settings!$B$9,"Restrict COD or verify","Keep COD"))))</f>
        <v/>
      </c>
    </row>
    <row r="443" customFormat="false" ht="15" hidden="false" customHeight="false" outlineLevel="0" collapsed="false">
      <c r="A443" s="27"/>
      <c r="B443" s="17" t="str">
        <f aca="false">IF($A443="","",COUNTIFS(Orders!$C$2:$C$20001,$A443,Orders!$E$2:$E$20001,"COD",Orders!$F$2:$F$20001,"Delivered")+COUNTIFS(Orders!$C$2:$C$20001,$A443,Orders!$E$2:$E$20001,"COD",Orders!$F$2:$F$20001,"RTO"))</f>
        <v/>
      </c>
      <c r="C443" s="17" t="str">
        <f aca="false">IF($A443="","",COUNTIFS(Orders!$C$2:$C$20001,$A443,Orders!$E$2:$E$20001,"COD",Orders!$F$2:$F$20001,"RTO"))</f>
        <v/>
      </c>
      <c r="D443" s="18" t="str">
        <f aca="false">IF($A443="","",IFERROR(C443/B443,0))</f>
        <v/>
      </c>
      <c r="E443" s="17" t="str">
        <f aca="false">IF($A443="","",COUNTIFS(Orders!$C$2:$C$20001,$A443,Orders!$E$2:$E$20001,"Prepaid",Orders!$F$2:$F$20001,"Delivered")+COUNTIFS(Orders!$C$2:$C$20001,$A443,Orders!$E$2:$E$20001,"Prepaid",Orders!$F$2:$F$20001,"RTO"))</f>
        <v/>
      </c>
      <c r="F443" s="17" t="str">
        <f aca="false">IF($A443="","",COUNTIFS(Orders!$C$2:$C$20001,$A443,Orders!$E$2:$E$20001,"Prepaid",Orders!$F$2:$F$20001,"RTO"))</f>
        <v/>
      </c>
      <c r="G443" s="18" t="str">
        <f aca="false">IF($A443="","",IFERROR(F443/E443,0))</f>
        <v/>
      </c>
      <c r="H443" s="19" t="str">
        <f aca="false">IF($A443="","",C443*Settings!$B$11)</f>
        <v/>
      </c>
      <c r="I443" s="20" t="str">
        <f aca="false">IF($A443="","",IF(N(H443)=0,"",RANK(H443,$H$5:$H$2004)))</f>
        <v/>
      </c>
      <c r="J443" s="21" t="str">
        <f aca="false">IF($A443="","",IF(B443=0,"No COD orders",IF(B443&lt;Settings!$B$8,"Too few orders",IF(D443&gt;=Settings!$B$9,"Restrict COD or verify","Keep COD"))))</f>
        <v/>
      </c>
    </row>
    <row r="444" customFormat="false" ht="15" hidden="false" customHeight="false" outlineLevel="0" collapsed="false">
      <c r="A444" s="27"/>
      <c r="B444" s="17" t="str">
        <f aca="false">IF($A444="","",COUNTIFS(Orders!$C$2:$C$20001,$A444,Orders!$E$2:$E$20001,"COD",Orders!$F$2:$F$20001,"Delivered")+COUNTIFS(Orders!$C$2:$C$20001,$A444,Orders!$E$2:$E$20001,"COD",Orders!$F$2:$F$20001,"RTO"))</f>
        <v/>
      </c>
      <c r="C444" s="17" t="str">
        <f aca="false">IF($A444="","",COUNTIFS(Orders!$C$2:$C$20001,$A444,Orders!$E$2:$E$20001,"COD",Orders!$F$2:$F$20001,"RTO"))</f>
        <v/>
      </c>
      <c r="D444" s="18" t="str">
        <f aca="false">IF($A444="","",IFERROR(C444/B444,0))</f>
        <v/>
      </c>
      <c r="E444" s="17" t="str">
        <f aca="false">IF($A444="","",COUNTIFS(Orders!$C$2:$C$20001,$A444,Orders!$E$2:$E$20001,"Prepaid",Orders!$F$2:$F$20001,"Delivered")+COUNTIFS(Orders!$C$2:$C$20001,$A444,Orders!$E$2:$E$20001,"Prepaid",Orders!$F$2:$F$20001,"RTO"))</f>
        <v/>
      </c>
      <c r="F444" s="17" t="str">
        <f aca="false">IF($A444="","",COUNTIFS(Orders!$C$2:$C$20001,$A444,Orders!$E$2:$E$20001,"Prepaid",Orders!$F$2:$F$20001,"RTO"))</f>
        <v/>
      </c>
      <c r="G444" s="18" t="str">
        <f aca="false">IF($A444="","",IFERROR(F444/E444,0))</f>
        <v/>
      </c>
      <c r="H444" s="19" t="str">
        <f aca="false">IF($A444="","",C444*Settings!$B$11)</f>
        <v/>
      </c>
      <c r="I444" s="20" t="str">
        <f aca="false">IF($A444="","",IF(N(H444)=0,"",RANK(H444,$H$5:$H$2004)))</f>
        <v/>
      </c>
      <c r="J444" s="21" t="str">
        <f aca="false">IF($A444="","",IF(B444=0,"No COD orders",IF(B444&lt;Settings!$B$8,"Too few orders",IF(D444&gt;=Settings!$B$9,"Restrict COD or verify","Keep COD"))))</f>
        <v/>
      </c>
    </row>
    <row r="445" customFormat="false" ht="15" hidden="false" customHeight="false" outlineLevel="0" collapsed="false">
      <c r="A445" s="27"/>
      <c r="B445" s="17" t="str">
        <f aca="false">IF($A445="","",COUNTIFS(Orders!$C$2:$C$20001,$A445,Orders!$E$2:$E$20001,"COD",Orders!$F$2:$F$20001,"Delivered")+COUNTIFS(Orders!$C$2:$C$20001,$A445,Orders!$E$2:$E$20001,"COD",Orders!$F$2:$F$20001,"RTO"))</f>
        <v/>
      </c>
      <c r="C445" s="17" t="str">
        <f aca="false">IF($A445="","",COUNTIFS(Orders!$C$2:$C$20001,$A445,Orders!$E$2:$E$20001,"COD",Orders!$F$2:$F$20001,"RTO"))</f>
        <v/>
      </c>
      <c r="D445" s="18" t="str">
        <f aca="false">IF($A445="","",IFERROR(C445/B445,0))</f>
        <v/>
      </c>
      <c r="E445" s="17" t="str">
        <f aca="false">IF($A445="","",COUNTIFS(Orders!$C$2:$C$20001,$A445,Orders!$E$2:$E$20001,"Prepaid",Orders!$F$2:$F$20001,"Delivered")+COUNTIFS(Orders!$C$2:$C$20001,$A445,Orders!$E$2:$E$20001,"Prepaid",Orders!$F$2:$F$20001,"RTO"))</f>
        <v/>
      </c>
      <c r="F445" s="17" t="str">
        <f aca="false">IF($A445="","",COUNTIFS(Orders!$C$2:$C$20001,$A445,Orders!$E$2:$E$20001,"Prepaid",Orders!$F$2:$F$20001,"RTO"))</f>
        <v/>
      </c>
      <c r="G445" s="18" t="str">
        <f aca="false">IF($A445="","",IFERROR(F445/E445,0))</f>
        <v/>
      </c>
      <c r="H445" s="19" t="str">
        <f aca="false">IF($A445="","",C445*Settings!$B$11)</f>
        <v/>
      </c>
      <c r="I445" s="20" t="str">
        <f aca="false">IF($A445="","",IF(N(H445)=0,"",RANK(H445,$H$5:$H$2004)))</f>
        <v/>
      </c>
      <c r="J445" s="21" t="str">
        <f aca="false">IF($A445="","",IF(B445=0,"No COD orders",IF(B445&lt;Settings!$B$8,"Too few orders",IF(D445&gt;=Settings!$B$9,"Restrict COD or verify","Keep COD"))))</f>
        <v/>
      </c>
    </row>
    <row r="446" customFormat="false" ht="15" hidden="false" customHeight="false" outlineLevel="0" collapsed="false">
      <c r="A446" s="27"/>
      <c r="B446" s="17" t="str">
        <f aca="false">IF($A446="","",COUNTIFS(Orders!$C$2:$C$20001,$A446,Orders!$E$2:$E$20001,"COD",Orders!$F$2:$F$20001,"Delivered")+COUNTIFS(Orders!$C$2:$C$20001,$A446,Orders!$E$2:$E$20001,"COD",Orders!$F$2:$F$20001,"RTO"))</f>
        <v/>
      </c>
      <c r="C446" s="17" t="str">
        <f aca="false">IF($A446="","",COUNTIFS(Orders!$C$2:$C$20001,$A446,Orders!$E$2:$E$20001,"COD",Orders!$F$2:$F$20001,"RTO"))</f>
        <v/>
      </c>
      <c r="D446" s="18" t="str">
        <f aca="false">IF($A446="","",IFERROR(C446/B446,0))</f>
        <v/>
      </c>
      <c r="E446" s="17" t="str">
        <f aca="false">IF($A446="","",COUNTIFS(Orders!$C$2:$C$20001,$A446,Orders!$E$2:$E$20001,"Prepaid",Orders!$F$2:$F$20001,"Delivered")+COUNTIFS(Orders!$C$2:$C$20001,$A446,Orders!$E$2:$E$20001,"Prepaid",Orders!$F$2:$F$20001,"RTO"))</f>
        <v/>
      </c>
      <c r="F446" s="17" t="str">
        <f aca="false">IF($A446="","",COUNTIFS(Orders!$C$2:$C$20001,$A446,Orders!$E$2:$E$20001,"Prepaid",Orders!$F$2:$F$20001,"RTO"))</f>
        <v/>
      </c>
      <c r="G446" s="18" t="str">
        <f aca="false">IF($A446="","",IFERROR(F446/E446,0))</f>
        <v/>
      </c>
      <c r="H446" s="19" t="str">
        <f aca="false">IF($A446="","",C446*Settings!$B$11)</f>
        <v/>
      </c>
      <c r="I446" s="20" t="str">
        <f aca="false">IF($A446="","",IF(N(H446)=0,"",RANK(H446,$H$5:$H$2004)))</f>
        <v/>
      </c>
      <c r="J446" s="21" t="str">
        <f aca="false">IF($A446="","",IF(B446=0,"No COD orders",IF(B446&lt;Settings!$B$8,"Too few orders",IF(D446&gt;=Settings!$B$9,"Restrict COD or verify","Keep COD"))))</f>
        <v/>
      </c>
    </row>
    <row r="447" customFormat="false" ht="15" hidden="false" customHeight="false" outlineLevel="0" collapsed="false">
      <c r="A447" s="27"/>
      <c r="B447" s="17" t="str">
        <f aca="false">IF($A447="","",COUNTIFS(Orders!$C$2:$C$20001,$A447,Orders!$E$2:$E$20001,"COD",Orders!$F$2:$F$20001,"Delivered")+COUNTIFS(Orders!$C$2:$C$20001,$A447,Orders!$E$2:$E$20001,"COD",Orders!$F$2:$F$20001,"RTO"))</f>
        <v/>
      </c>
      <c r="C447" s="17" t="str">
        <f aca="false">IF($A447="","",COUNTIFS(Orders!$C$2:$C$20001,$A447,Orders!$E$2:$E$20001,"COD",Orders!$F$2:$F$20001,"RTO"))</f>
        <v/>
      </c>
      <c r="D447" s="18" t="str">
        <f aca="false">IF($A447="","",IFERROR(C447/B447,0))</f>
        <v/>
      </c>
      <c r="E447" s="17" t="str">
        <f aca="false">IF($A447="","",COUNTIFS(Orders!$C$2:$C$20001,$A447,Orders!$E$2:$E$20001,"Prepaid",Orders!$F$2:$F$20001,"Delivered")+COUNTIFS(Orders!$C$2:$C$20001,$A447,Orders!$E$2:$E$20001,"Prepaid",Orders!$F$2:$F$20001,"RTO"))</f>
        <v/>
      </c>
      <c r="F447" s="17" t="str">
        <f aca="false">IF($A447="","",COUNTIFS(Orders!$C$2:$C$20001,$A447,Orders!$E$2:$E$20001,"Prepaid",Orders!$F$2:$F$20001,"RTO"))</f>
        <v/>
      </c>
      <c r="G447" s="18" t="str">
        <f aca="false">IF($A447="","",IFERROR(F447/E447,0))</f>
        <v/>
      </c>
      <c r="H447" s="19" t="str">
        <f aca="false">IF($A447="","",C447*Settings!$B$11)</f>
        <v/>
      </c>
      <c r="I447" s="20" t="str">
        <f aca="false">IF($A447="","",IF(N(H447)=0,"",RANK(H447,$H$5:$H$2004)))</f>
        <v/>
      </c>
      <c r="J447" s="21" t="str">
        <f aca="false">IF($A447="","",IF(B447=0,"No COD orders",IF(B447&lt;Settings!$B$8,"Too few orders",IF(D447&gt;=Settings!$B$9,"Restrict COD or verify","Keep COD"))))</f>
        <v/>
      </c>
    </row>
    <row r="448" customFormat="false" ht="15" hidden="false" customHeight="false" outlineLevel="0" collapsed="false">
      <c r="A448" s="27"/>
      <c r="B448" s="17" t="str">
        <f aca="false">IF($A448="","",COUNTIFS(Orders!$C$2:$C$20001,$A448,Orders!$E$2:$E$20001,"COD",Orders!$F$2:$F$20001,"Delivered")+COUNTIFS(Orders!$C$2:$C$20001,$A448,Orders!$E$2:$E$20001,"COD",Orders!$F$2:$F$20001,"RTO"))</f>
        <v/>
      </c>
      <c r="C448" s="17" t="str">
        <f aca="false">IF($A448="","",COUNTIFS(Orders!$C$2:$C$20001,$A448,Orders!$E$2:$E$20001,"COD",Orders!$F$2:$F$20001,"RTO"))</f>
        <v/>
      </c>
      <c r="D448" s="18" t="str">
        <f aca="false">IF($A448="","",IFERROR(C448/B448,0))</f>
        <v/>
      </c>
      <c r="E448" s="17" t="str">
        <f aca="false">IF($A448="","",COUNTIFS(Orders!$C$2:$C$20001,$A448,Orders!$E$2:$E$20001,"Prepaid",Orders!$F$2:$F$20001,"Delivered")+COUNTIFS(Orders!$C$2:$C$20001,$A448,Orders!$E$2:$E$20001,"Prepaid",Orders!$F$2:$F$20001,"RTO"))</f>
        <v/>
      </c>
      <c r="F448" s="17" t="str">
        <f aca="false">IF($A448="","",COUNTIFS(Orders!$C$2:$C$20001,$A448,Orders!$E$2:$E$20001,"Prepaid",Orders!$F$2:$F$20001,"RTO"))</f>
        <v/>
      </c>
      <c r="G448" s="18" t="str">
        <f aca="false">IF($A448="","",IFERROR(F448/E448,0))</f>
        <v/>
      </c>
      <c r="H448" s="19" t="str">
        <f aca="false">IF($A448="","",C448*Settings!$B$11)</f>
        <v/>
      </c>
      <c r="I448" s="20" t="str">
        <f aca="false">IF($A448="","",IF(N(H448)=0,"",RANK(H448,$H$5:$H$2004)))</f>
        <v/>
      </c>
      <c r="J448" s="21" t="str">
        <f aca="false">IF($A448="","",IF(B448=0,"No COD orders",IF(B448&lt;Settings!$B$8,"Too few orders",IF(D448&gt;=Settings!$B$9,"Restrict COD or verify","Keep COD"))))</f>
        <v/>
      </c>
    </row>
    <row r="449" customFormat="false" ht="15" hidden="false" customHeight="false" outlineLevel="0" collapsed="false">
      <c r="A449" s="27"/>
      <c r="B449" s="17" t="str">
        <f aca="false">IF($A449="","",COUNTIFS(Orders!$C$2:$C$20001,$A449,Orders!$E$2:$E$20001,"COD",Orders!$F$2:$F$20001,"Delivered")+COUNTIFS(Orders!$C$2:$C$20001,$A449,Orders!$E$2:$E$20001,"COD",Orders!$F$2:$F$20001,"RTO"))</f>
        <v/>
      </c>
      <c r="C449" s="17" t="str">
        <f aca="false">IF($A449="","",COUNTIFS(Orders!$C$2:$C$20001,$A449,Orders!$E$2:$E$20001,"COD",Orders!$F$2:$F$20001,"RTO"))</f>
        <v/>
      </c>
      <c r="D449" s="18" t="str">
        <f aca="false">IF($A449="","",IFERROR(C449/B449,0))</f>
        <v/>
      </c>
      <c r="E449" s="17" t="str">
        <f aca="false">IF($A449="","",COUNTIFS(Orders!$C$2:$C$20001,$A449,Orders!$E$2:$E$20001,"Prepaid",Orders!$F$2:$F$20001,"Delivered")+COUNTIFS(Orders!$C$2:$C$20001,$A449,Orders!$E$2:$E$20001,"Prepaid",Orders!$F$2:$F$20001,"RTO"))</f>
        <v/>
      </c>
      <c r="F449" s="17" t="str">
        <f aca="false">IF($A449="","",COUNTIFS(Orders!$C$2:$C$20001,$A449,Orders!$E$2:$E$20001,"Prepaid",Orders!$F$2:$F$20001,"RTO"))</f>
        <v/>
      </c>
      <c r="G449" s="18" t="str">
        <f aca="false">IF($A449="","",IFERROR(F449/E449,0))</f>
        <v/>
      </c>
      <c r="H449" s="19" t="str">
        <f aca="false">IF($A449="","",C449*Settings!$B$11)</f>
        <v/>
      </c>
      <c r="I449" s="20" t="str">
        <f aca="false">IF($A449="","",IF(N(H449)=0,"",RANK(H449,$H$5:$H$2004)))</f>
        <v/>
      </c>
      <c r="J449" s="21" t="str">
        <f aca="false">IF($A449="","",IF(B449=0,"No COD orders",IF(B449&lt;Settings!$B$8,"Too few orders",IF(D449&gt;=Settings!$B$9,"Restrict COD or verify","Keep COD"))))</f>
        <v/>
      </c>
    </row>
    <row r="450" customFormat="false" ht="15" hidden="false" customHeight="false" outlineLevel="0" collapsed="false">
      <c r="A450" s="27"/>
      <c r="B450" s="17" t="str">
        <f aca="false">IF($A450="","",COUNTIFS(Orders!$C$2:$C$20001,$A450,Orders!$E$2:$E$20001,"COD",Orders!$F$2:$F$20001,"Delivered")+COUNTIFS(Orders!$C$2:$C$20001,$A450,Orders!$E$2:$E$20001,"COD",Orders!$F$2:$F$20001,"RTO"))</f>
        <v/>
      </c>
      <c r="C450" s="17" t="str">
        <f aca="false">IF($A450="","",COUNTIFS(Orders!$C$2:$C$20001,$A450,Orders!$E$2:$E$20001,"COD",Orders!$F$2:$F$20001,"RTO"))</f>
        <v/>
      </c>
      <c r="D450" s="18" t="str">
        <f aca="false">IF($A450="","",IFERROR(C450/B450,0))</f>
        <v/>
      </c>
      <c r="E450" s="17" t="str">
        <f aca="false">IF($A450="","",COUNTIFS(Orders!$C$2:$C$20001,$A450,Orders!$E$2:$E$20001,"Prepaid",Orders!$F$2:$F$20001,"Delivered")+COUNTIFS(Orders!$C$2:$C$20001,$A450,Orders!$E$2:$E$20001,"Prepaid",Orders!$F$2:$F$20001,"RTO"))</f>
        <v/>
      </c>
      <c r="F450" s="17" t="str">
        <f aca="false">IF($A450="","",COUNTIFS(Orders!$C$2:$C$20001,$A450,Orders!$E$2:$E$20001,"Prepaid",Orders!$F$2:$F$20001,"RTO"))</f>
        <v/>
      </c>
      <c r="G450" s="18" t="str">
        <f aca="false">IF($A450="","",IFERROR(F450/E450,0))</f>
        <v/>
      </c>
      <c r="H450" s="19" t="str">
        <f aca="false">IF($A450="","",C450*Settings!$B$11)</f>
        <v/>
      </c>
      <c r="I450" s="20" t="str">
        <f aca="false">IF($A450="","",IF(N(H450)=0,"",RANK(H450,$H$5:$H$2004)))</f>
        <v/>
      </c>
      <c r="J450" s="21" t="str">
        <f aca="false">IF($A450="","",IF(B450=0,"No COD orders",IF(B450&lt;Settings!$B$8,"Too few orders",IF(D450&gt;=Settings!$B$9,"Restrict COD or verify","Keep COD"))))</f>
        <v/>
      </c>
    </row>
    <row r="451" customFormat="false" ht="15" hidden="false" customHeight="false" outlineLevel="0" collapsed="false">
      <c r="A451" s="27"/>
      <c r="B451" s="17" t="str">
        <f aca="false">IF($A451="","",COUNTIFS(Orders!$C$2:$C$20001,$A451,Orders!$E$2:$E$20001,"COD",Orders!$F$2:$F$20001,"Delivered")+COUNTIFS(Orders!$C$2:$C$20001,$A451,Orders!$E$2:$E$20001,"COD",Orders!$F$2:$F$20001,"RTO"))</f>
        <v/>
      </c>
      <c r="C451" s="17" t="str">
        <f aca="false">IF($A451="","",COUNTIFS(Orders!$C$2:$C$20001,$A451,Orders!$E$2:$E$20001,"COD",Orders!$F$2:$F$20001,"RTO"))</f>
        <v/>
      </c>
      <c r="D451" s="18" t="str">
        <f aca="false">IF($A451="","",IFERROR(C451/B451,0))</f>
        <v/>
      </c>
      <c r="E451" s="17" t="str">
        <f aca="false">IF($A451="","",COUNTIFS(Orders!$C$2:$C$20001,$A451,Orders!$E$2:$E$20001,"Prepaid",Orders!$F$2:$F$20001,"Delivered")+COUNTIFS(Orders!$C$2:$C$20001,$A451,Orders!$E$2:$E$20001,"Prepaid",Orders!$F$2:$F$20001,"RTO"))</f>
        <v/>
      </c>
      <c r="F451" s="17" t="str">
        <f aca="false">IF($A451="","",COUNTIFS(Orders!$C$2:$C$20001,$A451,Orders!$E$2:$E$20001,"Prepaid",Orders!$F$2:$F$20001,"RTO"))</f>
        <v/>
      </c>
      <c r="G451" s="18" t="str">
        <f aca="false">IF($A451="","",IFERROR(F451/E451,0))</f>
        <v/>
      </c>
      <c r="H451" s="19" t="str">
        <f aca="false">IF($A451="","",C451*Settings!$B$11)</f>
        <v/>
      </c>
      <c r="I451" s="20" t="str">
        <f aca="false">IF($A451="","",IF(N(H451)=0,"",RANK(H451,$H$5:$H$2004)))</f>
        <v/>
      </c>
      <c r="J451" s="21" t="str">
        <f aca="false">IF($A451="","",IF(B451=0,"No COD orders",IF(B451&lt;Settings!$B$8,"Too few orders",IF(D451&gt;=Settings!$B$9,"Restrict COD or verify","Keep COD"))))</f>
        <v/>
      </c>
    </row>
    <row r="452" customFormat="false" ht="15" hidden="false" customHeight="false" outlineLevel="0" collapsed="false">
      <c r="A452" s="27"/>
      <c r="B452" s="17" t="str">
        <f aca="false">IF($A452="","",COUNTIFS(Orders!$C$2:$C$20001,$A452,Orders!$E$2:$E$20001,"COD",Orders!$F$2:$F$20001,"Delivered")+COUNTIFS(Orders!$C$2:$C$20001,$A452,Orders!$E$2:$E$20001,"COD",Orders!$F$2:$F$20001,"RTO"))</f>
        <v/>
      </c>
      <c r="C452" s="17" t="str">
        <f aca="false">IF($A452="","",COUNTIFS(Orders!$C$2:$C$20001,$A452,Orders!$E$2:$E$20001,"COD",Orders!$F$2:$F$20001,"RTO"))</f>
        <v/>
      </c>
      <c r="D452" s="18" t="str">
        <f aca="false">IF($A452="","",IFERROR(C452/B452,0))</f>
        <v/>
      </c>
      <c r="E452" s="17" t="str">
        <f aca="false">IF($A452="","",COUNTIFS(Orders!$C$2:$C$20001,$A452,Orders!$E$2:$E$20001,"Prepaid",Orders!$F$2:$F$20001,"Delivered")+COUNTIFS(Orders!$C$2:$C$20001,$A452,Orders!$E$2:$E$20001,"Prepaid",Orders!$F$2:$F$20001,"RTO"))</f>
        <v/>
      </c>
      <c r="F452" s="17" t="str">
        <f aca="false">IF($A452="","",COUNTIFS(Orders!$C$2:$C$20001,$A452,Orders!$E$2:$E$20001,"Prepaid",Orders!$F$2:$F$20001,"RTO"))</f>
        <v/>
      </c>
      <c r="G452" s="18" t="str">
        <f aca="false">IF($A452="","",IFERROR(F452/E452,0))</f>
        <v/>
      </c>
      <c r="H452" s="19" t="str">
        <f aca="false">IF($A452="","",C452*Settings!$B$11)</f>
        <v/>
      </c>
      <c r="I452" s="20" t="str">
        <f aca="false">IF($A452="","",IF(N(H452)=0,"",RANK(H452,$H$5:$H$2004)))</f>
        <v/>
      </c>
      <c r="J452" s="21" t="str">
        <f aca="false">IF($A452="","",IF(B452=0,"No COD orders",IF(B452&lt;Settings!$B$8,"Too few orders",IF(D452&gt;=Settings!$B$9,"Restrict COD or verify","Keep COD"))))</f>
        <v/>
      </c>
    </row>
    <row r="453" customFormat="false" ht="15" hidden="false" customHeight="false" outlineLevel="0" collapsed="false">
      <c r="A453" s="27"/>
      <c r="B453" s="17" t="str">
        <f aca="false">IF($A453="","",COUNTIFS(Orders!$C$2:$C$20001,$A453,Orders!$E$2:$E$20001,"COD",Orders!$F$2:$F$20001,"Delivered")+COUNTIFS(Orders!$C$2:$C$20001,$A453,Orders!$E$2:$E$20001,"COD",Orders!$F$2:$F$20001,"RTO"))</f>
        <v/>
      </c>
      <c r="C453" s="17" t="str">
        <f aca="false">IF($A453="","",COUNTIFS(Orders!$C$2:$C$20001,$A453,Orders!$E$2:$E$20001,"COD",Orders!$F$2:$F$20001,"RTO"))</f>
        <v/>
      </c>
      <c r="D453" s="18" t="str">
        <f aca="false">IF($A453="","",IFERROR(C453/B453,0))</f>
        <v/>
      </c>
      <c r="E453" s="17" t="str">
        <f aca="false">IF($A453="","",COUNTIFS(Orders!$C$2:$C$20001,$A453,Orders!$E$2:$E$20001,"Prepaid",Orders!$F$2:$F$20001,"Delivered")+COUNTIFS(Orders!$C$2:$C$20001,$A453,Orders!$E$2:$E$20001,"Prepaid",Orders!$F$2:$F$20001,"RTO"))</f>
        <v/>
      </c>
      <c r="F453" s="17" t="str">
        <f aca="false">IF($A453="","",COUNTIFS(Orders!$C$2:$C$20001,$A453,Orders!$E$2:$E$20001,"Prepaid",Orders!$F$2:$F$20001,"RTO"))</f>
        <v/>
      </c>
      <c r="G453" s="18" t="str">
        <f aca="false">IF($A453="","",IFERROR(F453/E453,0))</f>
        <v/>
      </c>
      <c r="H453" s="19" t="str">
        <f aca="false">IF($A453="","",C453*Settings!$B$11)</f>
        <v/>
      </c>
      <c r="I453" s="20" t="str">
        <f aca="false">IF($A453="","",IF(N(H453)=0,"",RANK(H453,$H$5:$H$2004)))</f>
        <v/>
      </c>
      <c r="J453" s="21" t="str">
        <f aca="false">IF($A453="","",IF(B453=0,"No COD orders",IF(B453&lt;Settings!$B$8,"Too few orders",IF(D453&gt;=Settings!$B$9,"Restrict COD or verify","Keep COD"))))</f>
        <v/>
      </c>
    </row>
    <row r="454" customFormat="false" ht="15" hidden="false" customHeight="false" outlineLevel="0" collapsed="false">
      <c r="A454" s="27"/>
      <c r="B454" s="17" t="str">
        <f aca="false">IF($A454="","",COUNTIFS(Orders!$C$2:$C$20001,$A454,Orders!$E$2:$E$20001,"COD",Orders!$F$2:$F$20001,"Delivered")+COUNTIFS(Orders!$C$2:$C$20001,$A454,Orders!$E$2:$E$20001,"COD",Orders!$F$2:$F$20001,"RTO"))</f>
        <v/>
      </c>
      <c r="C454" s="17" t="str">
        <f aca="false">IF($A454="","",COUNTIFS(Orders!$C$2:$C$20001,$A454,Orders!$E$2:$E$20001,"COD",Orders!$F$2:$F$20001,"RTO"))</f>
        <v/>
      </c>
      <c r="D454" s="18" t="str">
        <f aca="false">IF($A454="","",IFERROR(C454/B454,0))</f>
        <v/>
      </c>
      <c r="E454" s="17" t="str">
        <f aca="false">IF($A454="","",COUNTIFS(Orders!$C$2:$C$20001,$A454,Orders!$E$2:$E$20001,"Prepaid",Orders!$F$2:$F$20001,"Delivered")+COUNTIFS(Orders!$C$2:$C$20001,$A454,Orders!$E$2:$E$20001,"Prepaid",Orders!$F$2:$F$20001,"RTO"))</f>
        <v/>
      </c>
      <c r="F454" s="17" t="str">
        <f aca="false">IF($A454="","",COUNTIFS(Orders!$C$2:$C$20001,$A454,Orders!$E$2:$E$20001,"Prepaid",Orders!$F$2:$F$20001,"RTO"))</f>
        <v/>
      </c>
      <c r="G454" s="18" t="str">
        <f aca="false">IF($A454="","",IFERROR(F454/E454,0))</f>
        <v/>
      </c>
      <c r="H454" s="19" t="str">
        <f aca="false">IF($A454="","",C454*Settings!$B$11)</f>
        <v/>
      </c>
      <c r="I454" s="20" t="str">
        <f aca="false">IF($A454="","",IF(N(H454)=0,"",RANK(H454,$H$5:$H$2004)))</f>
        <v/>
      </c>
      <c r="J454" s="21" t="str">
        <f aca="false">IF($A454="","",IF(B454=0,"No COD orders",IF(B454&lt;Settings!$B$8,"Too few orders",IF(D454&gt;=Settings!$B$9,"Restrict COD or verify","Keep COD"))))</f>
        <v/>
      </c>
    </row>
    <row r="455" customFormat="false" ht="15" hidden="false" customHeight="false" outlineLevel="0" collapsed="false">
      <c r="A455" s="27"/>
      <c r="B455" s="17" t="str">
        <f aca="false">IF($A455="","",COUNTIFS(Orders!$C$2:$C$20001,$A455,Orders!$E$2:$E$20001,"COD",Orders!$F$2:$F$20001,"Delivered")+COUNTIFS(Orders!$C$2:$C$20001,$A455,Orders!$E$2:$E$20001,"COD",Orders!$F$2:$F$20001,"RTO"))</f>
        <v/>
      </c>
      <c r="C455" s="17" t="str">
        <f aca="false">IF($A455="","",COUNTIFS(Orders!$C$2:$C$20001,$A455,Orders!$E$2:$E$20001,"COD",Orders!$F$2:$F$20001,"RTO"))</f>
        <v/>
      </c>
      <c r="D455" s="18" t="str">
        <f aca="false">IF($A455="","",IFERROR(C455/B455,0))</f>
        <v/>
      </c>
      <c r="E455" s="17" t="str">
        <f aca="false">IF($A455="","",COUNTIFS(Orders!$C$2:$C$20001,$A455,Orders!$E$2:$E$20001,"Prepaid",Orders!$F$2:$F$20001,"Delivered")+COUNTIFS(Orders!$C$2:$C$20001,$A455,Orders!$E$2:$E$20001,"Prepaid",Orders!$F$2:$F$20001,"RTO"))</f>
        <v/>
      </c>
      <c r="F455" s="17" t="str">
        <f aca="false">IF($A455="","",COUNTIFS(Orders!$C$2:$C$20001,$A455,Orders!$E$2:$E$20001,"Prepaid",Orders!$F$2:$F$20001,"RTO"))</f>
        <v/>
      </c>
      <c r="G455" s="18" t="str">
        <f aca="false">IF($A455="","",IFERROR(F455/E455,0))</f>
        <v/>
      </c>
      <c r="H455" s="19" t="str">
        <f aca="false">IF($A455="","",C455*Settings!$B$11)</f>
        <v/>
      </c>
      <c r="I455" s="20" t="str">
        <f aca="false">IF($A455="","",IF(N(H455)=0,"",RANK(H455,$H$5:$H$2004)))</f>
        <v/>
      </c>
      <c r="J455" s="21" t="str">
        <f aca="false">IF($A455="","",IF(B455=0,"No COD orders",IF(B455&lt;Settings!$B$8,"Too few orders",IF(D455&gt;=Settings!$B$9,"Restrict COD or verify","Keep COD"))))</f>
        <v/>
      </c>
    </row>
    <row r="456" customFormat="false" ht="15" hidden="false" customHeight="false" outlineLevel="0" collapsed="false">
      <c r="A456" s="27"/>
      <c r="B456" s="17" t="str">
        <f aca="false">IF($A456="","",COUNTIFS(Orders!$C$2:$C$20001,$A456,Orders!$E$2:$E$20001,"COD",Orders!$F$2:$F$20001,"Delivered")+COUNTIFS(Orders!$C$2:$C$20001,$A456,Orders!$E$2:$E$20001,"COD",Orders!$F$2:$F$20001,"RTO"))</f>
        <v/>
      </c>
      <c r="C456" s="17" t="str">
        <f aca="false">IF($A456="","",COUNTIFS(Orders!$C$2:$C$20001,$A456,Orders!$E$2:$E$20001,"COD",Orders!$F$2:$F$20001,"RTO"))</f>
        <v/>
      </c>
      <c r="D456" s="18" t="str">
        <f aca="false">IF($A456="","",IFERROR(C456/B456,0))</f>
        <v/>
      </c>
      <c r="E456" s="17" t="str">
        <f aca="false">IF($A456="","",COUNTIFS(Orders!$C$2:$C$20001,$A456,Orders!$E$2:$E$20001,"Prepaid",Orders!$F$2:$F$20001,"Delivered")+COUNTIFS(Orders!$C$2:$C$20001,$A456,Orders!$E$2:$E$20001,"Prepaid",Orders!$F$2:$F$20001,"RTO"))</f>
        <v/>
      </c>
      <c r="F456" s="17" t="str">
        <f aca="false">IF($A456="","",COUNTIFS(Orders!$C$2:$C$20001,$A456,Orders!$E$2:$E$20001,"Prepaid",Orders!$F$2:$F$20001,"RTO"))</f>
        <v/>
      </c>
      <c r="G456" s="18" t="str">
        <f aca="false">IF($A456="","",IFERROR(F456/E456,0))</f>
        <v/>
      </c>
      <c r="H456" s="19" t="str">
        <f aca="false">IF($A456="","",C456*Settings!$B$11)</f>
        <v/>
      </c>
      <c r="I456" s="20" t="str">
        <f aca="false">IF($A456="","",IF(N(H456)=0,"",RANK(H456,$H$5:$H$2004)))</f>
        <v/>
      </c>
      <c r="J456" s="21" t="str">
        <f aca="false">IF($A456="","",IF(B456=0,"No COD orders",IF(B456&lt;Settings!$B$8,"Too few orders",IF(D456&gt;=Settings!$B$9,"Restrict COD or verify","Keep COD"))))</f>
        <v/>
      </c>
    </row>
    <row r="457" customFormat="false" ht="15" hidden="false" customHeight="false" outlineLevel="0" collapsed="false">
      <c r="A457" s="27"/>
      <c r="B457" s="17" t="str">
        <f aca="false">IF($A457="","",COUNTIFS(Orders!$C$2:$C$20001,$A457,Orders!$E$2:$E$20001,"COD",Orders!$F$2:$F$20001,"Delivered")+COUNTIFS(Orders!$C$2:$C$20001,$A457,Orders!$E$2:$E$20001,"COD",Orders!$F$2:$F$20001,"RTO"))</f>
        <v/>
      </c>
      <c r="C457" s="17" t="str">
        <f aca="false">IF($A457="","",COUNTIFS(Orders!$C$2:$C$20001,$A457,Orders!$E$2:$E$20001,"COD",Orders!$F$2:$F$20001,"RTO"))</f>
        <v/>
      </c>
      <c r="D457" s="18" t="str">
        <f aca="false">IF($A457="","",IFERROR(C457/B457,0))</f>
        <v/>
      </c>
      <c r="E457" s="17" t="str">
        <f aca="false">IF($A457="","",COUNTIFS(Orders!$C$2:$C$20001,$A457,Orders!$E$2:$E$20001,"Prepaid",Orders!$F$2:$F$20001,"Delivered")+COUNTIFS(Orders!$C$2:$C$20001,$A457,Orders!$E$2:$E$20001,"Prepaid",Orders!$F$2:$F$20001,"RTO"))</f>
        <v/>
      </c>
      <c r="F457" s="17" t="str">
        <f aca="false">IF($A457="","",COUNTIFS(Orders!$C$2:$C$20001,$A457,Orders!$E$2:$E$20001,"Prepaid",Orders!$F$2:$F$20001,"RTO"))</f>
        <v/>
      </c>
      <c r="G457" s="18" t="str">
        <f aca="false">IF($A457="","",IFERROR(F457/E457,0))</f>
        <v/>
      </c>
      <c r="H457" s="19" t="str">
        <f aca="false">IF($A457="","",C457*Settings!$B$11)</f>
        <v/>
      </c>
      <c r="I457" s="20" t="str">
        <f aca="false">IF($A457="","",IF(N(H457)=0,"",RANK(H457,$H$5:$H$2004)))</f>
        <v/>
      </c>
      <c r="J457" s="21" t="str">
        <f aca="false">IF($A457="","",IF(B457=0,"No COD orders",IF(B457&lt;Settings!$B$8,"Too few orders",IF(D457&gt;=Settings!$B$9,"Restrict COD or verify","Keep COD"))))</f>
        <v/>
      </c>
    </row>
    <row r="458" customFormat="false" ht="15" hidden="false" customHeight="false" outlineLevel="0" collapsed="false">
      <c r="A458" s="27"/>
      <c r="B458" s="17" t="str">
        <f aca="false">IF($A458="","",COUNTIFS(Orders!$C$2:$C$20001,$A458,Orders!$E$2:$E$20001,"COD",Orders!$F$2:$F$20001,"Delivered")+COUNTIFS(Orders!$C$2:$C$20001,$A458,Orders!$E$2:$E$20001,"COD",Orders!$F$2:$F$20001,"RTO"))</f>
        <v/>
      </c>
      <c r="C458" s="17" t="str">
        <f aca="false">IF($A458="","",COUNTIFS(Orders!$C$2:$C$20001,$A458,Orders!$E$2:$E$20001,"COD",Orders!$F$2:$F$20001,"RTO"))</f>
        <v/>
      </c>
      <c r="D458" s="18" t="str">
        <f aca="false">IF($A458="","",IFERROR(C458/B458,0))</f>
        <v/>
      </c>
      <c r="E458" s="17" t="str">
        <f aca="false">IF($A458="","",COUNTIFS(Orders!$C$2:$C$20001,$A458,Orders!$E$2:$E$20001,"Prepaid",Orders!$F$2:$F$20001,"Delivered")+COUNTIFS(Orders!$C$2:$C$20001,$A458,Orders!$E$2:$E$20001,"Prepaid",Orders!$F$2:$F$20001,"RTO"))</f>
        <v/>
      </c>
      <c r="F458" s="17" t="str">
        <f aca="false">IF($A458="","",COUNTIFS(Orders!$C$2:$C$20001,$A458,Orders!$E$2:$E$20001,"Prepaid",Orders!$F$2:$F$20001,"RTO"))</f>
        <v/>
      </c>
      <c r="G458" s="18" t="str">
        <f aca="false">IF($A458="","",IFERROR(F458/E458,0))</f>
        <v/>
      </c>
      <c r="H458" s="19" t="str">
        <f aca="false">IF($A458="","",C458*Settings!$B$11)</f>
        <v/>
      </c>
      <c r="I458" s="20" t="str">
        <f aca="false">IF($A458="","",IF(N(H458)=0,"",RANK(H458,$H$5:$H$2004)))</f>
        <v/>
      </c>
      <c r="J458" s="21" t="str">
        <f aca="false">IF($A458="","",IF(B458=0,"No COD orders",IF(B458&lt;Settings!$B$8,"Too few orders",IF(D458&gt;=Settings!$B$9,"Restrict COD or verify","Keep COD"))))</f>
        <v/>
      </c>
    </row>
    <row r="459" customFormat="false" ht="15" hidden="false" customHeight="false" outlineLevel="0" collapsed="false">
      <c r="A459" s="27"/>
      <c r="B459" s="17" t="str">
        <f aca="false">IF($A459="","",COUNTIFS(Orders!$C$2:$C$20001,$A459,Orders!$E$2:$E$20001,"COD",Orders!$F$2:$F$20001,"Delivered")+COUNTIFS(Orders!$C$2:$C$20001,$A459,Orders!$E$2:$E$20001,"COD",Orders!$F$2:$F$20001,"RTO"))</f>
        <v/>
      </c>
      <c r="C459" s="17" t="str">
        <f aca="false">IF($A459="","",COUNTIFS(Orders!$C$2:$C$20001,$A459,Orders!$E$2:$E$20001,"COD",Orders!$F$2:$F$20001,"RTO"))</f>
        <v/>
      </c>
      <c r="D459" s="18" t="str">
        <f aca="false">IF($A459="","",IFERROR(C459/B459,0))</f>
        <v/>
      </c>
      <c r="E459" s="17" t="str">
        <f aca="false">IF($A459="","",COUNTIFS(Orders!$C$2:$C$20001,$A459,Orders!$E$2:$E$20001,"Prepaid",Orders!$F$2:$F$20001,"Delivered")+COUNTIFS(Orders!$C$2:$C$20001,$A459,Orders!$E$2:$E$20001,"Prepaid",Orders!$F$2:$F$20001,"RTO"))</f>
        <v/>
      </c>
      <c r="F459" s="17" t="str">
        <f aca="false">IF($A459="","",COUNTIFS(Orders!$C$2:$C$20001,$A459,Orders!$E$2:$E$20001,"Prepaid",Orders!$F$2:$F$20001,"RTO"))</f>
        <v/>
      </c>
      <c r="G459" s="18" t="str">
        <f aca="false">IF($A459="","",IFERROR(F459/E459,0))</f>
        <v/>
      </c>
      <c r="H459" s="19" t="str">
        <f aca="false">IF($A459="","",C459*Settings!$B$11)</f>
        <v/>
      </c>
      <c r="I459" s="20" t="str">
        <f aca="false">IF($A459="","",IF(N(H459)=0,"",RANK(H459,$H$5:$H$2004)))</f>
        <v/>
      </c>
      <c r="J459" s="21" t="str">
        <f aca="false">IF($A459="","",IF(B459=0,"No COD orders",IF(B459&lt;Settings!$B$8,"Too few orders",IF(D459&gt;=Settings!$B$9,"Restrict COD or verify","Keep COD"))))</f>
        <v/>
      </c>
    </row>
    <row r="460" customFormat="false" ht="15" hidden="false" customHeight="false" outlineLevel="0" collapsed="false">
      <c r="A460" s="27"/>
      <c r="B460" s="17" t="str">
        <f aca="false">IF($A460="","",COUNTIFS(Orders!$C$2:$C$20001,$A460,Orders!$E$2:$E$20001,"COD",Orders!$F$2:$F$20001,"Delivered")+COUNTIFS(Orders!$C$2:$C$20001,$A460,Orders!$E$2:$E$20001,"COD",Orders!$F$2:$F$20001,"RTO"))</f>
        <v/>
      </c>
      <c r="C460" s="17" t="str">
        <f aca="false">IF($A460="","",COUNTIFS(Orders!$C$2:$C$20001,$A460,Orders!$E$2:$E$20001,"COD",Orders!$F$2:$F$20001,"RTO"))</f>
        <v/>
      </c>
      <c r="D460" s="18" t="str">
        <f aca="false">IF($A460="","",IFERROR(C460/B460,0))</f>
        <v/>
      </c>
      <c r="E460" s="17" t="str">
        <f aca="false">IF($A460="","",COUNTIFS(Orders!$C$2:$C$20001,$A460,Orders!$E$2:$E$20001,"Prepaid",Orders!$F$2:$F$20001,"Delivered")+COUNTIFS(Orders!$C$2:$C$20001,$A460,Orders!$E$2:$E$20001,"Prepaid",Orders!$F$2:$F$20001,"RTO"))</f>
        <v/>
      </c>
      <c r="F460" s="17" t="str">
        <f aca="false">IF($A460="","",COUNTIFS(Orders!$C$2:$C$20001,$A460,Orders!$E$2:$E$20001,"Prepaid",Orders!$F$2:$F$20001,"RTO"))</f>
        <v/>
      </c>
      <c r="G460" s="18" t="str">
        <f aca="false">IF($A460="","",IFERROR(F460/E460,0))</f>
        <v/>
      </c>
      <c r="H460" s="19" t="str">
        <f aca="false">IF($A460="","",C460*Settings!$B$11)</f>
        <v/>
      </c>
      <c r="I460" s="20" t="str">
        <f aca="false">IF($A460="","",IF(N(H460)=0,"",RANK(H460,$H$5:$H$2004)))</f>
        <v/>
      </c>
      <c r="J460" s="21" t="str">
        <f aca="false">IF($A460="","",IF(B460=0,"No COD orders",IF(B460&lt;Settings!$B$8,"Too few orders",IF(D460&gt;=Settings!$B$9,"Restrict COD or verify","Keep COD"))))</f>
        <v/>
      </c>
    </row>
    <row r="461" customFormat="false" ht="15" hidden="false" customHeight="false" outlineLevel="0" collapsed="false">
      <c r="A461" s="27"/>
      <c r="B461" s="17" t="str">
        <f aca="false">IF($A461="","",COUNTIFS(Orders!$C$2:$C$20001,$A461,Orders!$E$2:$E$20001,"COD",Orders!$F$2:$F$20001,"Delivered")+COUNTIFS(Orders!$C$2:$C$20001,$A461,Orders!$E$2:$E$20001,"COD",Orders!$F$2:$F$20001,"RTO"))</f>
        <v/>
      </c>
      <c r="C461" s="17" t="str">
        <f aca="false">IF($A461="","",COUNTIFS(Orders!$C$2:$C$20001,$A461,Orders!$E$2:$E$20001,"COD",Orders!$F$2:$F$20001,"RTO"))</f>
        <v/>
      </c>
      <c r="D461" s="18" t="str">
        <f aca="false">IF($A461="","",IFERROR(C461/B461,0))</f>
        <v/>
      </c>
      <c r="E461" s="17" t="str">
        <f aca="false">IF($A461="","",COUNTIFS(Orders!$C$2:$C$20001,$A461,Orders!$E$2:$E$20001,"Prepaid",Orders!$F$2:$F$20001,"Delivered")+COUNTIFS(Orders!$C$2:$C$20001,$A461,Orders!$E$2:$E$20001,"Prepaid",Orders!$F$2:$F$20001,"RTO"))</f>
        <v/>
      </c>
      <c r="F461" s="17" t="str">
        <f aca="false">IF($A461="","",COUNTIFS(Orders!$C$2:$C$20001,$A461,Orders!$E$2:$E$20001,"Prepaid",Orders!$F$2:$F$20001,"RTO"))</f>
        <v/>
      </c>
      <c r="G461" s="18" t="str">
        <f aca="false">IF($A461="","",IFERROR(F461/E461,0))</f>
        <v/>
      </c>
      <c r="H461" s="19" t="str">
        <f aca="false">IF($A461="","",C461*Settings!$B$11)</f>
        <v/>
      </c>
      <c r="I461" s="20" t="str">
        <f aca="false">IF($A461="","",IF(N(H461)=0,"",RANK(H461,$H$5:$H$2004)))</f>
        <v/>
      </c>
      <c r="J461" s="21" t="str">
        <f aca="false">IF($A461="","",IF(B461=0,"No COD orders",IF(B461&lt;Settings!$B$8,"Too few orders",IF(D461&gt;=Settings!$B$9,"Restrict COD or verify","Keep COD"))))</f>
        <v/>
      </c>
    </row>
    <row r="462" customFormat="false" ht="15" hidden="false" customHeight="false" outlineLevel="0" collapsed="false">
      <c r="A462" s="27"/>
      <c r="B462" s="17" t="str">
        <f aca="false">IF($A462="","",COUNTIFS(Orders!$C$2:$C$20001,$A462,Orders!$E$2:$E$20001,"COD",Orders!$F$2:$F$20001,"Delivered")+COUNTIFS(Orders!$C$2:$C$20001,$A462,Orders!$E$2:$E$20001,"COD",Orders!$F$2:$F$20001,"RTO"))</f>
        <v/>
      </c>
      <c r="C462" s="17" t="str">
        <f aca="false">IF($A462="","",COUNTIFS(Orders!$C$2:$C$20001,$A462,Orders!$E$2:$E$20001,"COD",Orders!$F$2:$F$20001,"RTO"))</f>
        <v/>
      </c>
      <c r="D462" s="18" t="str">
        <f aca="false">IF($A462="","",IFERROR(C462/B462,0))</f>
        <v/>
      </c>
      <c r="E462" s="17" t="str">
        <f aca="false">IF($A462="","",COUNTIFS(Orders!$C$2:$C$20001,$A462,Orders!$E$2:$E$20001,"Prepaid",Orders!$F$2:$F$20001,"Delivered")+COUNTIFS(Orders!$C$2:$C$20001,$A462,Orders!$E$2:$E$20001,"Prepaid",Orders!$F$2:$F$20001,"RTO"))</f>
        <v/>
      </c>
      <c r="F462" s="17" t="str">
        <f aca="false">IF($A462="","",COUNTIFS(Orders!$C$2:$C$20001,$A462,Orders!$E$2:$E$20001,"Prepaid",Orders!$F$2:$F$20001,"RTO"))</f>
        <v/>
      </c>
      <c r="G462" s="18" t="str">
        <f aca="false">IF($A462="","",IFERROR(F462/E462,0))</f>
        <v/>
      </c>
      <c r="H462" s="19" t="str">
        <f aca="false">IF($A462="","",C462*Settings!$B$11)</f>
        <v/>
      </c>
      <c r="I462" s="20" t="str">
        <f aca="false">IF($A462="","",IF(N(H462)=0,"",RANK(H462,$H$5:$H$2004)))</f>
        <v/>
      </c>
      <c r="J462" s="21" t="str">
        <f aca="false">IF($A462="","",IF(B462=0,"No COD orders",IF(B462&lt;Settings!$B$8,"Too few orders",IF(D462&gt;=Settings!$B$9,"Restrict COD or verify","Keep COD"))))</f>
        <v/>
      </c>
    </row>
    <row r="463" customFormat="false" ht="15" hidden="false" customHeight="false" outlineLevel="0" collapsed="false">
      <c r="A463" s="27"/>
      <c r="B463" s="17" t="str">
        <f aca="false">IF($A463="","",COUNTIFS(Orders!$C$2:$C$20001,$A463,Orders!$E$2:$E$20001,"COD",Orders!$F$2:$F$20001,"Delivered")+COUNTIFS(Orders!$C$2:$C$20001,$A463,Orders!$E$2:$E$20001,"COD",Orders!$F$2:$F$20001,"RTO"))</f>
        <v/>
      </c>
      <c r="C463" s="17" t="str">
        <f aca="false">IF($A463="","",COUNTIFS(Orders!$C$2:$C$20001,$A463,Orders!$E$2:$E$20001,"COD",Orders!$F$2:$F$20001,"RTO"))</f>
        <v/>
      </c>
      <c r="D463" s="18" t="str">
        <f aca="false">IF($A463="","",IFERROR(C463/B463,0))</f>
        <v/>
      </c>
      <c r="E463" s="17" t="str">
        <f aca="false">IF($A463="","",COUNTIFS(Orders!$C$2:$C$20001,$A463,Orders!$E$2:$E$20001,"Prepaid",Orders!$F$2:$F$20001,"Delivered")+COUNTIFS(Orders!$C$2:$C$20001,$A463,Orders!$E$2:$E$20001,"Prepaid",Orders!$F$2:$F$20001,"RTO"))</f>
        <v/>
      </c>
      <c r="F463" s="17" t="str">
        <f aca="false">IF($A463="","",COUNTIFS(Orders!$C$2:$C$20001,$A463,Orders!$E$2:$E$20001,"Prepaid",Orders!$F$2:$F$20001,"RTO"))</f>
        <v/>
      </c>
      <c r="G463" s="18" t="str">
        <f aca="false">IF($A463="","",IFERROR(F463/E463,0))</f>
        <v/>
      </c>
      <c r="H463" s="19" t="str">
        <f aca="false">IF($A463="","",C463*Settings!$B$11)</f>
        <v/>
      </c>
      <c r="I463" s="20" t="str">
        <f aca="false">IF($A463="","",IF(N(H463)=0,"",RANK(H463,$H$5:$H$2004)))</f>
        <v/>
      </c>
      <c r="J463" s="21" t="str">
        <f aca="false">IF($A463="","",IF(B463=0,"No COD orders",IF(B463&lt;Settings!$B$8,"Too few orders",IF(D463&gt;=Settings!$B$9,"Restrict COD or verify","Keep COD"))))</f>
        <v/>
      </c>
    </row>
    <row r="464" customFormat="false" ht="15" hidden="false" customHeight="false" outlineLevel="0" collapsed="false">
      <c r="A464" s="27"/>
      <c r="B464" s="17" t="str">
        <f aca="false">IF($A464="","",COUNTIFS(Orders!$C$2:$C$20001,$A464,Orders!$E$2:$E$20001,"COD",Orders!$F$2:$F$20001,"Delivered")+COUNTIFS(Orders!$C$2:$C$20001,$A464,Orders!$E$2:$E$20001,"COD",Orders!$F$2:$F$20001,"RTO"))</f>
        <v/>
      </c>
      <c r="C464" s="17" t="str">
        <f aca="false">IF($A464="","",COUNTIFS(Orders!$C$2:$C$20001,$A464,Orders!$E$2:$E$20001,"COD",Orders!$F$2:$F$20001,"RTO"))</f>
        <v/>
      </c>
      <c r="D464" s="18" t="str">
        <f aca="false">IF($A464="","",IFERROR(C464/B464,0))</f>
        <v/>
      </c>
      <c r="E464" s="17" t="str">
        <f aca="false">IF($A464="","",COUNTIFS(Orders!$C$2:$C$20001,$A464,Orders!$E$2:$E$20001,"Prepaid",Orders!$F$2:$F$20001,"Delivered")+COUNTIFS(Orders!$C$2:$C$20001,$A464,Orders!$E$2:$E$20001,"Prepaid",Orders!$F$2:$F$20001,"RTO"))</f>
        <v/>
      </c>
      <c r="F464" s="17" t="str">
        <f aca="false">IF($A464="","",COUNTIFS(Orders!$C$2:$C$20001,$A464,Orders!$E$2:$E$20001,"Prepaid",Orders!$F$2:$F$20001,"RTO"))</f>
        <v/>
      </c>
      <c r="G464" s="18" t="str">
        <f aca="false">IF($A464="","",IFERROR(F464/E464,0))</f>
        <v/>
      </c>
      <c r="H464" s="19" t="str">
        <f aca="false">IF($A464="","",C464*Settings!$B$11)</f>
        <v/>
      </c>
      <c r="I464" s="20" t="str">
        <f aca="false">IF($A464="","",IF(N(H464)=0,"",RANK(H464,$H$5:$H$2004)))</f>
        <v/>
      </c>
      <c r="J464" s="21" t="str">
        <f aca="false">IF($A464="","",IF(B464=0,"No COD orders",IF(B464&lt;Settings!$B$8,"Too few orders",IF(D464&gt;=Settings!$B$9,"Restrict COD or verify","Keep COD"))))</f>
        <v/>
      </c>
    </row>
    <row r="465" customFormat="false" ht="15" hidden="false" customHeight="false" outlineLevel="0" collapsed="false">
      <c r="A465" s="27"/>
      <c r="B465" s="17" t="str">
        <f aca="false">IF($A465="","",COUNTIFS(Orders!$C$2:$C$20001,$A465,Orders!$E$2:$E$20001,"COD",Orders!$F$2:$F$20001,"Delivered")+COUNTIFS(Orders!$C$2:$C$20001,$A465,Orders!$E$2:$E$20001,"COD",Orders!$F$2:$F$20001,"RTO"))</f>
        <v/>
      </c>
      <c r="C465" s="17" t="str">
        <f aca="false">IF($A465="","",COUNTIFS(Orders!$C$2:$C$20001,$A465,Orders!$E$2:$E$20001,"COD",Orders!$F$2:$F$20001,"RTO"))</f>
        <v/>
      </c>
      <c r="D465" s="18" t="str">
        <f aca="false">IF($A465="","",IFERROR(C465/B465,0))</f>
        <v/>
      </c>
      <c r="E465" s="17" t="str">
        <f aca="false">IF($A465="","",COUNTIFS(Orders!$C$2:$C$20001,$A465,Orders!$E$2:$E$20001,"Prepaid",Orders!$F$2:$F$20001,"Delivered")+COUNTIFS(Orders!$C$2:$C$20001,$A465,Orders!$E$2:$E$20001,"Prepaid",Orders!$F$2:$F$20001,"RTO"))</f>
        <v/>
      </c>
      <c r="F465" s="17" t="str">
        <f aca="false">IF($A465="","",COUNTIFS(Orders!$C$2:$C$20001,$A465,Orders!$E$2:$E$20001,"Prepaid",Orders!$F$2:$F$20001,"RTO"))</f>
        <v/>
      </c>
      <c r="G465" s="18" t="str">
        <f aca="false">IF($A465="","",IFERROR(F465/E465,0))</f>
        <v/>
      </c>
      <c r="H465" s="19" t="str">
        <f aca="false">IF($A465="","",C465*Settings!$B$11)</f>
        <v/>
      </c>
      <c r="I465" s="20" t="str">
        <f aca="false">IF($A465="","",IF(N(H465)=0,"",RANK(H465,$H$5:$H$2004)))</f>
        <v/>
      </c>
      <c r="J465" s="21" t="str">
        <f aca="false">IF($A465="","",IF(B465=0,"No COD orders",IF(B465&lt;Settings!$B$8,"Too few orders",IF(D465&gt;=Settings!$B$9,"Restrict COD or verify","Keep COD"))))</f>
        <v/>
      </c>
    </row>
    <row r="466" customFormat="false" ht="15" hidden="false" customHeight="false" outlineLevel="0" collapsed="false">
      <c r="A466" s="27"/>
      <c r="B466" s="17" t="str">
        <f aca="false">IF($A466="","",COUNTIFS(Orders!$C$2:$C$20001,$A466,Orders!$E$2:$E$20001,"COD",Orders!$F$2:$F$20001,"Delivered")+COUNTIFS(Orders!$C$2:$C$20001,$A466,Orders!$E$2:$E$20001,"COD",Orders!$F$2:$F$20001,"RTO"))</f>
        <v/>
      </c>
      <c r="C466" s="17" t="str">
        <f aca="false">IF($A466="","",COUNTIFS(Orders!$C$2:$C$20001,$A466,Orders!$E$2:$E$20001,"COD",Orders!$F$2:$F$20001,"RTO"))</f>
        <v/>
      </c>
      <c r="D466" s="18" t="str">
        <f aca="false">IF($A466="","",IFERROR(C466/B466,0))</f>
        <v/>
      </c>
      <c r="E466" s="17" t="str">
        <f aca="false">IF($A466="","",COUNTIFS(Orders!$C$2:$C$20001,$A466,Orders!$E$2:$E$20001,"Prepaid",Orders!$F$2:$F$20001,"Delivered")+COUNTIFS(Orders!$C$2:$C$20001,$A466,Orders!$E$2:$E$20001,"Prepaid",Orders!$F$2:$F$20001,"RTO"))</f>
        <v/>
      </c>
      <c r="F466" s="17" t="str">
        <f aca="false">IF($A466="","",COUNTIFS(Orders!$C$2:$C$20001,$A466,Orders!$E$2:$E$20001,"Prepaid",Orders!$F$2:$F$20001,"RTO"))</f>
        <v/>
      </c>
      <c r="G466" s="18" t="str">
        <f aca="false">IF($A466="","",IFERROR(F466/E466,0))</f>
        <v/>
      </c>
      <c r="H466" s="19" t="str">
        <f aca="false">IF($A466="","",C466*Settings!$B$11)</f>
        <v/>
      </c>
      <c r="I466" s="20" t="str">
        <f aca="false">IF($A466="","",IF(N(H466)=0,"",RANK(H466,$H$5:$H$2004)))</f>
        <v/>
      </c>
      <c r="J466" s="21" t="str">
        <f aca="false">IF($A466="","",IF(B466=0,"No COD orders",IF(B466&lt;Settings!$B$8,"Too few orders",IF(D466&gt;=Settings!$B$9,"Restrict COD or verify","Keep COD"))))</f>
        <v/>
      </c>
    </row>
    <row r="467" customFormat="false" ht="15" hidden="false" customHeight="false" outlineLevel="0" collapsed="false">
      <c r="A467" s="27"/>
      <c r="B467" s="17" t="str">
        <f aca="false">IF($A467="","",COUNTIFS(Orders!$C$2:$C$20001,$A467,Orders!$E$2:$E$20001,"COD",Orders!$F$2:$F$20001,"Delivered")+COUNTIFS(Orders!$C$2:$C$20001,$A467,Orders!$E$2:$E$20001,"COD",Orders!$F$2:$F$20001,"RTO"))</f>
        <v/>
      </c>
      <c r="C467" s="17" t="str">
        <f aca="false">IF($A467="","",COUNTIFS(Orders!$C$2:$C$20001,$A467,Orders!$E$2:$E$20001,"COD",Orders!$F$2:$F$20001,"RTO"))</f>
        <v/>
      </c>
      <c r="D467" s="18" t="str">
        <f aca="false">IF($A467="","",IFERROR(C467/B467,0))</f>
        <v/>
      </c>
      <c r="E467" s="17" t="str">
        <f aca="false">IF($A467="","",COUNTIFS(Orders!$C$2:$C$20001,$A467,Orders!$E$2:$E$20001,"Prepaid",Orders!$F$2:$F$20001,"Delivered")+COUNTIFS(Orders!$C$2:$C$20001,$A467,Orders!$E$2:$E$20001,"Prepaid",Orders!$F$2:$F$20001,"RTO"))</f>
        <v/>
      </c>
      <c r="F467" s="17" t="str">
        <f aca="false">IF($A467="","",COUNTIFS(Orders!$C$2:$C$20001,$A467,Orders!$E$2:$E$20001,"Prepaid",Orders!$F$2:$F$20001,"RTO"))</f>
        <v/>
      </c>
      <c r="G467" s="18" t="str">
        <f aca="false">IF($A467="","",IFERROR(F467/E467,0))</f>
        <v/>
      </c>
      <c r="H467" s="19" t="str">
        <f aca="false">IF($A467="","",C467*Settings!$B$11)</f>
        <v/>
      </c>
      <c r="I467" s="20" t="str">
        <f aca="false">IF($A467="","",IF(N(H467)=0,"",RANK(H467,$H$5:$H$2004)))</f>
        <v/>
      </c>
      <c r="J467" s="21" t="str">
        <f aca="false">IF($A467="","",IF(B467=0,"No COD orders",IF(B467&lt;Settings!$B$8,"Too few orders",IF(D467&gt;=Settings!$B$9,"Restrict COD or verify","Keep COD"))))</f>
        <v/>
      </c>
    </row>
    <row r="468" customFormat="false" ht="15" hidden="false" customHeight="false" outlineLevel="0" collapsed="false">
      <c r="A468" s="27"/>
      <c r="B468" s="17" t="str">
        <f aca="false">IF($A468="","",COUNTIFS(Orders!$C$2:$C$20001,$A468,Orders!$E$2:$E$20001,"COD",Orders!$F$2:$F$20001,"Delivered")+COUNTIFS(Orders!$C$2:$C$20001,$A468,Orders!$E$2:$E$20001,"COD",Orders!$F$2:$F$20001,"RTO"))</f>
        <v/>
      </c>
      <c r="C468" s="17" t="str">
        <f aca="false">IF($A468="","",COUNTIFS(Orders!$C$2:$C$20001,$A468,Orders!$E$2:$E$20001,"COD",Orders!$F$2:$F$20001,"RTO"))</f>
        <v/>
      </c>
      <c r="D468" s="18" t="str">
        <f aca="false">IF($A468="","",IFERROR(C468/B468,0))</f>
        <v/>
      </c>
      <c r="E468" s="17" t="str">
        <f aca="false">IF($A468="","",COUNTIFS(Orders!$C$2:$C$20001,$A468,Orders!$E$2:$E$20001,"Prepaid",Orders!$F$2:$F$20001,"Delivered")+COUNTIFS(Orders!$C$2:$C$20001,$A468,Orders!$E$2:$E$20001,"Prepaid",Orders!$F$2:$F$20001,"RTO"))</f>
        <v/>
      </c>
      <c r="F468" s="17" t="str">
        <f aca="false">IF($A468="","",COUNTIFS(Orders!$C$2:$C$20001,$A468,Orders!$E$2:$E$20001,"Prepaid",Orders!$F$2:$F$20001,"RTO"))</f>
        <v/>
      </c>
      <c r="G468" s="18" t="str">
        <f aca="false">IF($A468="","",IFERROR(F468/E468,0))</f>
        <v/>
      </c>
      <c r="H468" s="19" t="str">
        <f aca="false">IF($A468="","",C468*Settings!$B$11)</f>
        <v/>
      </c>
      <c r="I468" s="20" t="str">
        <f aca="false">IF($A468="","",IF(N(H468)=0,"",RANK(H468,$H$5:$H$2004)))</f>
        <v/>
      </c>
      <c r="J468" s="21" t="str">
        <f aca="false">IF($A468="","",IF(B468=0,"No COD orders",IF(B468&lt;Settings!$B$8,"Too few orders",IF(D468&gt;=Settings!$B$9,"Restrict COD or verify","Keep COD"))))</f>
        <v/>
      </c>
    </row>
    <row r="469" customFormat="false" ht="15" hidden="false" customHeight="false" outlineLevel="0" collapsed="false">
      <c r="A469" s="27"/>
      <c r="B469" s="17" t="str">
        <f aca="false">IF($A469="","",COUNTIFS(Orders!$C$2:$C$20001,$A469,Orders!$E$2:$E$20001,"COD",Orders!$F$2:$F$20001,"Delivered")+COUNTIFS(Orders!$C$2:$C$20001,$A469,Orders!$E$2:$E$20001,"COD",Orders!$F$2:$F$20001,"RTO"))</f>
        <v/>
      </c>
      <c r="C469" s="17" t="str">
        <f aca="false">IF($A469="","",COUNTIFS(Orders!$C$2:$C$20001,$A469,Orders!$E$2:$E$20001,"COD",Orders!$F$2:$F$20001,"RTO"))</f>
        <v/>
      </c>
      <c r="D469" s="18" t="str">
        <f aca="false">IF($A469="","",IFERROR(C469/B469,0))</f>
        <v/>
      </c>
      <c r="E469" s="17" t="str">
        <f aca="false">IF($A469="","",COUNTIFS(Orders!$C$2:$C$20001,$A469,Orders!$E$2:$E$20001,"Prepaid",Orders!$F$2:$F$20001,"Delivered")+COUNTIFS(Orders!$C$2:$C$20001,$A469,Orders!$E$2:$E$20001,"Prepaid",Orders!$F$2:$F$20001,"RTO"))</f>
        <v/>
      </c>
      <c r="F469" s="17" t="str">
        <f aca="false">IF($A469="","",COUNTIFS(Orders!$C$2:$C$20001,$A469,Orders!$E$2:$E$20001,"Prepaid",Orders!$F$2:$F$20001,"RTO"))</f>
        <v/>
      </c>
      <c r="G469" s="18" t="str">
        <f aca="false">IF($A469="","",IFERROR(F469/E469,0))</f>
        <v/>
      </c>
      <c r="H469" s="19" t="str">
        <f aca="false">IF($A469="","",C469*Settings!$B$11)</f>
        <v/>
      </c>
      <c r="I469" s="20" t="str">
        <f aca="false">IF($A469="","",IF(N(H469)=0,"",RANK(H469,$H$5:$H$2004)))</f>
        <v/>
      </c>
      <c r="J469" s="21" t="str">
        <f aca="false">IF($A469="","",IF(B469=0,"No COD orders",IF(B469&lt;Settings!$B$8,"Too few orders",IF(D469&gt;=Settings!$B$9,"Restrict COD or verify","Keep COD"))))</f>
        <v/>
      </c>
    </row>
    <row r="470" customFormat="false" ht="15" hidden="false" customHeight="false" outlineLevel="0" collapsed="false">
      <c r="A470" s="27"/>
      <c r="B470" s="17" t="str">
        <f aca="false">IF($A470="","",COUNTIFS(Orders!$C$2:$C$20001,$A470,Orders!$E$2:$E$20001,"COD",Orders!$F$2:$F$20001,"Delivered")+COUNTIFS(Orders!$C$2:$C$20001,$A470,Orders!$E$2:$E$20001,"COD",Orders!$F$2:$F$20001,"RTO"))</f>
        <v/>
      </c>
      <c r="C470" s="17" t="str">
        <f aca="false">IF($A470="","",COUNTIFS(Orders!$C$2:$C$20001,$A470,Orders!$E$2:$E$20001,"COD",Orders!$F$2:$F$20001,"RTO"))</f>
        <v/>
      </c>
      <c r="D470" s="18" t="str">
        <f aca="false">IF($A470="","",IFERROR(C470/B470,0))</f>
        <v/>
      </c>
      <c r="E470" s="17" t="str">
        <f aca="false">IF($A470="","",COUNTIFS(Orders!$C$2:$C$20001,$A470,Orders!$E$2:$E$20001,"Prepaid",Orders!$F$2:$F$20001,"Delivered")+COUNTIFS(Orders!$C$2:$C$20001,$A470,Orders!$E$2:$E$20001,"Prepaid",Orders!$F$2:$F$20001,"RTO"))</f>
        <v/>
      </c>
      <c r="F470" s="17" t="str">
        <f aca="false">IF($A470="","",COUNTIFS(Orders!$C$2:$C$20001,$A470,Orders!$E$2:$E$20001,"Prepaid",Orders!$F$2:$F$20001,"RTO"))</f>
        <v/>
      </c>
      <c r="G470" s="18" t="str">
        <f aca="false">IF($A470="","",IFERROR(F470/E470,0))</f>
        <v/>
      </c>
      <c r="H470" s="19" t="str">
        <f aca="false">IF($A470="","",C470*Settings!$B$11)</f>
        <v/>
      </c>
      <c r="I470" s="20" t="str">
        <f aca="false">IF($A470="","",IF(N(H470)=0,"",RANK(H470,$H$5:$H$2004)))</f>
        <v/>
      </c>
      <c r="J470" s="21" t="str">
        <f aca="false">IF($A470="","",IF(B470=0,"No COD orders",IF(B470&lt;Settings!$B$8,"Too few orders",IF(D470&gt;=Settings!$B$9,"Restrict COD or verify","Keep COD"))))</f>
        <v/>
      </c>
    </row>
    <row r="471" customFormat="false" ht="15" hidden="false" customHeight="false" outlineLevel="0" collapsed="false">
      <c r="A471" s="27"/>
      <c r="B471" s="17" t="str">
        <f aca="false">IF($A471="","",COUNTIFS(Orders!$C$2:$C$20001,$A471,Orders!$E$2:$E$20001,"COD",Orders!$F$2:$F$20001,"Delivered")+COUNTIFS(Orders!$C$2:$C$20001,$A471,Orders!$E$2:$E$20001,"COD",Orders!$F$2:$F$20001,"RTO"))</f>
        <v/>
      </c>
      <c r="C471" s="17" t="str">
        <f aca="false">IF($A471="","",COUNTIFS(Orders!$C$2:$C$20001,$A471,Orders!$E$2:$E$20001,"COD",Orders!$F$2:$F$20001,"RTO"))</f>
        <v/>
      </c>
      <c r="D471" s="18" t="str">
        <f aca="false">IF($A471="","",IFERROR(C471/B471,0))</f>
        <v/>
      </c>
      <c r="E471" s="17" t="str">
        <f aca="false">IF($A471="","",COUNTIFS(Orders!$C$2:$C$20001,$A471,Orders!$E$2:$E$20001,"Prepaid",Orders!$F$2:$F$20001,"Delivered")+COUNTIFS(Orders!$C$2:$C$20001,$A471,Orders!$E$2:$E$20001,"Prepaid",Orders!$F$2:$F$20001,"RTO"))</f>
        <v/>
      </c>
      <c r="F471" s="17" t="str">
        <f aca="false">IF($A471="","",COUNTIFS(Orders!$C$2:$C$20001,$A471,Orders!$E$2:$E$20001,"Prepaid",Orders!$F$2:$F$20001,"RTO"))</f>
        <v/>
      </c>
      <c r="G471" s="18" t="str">
        <f aca="false">IF($A471="","",IFERROR(F471/E471,0))</f>
        <v/>
      </c>
      <c r="H471" s="19" t="str">
        <f aca="false">IF($A471="","",C471*Settings!$B$11)</f>
        <v/>
      </c>
      <c r="I471" s="20" t="str">
        <f aca="false">IF($A471="","",IF(N(H471)=0,"",RANK(H471,$H$5:$H$2004)))</f>
        <v/>
      </c>
      <c r="J471" s="21" t="str">
        <f aca="false">IF($A471="","",IF(B471=0,"No COD orders",IF(B471&lt;Settings!$B$8,"Too few orders",IF(D471&gt;=Settings!$B$9,"Restrict COD or verify","Keep COD"))))</f>
        <v/>
      </c>
    </row>
    <row r="472" customFormat="false" ht="15" hidden="false" customHeight="false" outlineLevel="0" collapsed="false">
      <c r="A472" s="27"/>
      <c r="B472" s="17" t="str">
        <f aca="false">IF($A472="","",COUNTIFS(Orders!$C$2:$C$20001,$A472,Orders!$E$2:$E$20001,"COD",Orders!$F$2:$F$20001,"Delivered")+COUNTIFS(Orders!$C$2:$C$20001,$A472,Orders!$E$2:$E$20001,"COD",Orders!$F$2:$F$20001,"RTO"))</f>
        <v/>
      </c>
      <c r="C472" s="17" t="str">
        <f aca="false">IF($A472="","",COUNTIFS(Orders!$C$2:$C$20001,$A472,Orders!$E$2:$E$20001,"COD",Orders!$F$2:$F$20001,"RTO"))</f>
        <v/>
      </c>
      <c r="D472" s="18" t="str">
        <f aca="false">IF($A472="","",IFERROR(C472/B472,0))</f>
        <v/>
      </c>
      <c r="E472" s="17" t="str">
        <f aca="false">IF($A472="","",COUNTIFS(Orders!$C$2:$C$20001,$A472,Orders!$E$2:$E$20001,"Prepaid",Orders!$F$2:$F$20001,"Delivered")+COUNTIFS(Orders!$C$2:$C$20001,$A472,Orders!$E$2:$E$20001,"Prepaid",Orders!$F$2:$F$20001,"RTO"))</f>
        <v/>
      </c>
      <c r="F472" s="17" t="str">
        <f aca="false">IF($A472="","",COUNTIFS(Orders!$C$2:$C$20001,$A472,Orders!$E$2:$E$20001,"Prepaid",Orders!$F$2:$F$20001,"RTO"))</f>
        <v/>
      </c>
      <c r="G472" s="18" t="str">
        <f aca="false">IF($A472="","",IFERROR(F472/E472,0))</f>
        <v/>
      </c>
      <c r="H472" s="19" t="str">
        <f aca="false">IF($A472="","",C472*Settings!$B$11)</f>
        <v/>
      </c>
      <c r="I472" s="20" t="str">
        <f aca="false">IF($A472="","",IF(N(H472)=0,"",RANK(H472,$H$5:$H$2004)))</f>
        <v/>
      </c>
      <c r="J472" s="21" t="str">
        <f aca="false">IF($A472="","",IF(B472=0,"No COD orders",IF(B472&lt;Settings!$B$8,"Too few orders",IF(D472&gt;=Settings!$B$9,"Restrict COD or verify","Keep COD"))))</f>
        <v/>
      </c>
    </row>
    <row r="473" customFormat="false" ht="15" hidden="false" customHeight="false" outlineLevel="0" collapsed="false">
      <c r="A473" s="27"/>
      <c r="B473" s="17" t="str">
        <f aca="false">IF($A473="","",COUNTIFS(Orders!$C$2:$C$20001,$A473,Orders!$E$2:$E$20001,"COD",Orders!$F$2:$F$20001,"Delivered")+COUNTIFS(Orders!$C$2:$C$20001,$A473,Orders!$E$2:$E$20001,"COD",Orders!$F$2:$F$20001,"RTO"))</f>
        <v/>
      </c>
      <c r="C473" s="17" t="str">
        <f aca="false">IF($A473="","",COUNTIFS(Orders!$C$2:$C$20001,$A473,Orders!$E$2:$E$20001,"COD",Orders!$F$2:$F$20001,"RTO"))</f>
        <v/>
      </c>
      <c r="D473" s="18" t="str">
        <f aca="false">IF($A473="","",IFERROR(C473/B473,0))</f>
        <v/>
      </c>
      <c r="E473" s="17" t="str">
        <f aca="false">IF($A473="","",COUNTIFS(Orders!$C$2:$C$20001,$A473,Orders!$E$2:$E$20001,"Prepaid",Orders!$F$2:$F$20001,"Delivered")+COUNTIFS(Orders!$C$2:$C$20001,$A473,Orders!$E$2:$E$20001,"Prepaid",Orders!$F$2:$F$20001,"RTO"))</f>
        <v/>
      </c>
      <c r="F473" s="17" t="str">
        <f aca="false">IF($A473="","",COUNTIFS(Orders!$C$2:$C$20001,$A473,Orders!$E$2:$E$20001,"Prepaid",Orders!$F$2:$F$20001,"RTO"))</f>
        <v/>
      </c>
      <c r="G473" s="18" t="str">
        <f aca="false">IF($A473="","",IFERROR(F473/E473,0))</f>
        <v/>
      </c>
      <c r="H473" s="19" t="str">
        <f aca="false">IF($A473="","",C473*Settings!$B$11)</f>
        <v/>
      </c>
      <c r="I473" s="20" t="str">
        <f aca="false">IF($A473="","",IF(N(H473)=0,"",RANK(H473,$H$5:$H$2004)))</f>
        <v/>
      </c>
      <c r="J473" s="21" t="str">
        <f aca="false">IF($A473="","",IF(B473=0,"No COD orders",IF(B473&lt;Settings!$B$8,"Too few orders",IF(D473&gt;=Settings!$B$9,"Restrict COD or verify","Keep COD"))))</f>
        <v/>
      </c>
    </row>
    <row r="474" customFormat="false" ht="15" hidden="false" customHeight="false" outlineLevel="0" collapsed="false">
      <c r="A474" s="27"/>
      <c r="B474" s="17" t="str">
        <f aca="false">IF($A474="","",COUNTIFS(Orders!$C$2:$C$20001,$A474,Orders!$E$2:$E$20001,"COD",Orders!$F$2:$F$20001,"Delivered")+COUNTIFS(Orders!$C$2:$C$20001,$A474,Orders!$E$2:$E$20001,"COD",Orders!$F$2:$F$20001,"RTO"))</f>
        <v/>
      </c>
      <c r="C474" s="17" t="str">
        <f aca="false">IF($A474="","",COUNTIFS(Orders!$C$2:$C$20001,$A474,Orders!$E$2:$E$20001,"COD",Orders!$F$2:$F$20001,"RTO"))</f>
        <v/>
      </c>
      <c r="D474" s="18" t="str">
        <f aca="false">IF($A474="","",IFERROR(C474/B474,0))</f>
        <v/>
      </c>
      <c r="E474" s="17" t="str">
        <f aca="false">IF($A474="","",COUNTIFS(Orders!$C$2:$C$20001,$A474,Orders!$E$2:$E$20001,"Prepaid",Orders!$F$2:$F$20001,"Delivered")+COUNTIFS(Orders!$C$2:$C$20001,$A474,Orders!$E$2:$E$20001,"Prepaid",Orders!$F$2:$F$20001,"RTO"))</f>
        <v/>
      </c>
      <c r="F474" s="17" t="str">
        <f aca="false">IF($A474="","",COUNTIFS(Orders!$C$2:$C$20001,$A474,Orders!$E$2:$E$20001,"Prepaid",Orders!$F$2:$F$20001,"RTO"))</f>
        <v/>
      </c>
      <c r="G474" s="18" t="str">
        <f aca="false">IF($A474="","",IFERROR(F474/E474,0))</f>
        <v/>
      </c>
      <c r="H474" s="19" t="str">
        <f aca="false">IF($A474="","",C474*Settings!$B$11)</f>
        <v/>
      </c>
      <c r="I474" s="20" t="str">
        <f aca="false">IF($A474="","",IF(N(H474)=0,"",RANK(H474,$H$5:$H$2004)))</f>
        <v/>
      </c>
      <c r="J474" s="21" t="str">
        <f aca="false">IF($A474="","",IF(B474=0,"No COD orders",IF(B474&lt;Settings!$B$8,"Too few orders",IF(D474&gt;=Settings!$B$9,"Restrict COD or verify","Keep COD"))))</f>
        <v/>
      </c>
    </row>
    <row r="475" customFormat="false" ht="15" hidden="false" customHeight="false" outlineLevel="0" collapsed="false">
      <c r="A475" s="27"/>
      <c r="B475" s="17" t="str">
        <f aca="false">IF($A475="","",COUNTIFS(Orders!$C$2:$C$20001,$A475,Orders!$E$2:$E$20001,"COD",Orders!$F$2:$F$20001,"Delivered")+COUNTIFS(Orders!$C$2:$C$20001,$A475,Orders!$E$2:$E$20001,"COD",Orders!$F$2:$F$20001,"RTO"))</f>
        <v/>
      </c>
      <c r="C475" s="17" t="str">
        <f aca="false">IF($A475="","",COUNTIFS(Orders!$C$2:$C$20001,$A475,Orders!$E$2:$E$20001,"COD",Orders!$F$2:$F$20001,"RTO"))</f>
        <v/>
      </c>
      <c r="D475" s="18" t="str">
        <f aca="false">IF($A475="","",IFERROR(C475/B475,0))</f>
        <v/>
      </c>
      <c r="E475" s="17" t="str">
        <f aca="false">IF($A475="","",COUNTIFS(Orders!$C$2:$C$20001,$A475,Orders!$E$2:$E$20001,"Prepaid",Orders!$F$2:$F$20001,"Delivered")+COUNTIFS(Orders!$C$2:$C$20001,$A475,Orders!$E$2:$E$20001,"Prepaid",Orders!$F$2:$F$20001,"RTO"))</f>
        <v/>
      </c>
      <c r="F475" s="17" t="str">
        <f aca="false">IF($A475="","",COUNTIFS(Orders!$C$2:$C$20001,$A475,Orders!$E$2:$E$20001,"Prepaid",Orders!$F$2:$F$20001,"RTO"))</f>
        <v/>
      </c>
      <c r="G475" s="18" t="str">
        <f aca="false">IF($A475="","",IFERROR(F475/E475,0))</f>
        <v/>
      </c>
      <c r="H475" s="19" t="str">
        <f aca="false">IF($A475="","",C475*Settings!$B$11)</f>
        <v/>
      </c>
      <c r="I475" s="20" t="str">
        <f aca="false">IF($A475="","",IF(N(H475)=0,"",RANK(H475,$H$5:$H$2004)))</f>
        <v/>
      </c>
      <c r="J475" s="21" t="str">
        <f aca="false">IF($A475="","",IF(B475=0,"No COD orders",IF(B475&lt;Settings!$B$8,"Too few orders",IF(D475&gt;=Settings!$B$9,"Restrict COD or verify","Keep COD"))))</f>
        <v/>
      </c>
    </row>
    <row r="476" customFormat="false" ht="15" hidden="false" customHeight="false" outlineLevel="0" collapsed="false">
      <c r="A476" s="27"/>
      <c r="B476" s="17" t="str">
        <f aca="false">IF($A476="","",COUNTIFS(Orders!$C$2:$C$20001,$A476,Orders!$E$2:$E$20001,"COD",Orders!$F$2:$F$20001,"Delivered")+COUNTIFS(Orders!$C$2:$C$20001,$A476,Orders!$E$2:$E$20001,"COD",Orders!$F$2:$F$20001,"RTO"))</f>
        <v/>
      </c>
      <c r="C476" s="17" t="str">
        <f aca="false">IF($A476="","",COUNTIFS(Orders!$C$2:$C$20001,$A476,Orders!$E$2:$E$20001,"COD",Orders!$F$2:$F$20001,"RTO"))</f>
        <v/>
      </c>
      <c r="D476" s="18" t="str">
        <f aca="false">IF($A476="","",IFERROR(C476/B476,0))</f>
        <v/>
      </c>
      <c r="E476" s="17" t="str">
        <f aca="false">IF($A476="","",COUNTIFS(Orders!$C$2:$C$20001,$A476,Orders!$E$2:$E$20001,"Prepaid",Orders!$F$2:$F$20001,"Delivered")+COUNTIFS(Orders!$C$2:$C$20001,$A476,Orders!$E$2:$E$20001,"Prepaid",Orders!$F$2:$F$20001,"RTO"))</f>
        <v/>
      </c>
      <c r="F476" s="17" t="str">
        <f aca="false">IF($A476="","",COUNTIFS(Orders!$C$2:$C$20001,$A476,Orders!$E$2:$E$20001,"Prepaid",Orders!$F$2:$F$20001,"RTO"))</f>
        <v/>
      </c>
      <c r="G476" s="18" t="str">
        <f aca="false">IF($A476="","",IFERROR(F476/E476,0))</f>
        <v/>
      </c>
      <c r="H476" s="19" t="str">
        <f aca="false">IF($A476="","",C476*Settings!$B$11)</f>
        <v/>
      </c>
      <c r="I476" s="20" t="str">
        <f aca="false">IF($A476="","",IF(N(H476)=0,"",RANK(H476,$H$5:$H$2004)))</f>
        <v/>
      </c>
      <c r="J476" s="21" t="str">
        <f aca="false">IF($A476="","",IF(B476=0,"No COD orders",IF(B476&lt;Settings!$B$8,"Too few orders",IF(D476&gt;=Settings!$B$9,"Restrict COD or verify","Keep COD"))))</f>
        <v/>
      </c>
    </row>
    <row r="477" customFormat="false" ht="15" hidden="false" customHeight="false" outlineLevel="0" collapsed="false">
      <c r="A477" s="27"/>
      <c r="B477" s="17" t="str">
        <f aca="false">IF($A477="","",COUNTIFS(Orders!$C$2:$C$20001,$A477,Orders!$E$2:$E$20001,"COD",Orders!$F$2:$F$20001,"Delivered")+COUNTIFS(Orders!$C$2:$C$20001,$A477,Orders!$E$2:$E$20001,"COD",Orders!$F$2:$F$20001,"RTO"))</f>
        <v/>
      </c>
      <c r="C477" s="17" t="str">
        <f aca="false">IF($A477="","",COUNTIFS(Orders!$C$2:$C$20001,$A477,Orders!$E$2:$E$20001,"COD",Orders!$F$2:$F$20001,"RTO"))</f>
        <v/>
      </c>
      <c r="D477" s="18" t="str">
        <f aca="false">IF($A477="","",IFERROR(C477/B477,0))</f>
        <v/>
      </c>
      <c r="E477" s="17" t="str">
        <f aca="false">IF($A477="","",COUNTIFS(Orders!$C$2:$C$20001,$A477,Orders!$E$2:$E$20001,"Prepaid",Orders!$F$2:$F$20001,"Delivered")+COUNTIFS(Orders!$C$2:$C$20001,$A477,Orders!$E$2:$E$20001,"Prepaid",Orders!$F$2:$F$20001,"RTO"))</f>
        <v/>
      </c>
      <c r="F477" s="17" t="str">
        <f aca="false">IF($A477="","",COUNTIFS(Orders!$C$2:$C$20001,$A477,Orders!$E$2:$E$20001,"Prepaid",Orders!$F$2:$F$20001,"RTO"))</f>
        <v/>
      </c>
      <c r="G477" s="18" t="str">
        <f aca="false">IF($A477="","",IFERROR(F477/E477,0))</f>
        <v/>
      </c>
      <c r="H477" s="19" t="str">
        <f aca="false">IF($A477="","",C477*Settings!$B$11)</f>
        <v/>
      </c>
      <c r="I477" s="20" t="str">
        <f aca="false">IF($A477="","",IF(N(H477)=0,"",RANK(H477,$H$5:$H$2004)))</f>
        <v/>
      </c>
      <c r="J477" s="21" t="str">
        <f aca="false">IF($A477="","",IF(B477=0,"No COD orders",IF(B477&lt;Settings!$B$8,"Too few orders",IF(D477&gt;=Settings!$B$9,"Restrict COD or verify","Keep COD"))))</f>
        <v/>
      </c>
    </row>
    <row r="478" customFormat="false" ht="15" hidden="false" customHeight="false" outlineLevel="0" collapsed="false">
      <c r="A478" s="27"/>
      <c r="B478" s="17" t="str">
        <f aca="false">IF($A478="","",COUNTIFS(Orders!$C$2:$C$20001,$A478,Orders!$E$2:$E$20001,"COD",Orders!$F$2:$F$20001,"Delivered")+COUNTIFS(Orders!$C$2:$C$20001,$A478,Orders!$E$2:$E$20001,"COD",Orders!$F$2:$F$20001,"RTO"))</f>
        <v/>
      </c>
      <c r="C478" s="17" t="str">
        <f aca="false">IF($A478="","",COUNTIFS(Orders!$C$2:$C$20001,$A478,Orders!$E$2:$E$20001,"COD",Orders!$F$2:$F$20001,"RTO"))</f>
        <v/>
      </c>
      <c r="D478" s="18" t="str">
        <f aca="false">IF($A478="","",IFERROR(C478/B478,0))</f>
        <v/>
      </c>
      <c r="E478" s="17" t="str">
        <f aca="false">IF($A478="","",COUNTIFS(Orders!$C$2:$C$20001,$A478,Orders!$E$2:$E$20001,"Prepaid",Orders!$F$2:$F$20001,"Delivered")+COUNTIFS(Orders!$C$2:$C$20001,$A478,Orders!$E$2:$E$20001,"Prepaid",Orders!$F$2:$F$20001,"RTO"))</f>
        <v/>
      </c>
      <c r="F478" s="17" t="str">
        <f aca="false">IF($A478="","",COUNTIFS(Orders!$C$2:$C$20001,$A478,Orders!$E$2:$E$20001,"Prepaid",Orders!$F$2:$F$20001,"RTO"))</f>
        <v/>
      </c>
      <c r="G478" s="18" t="str">
        <f aca="false">IF($A478="","",IFERROR(F478/E478,0))</f>
        <v/>
      </c>
      <c r="H478" s="19" t="str">
        <f aca="false">IF($A478="","",C478*Settings!$B$11)</f>
        <v/>
      </c>
      <c r="I478" s="20" t="str">
        <f aca="false">IF($A478="","",IF(N(H478)=0,"",RANK(H478,$H$5:$H$2004)))</f>
        <v/>
      </c>
      <c r="J478" s="21" t="str">
        <f aca="false">IF($A478="","",IF(B478=0,"No COD orders",IF(B478&lt;Settings!$B$8,"Too few orders",IF(D478&gt;=Settings!$B$9,"Restrict COD or verify","Keep COD"))))</f>
        <v/>
      </c>
    </row>
    <row r="479" customFormat="false" ht="15" hidden="false" customHeight="false" outlineLevel="0" collapsed="false">
      <c r="A479" s="27"/>
      <c r="B479" s="17" t="str">
        <f aca="false">IF($A479="","",COUNTIFS(Orders!$C$2:$C$20001,$A479,Orders!$E$2:$E$20001,"COD",Orders!$F$2:$F$20001,"Delivered")+COUNTIFS(Orders!$C$2:$C$20001,$A479,Orders!$E$2:$E$20001,"COD",Orders!$F$2:$F$20001,"RTO"))</f>
        <v/>
      </c>
      <c r="C479" s="17" t="str">
        <f aca="false">IF($A479="","",COUNTIFS(Orders!$C$2:$C$20001,$A479,Orders!$E$2:$E$20001,"COD",Orders!$F$2:$F$20001,"RTO"))</f>
        <v/>
      </c>
      <c r="D479" s="18" t="str">
        <f aca="false">IF($A479="","",IFERROR(C479/B479,0))</f>
        <v/>
      </c>
      <c r="E479" s="17" t="str">
        <f aca="false">IF($A479="","",COUNTIFS(Orders!$C$2:$C$20001,$A479,Orders!$E$2:$E$20001,"Prepaid",Orders!$F$2:$F$20001,"Delivered")+COUNTIFS(Orders!$C$2:$C$20001,$A479,Orders!$E$2:$E$20001,"Prepaid",Orders!$F$2:$F$20001,"RTO"))</f>
        <v/>
      </c>
      <c r="F479" s="17" t="str">
        <f aca="false">IF($A479="","",COUNTIFS(Orders!$C$2:$C$20001,$A479,Orders!$E$2:$E$20001,"Prepaid",Orders!$F$2:$F$20001,"RTO"))</f>
        <v/>
      </c>
      <c r="G479" s="18" t="str">
        <f aca="false">IF($A479="","",IFERROR(F479/E479,0))</f>
        <v/>
      </c>
      <c r="H479" s="19" t="str">
        <f aca="false">IF($A479="","",C479*Settings!$B$11)</f>
        <v/>
      </c>
      <c r="I479" s="20" t="str">
        <f aca="false">IF($A479="","",IF(N(H479)=0,"",RANK(H479,$H$5:$H$2004)))</f>
        <v/>
      </c>
      <c r="J479" s="21" t="str">
        <f aca="false">IF($A479="","",IF(B479=0,"No COD orders",IF(B479&lt;Settings!$B$8,"Too few orders",IF(D479&gt;=Settings!$B$9,"Restrict COD or verify","Keep COD"))))</f>
        <v/>
      </c>
    </row>
    <row r="480" customFormat="false" ht="15" hidden="false" customHeight="false" outlineLevel="0" collapsed="false">
      <c r="A480" s="27"/>
      <c r="B480" s="17" t="str">
        <f aca="false">IF($A480="","",COUNTIFS(Orders!$C$2:$C$20001,$A480,Orders!$E$2:$E$20001,"COD",Orders!$F$2:$F$20001,"Delivered")+COUNTIFS(Orders!$C$2:$C$20001,$A480,Orders!$E$2:$E$20001,"COD",Orders!$F$2:$F$20001,"RTO"))</f>
        <v/>
      </c>
      <c r="C480" s="17" t="str">
        <f aca="false">IF($A480="","",COUNTIFS(Orders!$C$2:$C$20001,$A480,Orders!$E$2:$E$20001,"COD",Orders!$F$2:$F$20001,"RTO"))</f>
        <v/>
      </c>
      <c r="D480" s="18" t="str">
        <f aca="false">IF($A480="","",IFERROR(C480/B480,0))</f>
        <v/>
      </c>
      <c r="E480" s="17" t="str">
        <f aca="false">IF($A480="","",COUNTIFS(Orders!$C$2:$C$20001,$A480,Orders!$E$2:$E$20001,"Prepaid",Orders!$F$2:$F$20001,"Delivered")+COUNTIFS(Orders!$C$2:$C$20001,$A480,Orders!$E$2:$E$20001,"Prepaid",Orders!$F$2:$F$20001,"RTO"))</f>
        <v/>
      </c>
      <c r="F480" s="17" t="str">
        <f aca="false">IF($A480="","",COUNTIFS(Orders!$C$2:$C$20001,$A480,Orders!$E$2:$E$20001,"Prepaid",Orders!$F$2:$F$20001,"RTO"))</f>
        <v/>
      </c>
      <c r="G480" s="18" t="str">
        <f aca="false">IF($A480="","",IFERROR(F480/E480,0))</f>
        <v/>
      </c>
      <c r="H480" s="19" t="str">
        <f aca="false">IF($A480="","",C480*Settings!$B$11)</f>
        <v/>
      </c>
      <c r="I480" s="20" t="str">
        <f aca="false">IF($A480="","",IF(N(H480)=0,"",RANK(H480,$H$5:$H$2004)))</f>
        <v/>
      </c>
      <c r="J480" s="21" t="str">
        <f aca="false">IF($A480="","",IF(B480=0,"No COD orders",IF(B480&lt;Settings!$B$8,"Too few orders",IF(D480&gt;=Settings!$B$9,"Restrict COD or verify","Keep COD"))))</f>
        <v/>
      </c>
    </row>
    <row r="481" customFormat="false" ht="15" hidden="false" customHeight="false" outlineLevel="0" collapsed="false">
      <c r="A481" s="27"/>
      <c r="B481" s="17" t="str">
        <f aca="false">IF($A481="","",COUNTIFS(Orders!$C$2:$C$20001,$A481,Orders!$E$2:$E$20001,"COD",Orders!$F$2:$F$20001,"Delivered")+COUNTIFS(Orders!$C$2:$C$20001,$A481,Orders!$E$2:$E$20001,"COD",Orders!$F$2:$F$20001,"RTO"))</f>
        <v/>
      </c>
      <c r="C481" s="17" t="str">
        <f aca="false">IF($A481="","",COUNTIFS(Orders!$C$2:$C$20001,$A481,Orders!$E$2:$E$20001,"COD",Orders!$F$2:$F$20001,"RTO"))</f>
        <v/>
      </c>
      <c r="D481" s="18" t="str">
        <f aca="false">IF($A481="","",IFERROR(C481/B481,0))</f>
        <v/>
      </c>
      <c r="E481" s="17" t="str">
        <f aca="false">IF($A481="","",COUNTIFS(Orders!$C$2:$C$20001,$A481,Orders!$E$2:$E$20001,"Prepaid",Orders!$F$2:$F$20001,"Delivered")+COUNTIFS(Orders!$C$2:$C$20001,$A481,Orders!$E$2:$E$20001,"Prepaid",Orders!$F$2:$F$20001,"RTO"))</f>
        <v/>
      </c>
      <c r="F481" s="17" t="str">
        <f aca="false">IF($A481="","",COUNTIFS(Orders!$C$2:$C$20001,$A481,Orders!$E$2:$E$20001,"Prepaid",Orders!$F$2:$F$20001,"RTO"))</f>
        <v/>
      </c>
      <c r="G481" s="18" t="str">
        <f aca="false">IF($A481="","",IFERROR(F481/E481,0))</f>
        <v/>
      </c>
      <c r="H481" s="19" t="str">
        <f aca="false">IF($A481="","",C481*Settings!$B$11)</f>
        <v/>
      </c>
      <c r="I481" s="20" t="str">
        <f aca="false">IF($A481="","",IF(N(H481)=0,"",RANK(H481,$H$5:$H$2004)))</f>
        <v/>
      </c>
      <c r="J481" s="21" t="str">
        <f aca="false">IF($A481="","",IF(B481=0,"No COD orders",IF(B481&lt;Settings!$B$8,"Too few orders",IF(D481&gt;=Settings!$B$9,"Restrict COD or verify","Keep COD"))))</f>
        <v/>
      </c>
    </row>
    <row r="482" customFormat="false" ht="15" hidden="false" customHeight="false" outlineLevel="0" collapsed="false">
      <c r="A482" s="27"/>
      <c r="B482" s="17" t="str">
        <f aca="false">IF($A482="","",COUNTIFS(Orders!$C$2:$C$20001,$A482,Orders!$E$2:$E$20001,"COD",Orders!$F$2:$F$20001,"Delivered")+COUNTIFS(Orders!$C$2:$C$20001,$A482,Orders!$E$2:$E$20001,"COD",Orders!$F$2:$F$20001,"RTO"))</f>
        <v/>
      </c>
      <c r="C482" s="17" t="str">
        <f aca="false">IF($A482="","",COUNTIFS(Orders!$C$2:$C$20001,$A482,Orders!$E$2:$E$20001,"COD",Orders!$F$2:$F$20001,"RTO"))</f>
        <v/>
      </c>
      <c r="D482" s="18" t="str">
        <f aca="false">IF($A482="","",IFERROR(C482/B482,0))</f>
        <v/>
      </c>
      <c r="E482" s="17" t="str">
        <f aca="false">IF($A482="","",COUNTIFS(Orders!$C$2:$C$20001,$A482,Orders!$E$2:$E$20001,"Prepaid",Orders!$F$2:$F$20001,"Delivered")+COUNTIFS(Orders!$C$2:$C$20001,$A482,Orders!$E$2:$E$20001,"Prepaid",Orders!$F$2:$F$20001,"RTO"))</f>
        <v/>
      </c>
      <c r="F482" s="17" t="str">
        <f aca="false">IF($A482="","",COUNTIFS(Orders!$C$2:$C$20001,$A482,Orders!$E$2:$E$20001,"Prepaid",Orders!$F$2:$F$20001,"RTO"))</f>
        <v/>
      </c>
      <c r="G482" s="18" t="str">
        <f aca="false">IF($A482="","",IFERROR(F482/E482,0))</f>
        <v/>
      </c>
      <c r="H482" s="19" t="str">
        <f aca="false">IF($A482="","",C482*Settings!$B$11)</f>
        <v/>
      </c>
      <c r="I482" s="20" t="str">
        <f aca="false">IF($A482="","",IF(N(H482)=0,"",RANK(H482,$H$5:$H$2004)))</f>
        <v/>
      </c>
      <c r="J482" s="21" t="str">
        <f aca="false">IF($A482="","",IF(B482=0,"No COD orders",IF(B482&lt;Settings!$B$8,"Too few orders",IF(D482&gt;=Settings!$B$9,"Restrict COD or verify","Keep COD"))))</f>
        <v/>
      </c>
    </row>
    <row r="483" customFormat="false" ht="15" hidden="false" customHeight="false" outlineLevel="0" collapsed="false">
      <c r="A483" s="27"/>
      <c r="B483" s="17" t="str">
        <f aca="false">IF($A483="","",COUNTIFS(Orders!$C$2:$C$20001,$A483,Orders!$E$2:$E$20001,"COD",Orders!$F$2:$F$20001,"Delivered")+COUNTIFS(Orders!$C$2:$C$20001,$A483,Orders!$E$2:$E$20001,"COD",Orders!$F$2:$F$20001,"RTO"))</f>
        <v/>
      </c>
      <c r="C483" s="17" t="str">
        <f aca="false">IF($A483="","",COUNTIFS(Orders!$C$2:$C$20001,$A483,Orders!$E$2:$E$20001,"COD",Orders!$F$2:$F$20001,"RTO"))</f>
        <v/>
      </c>
      <c r="D483" s="18" t="str">
        <f aca="false">IF($A483="","",IFERROR(C483/B483,0))</f>
        <v/>
      </c>
      <c r="E483" s="17" t="str">
        <f aca="false">IF($A483="","",COUNTIFS(Orders!$C$2:$C$20001,$A483,Orders!$E$2:$E$20001,"Prepaid",Orders!$F$2:$F$20001,"Delivered")+COUNTIFS(Orders!$C$2:$C$20001,$A483,Orders!$E$2:$E$20001,"Prepaid",Orders!$F$2:$F$20001,"RTO"))</f>
        <v/>
      </c>
      <c r="F483" s="17" t="str">
        <f aca="false">IF($A483="","",COUNTIFS(Orders!$C$2:$C$20001,$A483,Orders!$E$2:$E$20001,"Prepaid",Orders!$F$2:$F$20001,"RTO"))</f>
        <v/>
      </c>
      <c r="G483" s="18" t="str">
        <f aca="false">IF($A483="","",IFERROR(F483/E483,0))</f>
        <v/>
      </c>
      <c r="H483" s="19" t="str">
        <f aca="false">IF($A483="","",C483*Settings!$B$11)</f>
        <v/>
      </c>
      <c r="I483" s="20" t="str">
        <f aca="false">IF($A483="","",IF(N(H483)=0,"",RANK(H483,$H$5:$H$2004)))</f>
        <v/>
      </c>
      <c r="J483" s="21" t="str">
        <f aca="false">IF($A483="","",IF(B483=0,"No COD orders",IF(B483&lt;Settings!$B$8,"Too few orders",IF(D483&gt;=Settings!$B$9,"Restrict COD or verify","Keep COD"))))</f>
        <v/>
      </c>
    </row>
    <row r="484" customFormat="false" ht="15" hidden="false" customHeight="false" outlineLevel="0" collapsed="false">
      <c r="A484" s="27"/>
      <c r="B484" s="17" t="str">
        <f aca="false">IF($A484="","",COUNTIFS(Orders!$C$2:$C$20001,$A484,Orders!$E$2:$E$20001,"COD",Orders!$F$2:$F$20001,"Delivered")+COUNTIFS(Orders!$C$2:$C$20001,$A484,Orders!$E$2:$E$20001,"COD",Orders!$F$2:$F$20001,"RTO"))</f>
        <v/>
      </c>
      <c r="C484" s="17" t="str">
        <f aca="false">IF($A484="","",COUNTIFS(Orders!$C$2:$C$20001,$A484,Orders!$E$2:$E$20001,"COD",Orders!$F$2:$F$20001,"RTO"))</f>
        <v/>
      </c>
      <c r="D484" s="18" t="str">
        <f aca="false">IF($A484="","",IFERROR(C484/B484,0))</f>
        <v/>
      </c>
      <c r="E484" s="17" t="str">
        <f aca="false">IF($A484="","",COUNTIFS(Orders!$C$2:$C$20001,$A484,Orders!$E$2:$E$20001,"Prepaid",Orders!$F$2:$F$20001,"Delivered")+COUNTIFS(Orders!$C$2:$C$20001,$A484,Orders!$E$2:$E$20001,"Prepaid",Orders!$F$2:$F$20001,"RTO"))</f>
        <v/>
      </c>
      <c r="F484" s="17" t="str">
        <f aca="false">IF($A484="","",COUNTIFS(Orders!$C$2:$C$20001,$A484,Orders!$E$2:$E$20001,"Prepaid",Orders!$F$2:$F$20001,"RTO"))</f>
        <v/>
      </c>
      <c r="G484" s="18" t="str">
        <f aca="false">IF($A484="","",IFERROR(F484/E484,0))</f>
        <v/>
      </c>
      <c r="H484" s="19" t="str">
        <f aca="false">IF($A484="","",C484*Settings!$B$11)</f>
        <v/>
      </c>
      <c r="I484" s="20" t="str">
        <f aca="false">IF($A484="","",IF(N(H484)=0,"",RANK(H484,$H$5:$H$2004)))</f>
        <v/>
      </c>
      <c r="J484" s="21" t="str">
        <f aca="false">IF($A484="","",IF(B484=0,"No COD orders",IF(B484&lt;Settings!$B$8,"Too few orders",IF(D484&gt;=Settings!$B$9,"Restrict COD or verify","Keep COD"))))</f>
        <v/>
      </c>
    </row>
    <row r="485" customFormat="false" ht="15" hidden="false" customHeight="false" outlineLevel="0" collapsed="false">
      <c r="A485" s="27"/>
      <c r="B485" s="17" t="str">
        <f aca="false">IF($A485="","",COUNTIFS(Orders!$C$2:$C$20001,$A485,Orders!$E$2:$E$20001,"COD",Orders!$F$2:$F$20001,"Delivered")+COUNTIFS(Orders!$C$2:$C$20001,$A485,Orders!$E$2:$E$20001,"COD",Orders!$F$2:$F$20001,"RTO"))</f>
        <v/>
      </c>
      <c r="C485" s="17" t="str">
        <f aca="false">IF($A485="","",COUNTIFS(Orders!$C$2:$C$20001,$A485,Orders!$E$2:$E$20001,"COD",Orders!$F$2:$F$20001,"RTO"))</f>
        <v/>
      </c>
      <c r="D485" s="18" t="str">
        <f aca="false">IF($A485="","",IFERROR(C485/B485,0))</f>
        <v/>
      </c>
      <c r="E485" s="17" t="str">
        <f aca="false">IF($A485="","",COUNTIFS(Orders!$C$2:$C$20001,$A485,Orders!$E$2:$E$20001,"Prepaid",Orders!$F$2:$F$20001,"Delivered")+COUNTIFS(Orders!$C$2:$C$20001,$A485,Orders!$E$2:$E$20001,"Prepaid",Orders!$F$2:$F$20001,"RTO"))</f>
        <v/>
      </c>
      <c r="F485" s="17" t="str">
        <f aca="false">IF($A485="","",COUNTIFS(Orders!$C$2:$C$20001,$A485,Orders!$E$2:$E$20001,"Prepaid",Orders!$F$2:$F$20001,"RTO"))</f>
        <v/>
      </c>
      <c r="G485" s="18" t="str">
        <f aca="false">IF($A485="","",IFERROR(F485/E485,0))</f>
        <v/>
      </c>
      <c r="H485" s="19" t="str">
        <f aca="false">IF($A485="","",C485*Settings!$B$11)</f>
        <v/>
      </c>
      <c r="I485" s="20" t="str">
        <f aca="false">IF($A485="","",IF(N(H485)=0,"",RANK(H485,$H$5:$H$2004)))</f>
        <v/>
      </c>
      <c r="J485" s="21" t="str">
        <f aca="false">IF($A485="","",IF(B485=0,"No COD orders",IF(B485&lt;Settings!$B$8,"Too few orders",IF(D485&gt;=Settings!$B$9,"Restrict COD or verify","Keep COD"))))</f>
        <v/>
      </c>
    </row>
    <row r="486" customFormat="false" ht="15" hidden="false" customHeight="false" outlineLevel="0" collapsed="false">
      <c r="A486" s="27"/>
      <c r="B486" s="17" t="str">
        <f aca="false">IF($A486="","",COUNTIFS(Orders!$C$2:$C$20001,$A486,Orders!$E$2:$E$20001,"COD",Orders!$F$2:$F$20001,"Delivered")+COUNTIFS(Orders!$C$2:$C$20001,$A486,Orders!$E$2:$E$20001,"COD",Orders!$F$2:$F$20001,"RTO"))</f>
        <v/>
      </c>
      <c r="C486" s="17" t="str">
        <f aca="false">IF($A486="","",COUNTIFS(Orders!$C$2:$C$20001,$A486,Orders!$E$2:$E$20001,"COD",Orders!$F$2:$F$20001,"RTO"))</f>
        <v/>
      </c>
      <c r="D486" s="18" t="str">
        <f aca="false">IF($A486="","",IFERROR(C486/B486,0))</f>
        <v/>
      </c>
      <c r="E486" s="17" t="str">
        <f aca="false">IF($A486="","",COUNTIFS(Orders!$C$2:$C$20001,$A486,Orders!$E$2:$E$20001,"Prepaid",Orders!$F$2:$F$20001,"Delivered")+COUNTIFS(Orders!$C$2:$C$20001,$A486,Orders!$E$2:$E$20001,"Prepaid",Orders!$F$2:$F$20001,"RTO"))</f>
        <v/>
      </c>
      <c r="F486" s="17" t="str">
        <f aca="false">IF($A486="","",COUNTIFS(Orders!$C$2:$C$20001,$A486,Orders!$E$2:$E$20001,"Prepaid",Orders!$F$2:$F$20001,"RTO"))</f>
        <v/>
      </c>
      <c r="G486" s="18" t="str">
        <f aca="false">IF($A486="","",IFERROR(F486/E486,0))</f>
        <v/>
      </c>
      <c r="H486" s="19" t="str">
        <f aca="false">IF($A486="","",C486*Settings!$B$11)</f>
        <v/>
      </c>
      <c r="I486" s="20" t="str">
        <f aca="false">IF($A486="","",IF(N(H486)=0,"",RANK(H486,$H$5:$H$2004)))</f>
        <v/>
      </c>
      <c r="J486" s="21" t="str">
        <f aca="false">IF($A486="","",IF(B486=0,"No COD orders",IF(B486&lt;Settings!$B$8,"Too few orders",IF(D486&gt;=Settings!$B$9,"Restrict COD or verify","Keep COD"))))</f>
        <v/>
      </c>
    </row>
    <row r="487" customFormat="false" ht="15" hidden="false" customHeight="false" outlineLevel="0" collapsed="false">
      <c r="A487" s="27"/>
      <c r="B487" s="17" t="str">
        <f aca="false">IF($A487="","",COUNTIFS(Orders!$C$2:$C$20001,$A487,Orders!$E$2:$E$20001,"COD",Orders!$F$2:$F$20001,"Delivered")+COUNTIFS(Orders!$C$2:$C$20001,$A487,Orders!$E$2:$E$20001,"COD",Orders!$F$2:$F$20001,"RTO"))</f>
        <v/>
      </c>
      <c r="C487" s="17" t="str">
        <f aca="false">IF($A487="","",COUNTIFS(Orders!$C$2:$C$20001,$A487,Orders!$E$2:$E$20001,"COD",Orders!$F$2:$F$20001,"RTO"))</f>
        <v/>
      </c>
      <c r="D487" s="18" t="str">
        <f aca="false">IF($A487="","",IFERROR(C487/B487,0))</f>
        <v/>
      </c>
      <c r="E487" s="17" t="str">
        <f aca="false">IF($A487="","",COUNTIFS(Orders!$C$2:$C$20001,$A487,Orders!$E$2:$E$20001,"Prepaid",Orders!$F$2:$F$20001,"Delivered")+COUNTIFS(Orders!$C$2:$C$20001,$A487,Orders!$E$2:$E$20001,"Prepaid",Orders!$F$2:$F$20001,"RTO"))</f>
        <v/>
      </c>
      <c r="F487" s="17" t="str">
        <f aca="false">IF($A487="","",COUNTIFS(Orders!$C$2:$C$20001,$A487,Orders!$E$2:$E$20001,"Prepaid",Orders!$F$2:$F$20001,"RTO"))</f>
        <v/>
      </c>
      <c r="G487" s="18" t="str">
        <f aca="false">IF($A487="","",IFERROR(F487/E487,0))</f>
        <v/>
      </c>
      <c r="H487" s="19" t="str">
        <f aca="false">IF($A487="","",C487*Settings!$B$11)</f>
        <v/>
      </c>
      <c r="I487" s="20" t="str">
        <f aca="false">IF($A487="","",IF(N(H487)=0,"",RANK(H487,$H$5:$H$2004)))</f>
        <v/>
      </c>
      <c r="J487" s="21" t="str">
        <f aca="false">IF($A487="","",IF(B487=0,"No COD orders",IF(B487&lt;Settings!$B$8,"Too few orders",IF(D487&gt;=Settings!$B$9,"Restrict COD or verify","Keep COD"))))</f>
        <v/>
      </c>
    </row>
    <row r="488" customFormat="false" ht="15" hidden="false" customHeight="false" outlineLevel="0" collapsed="false">
      <c r="A488" s="27"/>
      <c r="B488" s="17" t="str">
        <f aca="false">IF($A488="","",COUNTIFS(Orders!$C$2:$C$20001,$A488,Orders!$E$2:$E$20001,"COD",Orders!$F$2:$F$20001,"Delivered")+COUNTIFS(Orders!$C$2:$C$20001,$A488,Orders!$E$2:$E$20001,"COD",Orders!$F$2:$F$20001,"RTO"))</f>
        <v/>
      </c>
      <c r="C488" s="17" t="str">
        <f aca="false">IF($A488="","",COUNTIFS(Orders!$C$2:$C$20001,$A488,Orders!$E$2:$E$20001,"COD",Orders!$F$2:$F$20001,"RTO"))</f>
        <v/>
      </c>
      <c r="D488" s="18" t="str">
        <f aca="false">IF($A488="","",IFERROR(C488/B488,0))</f>
        <v/>
      </c>
      <c r="E488" s="17" t="str">
        <f aca="false">IF($A488="","",COUNTIFS(Orders!$C$2:$C$20001,$A488,Orders!$E$2:$E$20001,"Prepaid",Orders!$F$2:$F$20001,"Delivered")+COUNTIFS(Orders!$C$2:$C$20001,$A488,Orders!$E$2:$E$20001,"Prepaid",Orders!$F$2:$F$20001,"RTO"))</f>
        <v/>
      </c>
      <c r="F488" s="17" t="str">
        <f aca="false">IF($A488="","",COUNTIFS(Orders!$C$2:$C$20001,$A488,Orders!$E$2:$E$20001,"Prepaid",Orders!$F$2:$F$20001,"RTO"))</f>
        <v/>
      </c>
      <c r="G488" s="18" t="str">
        <f aca="false">IF($A488="","",IFERROR(F488/E488,0))</f>
        <v/>
      </c>
      <c r="H488" s="19" t="str">
        <f aca="false">IF($A488="","",C488*Settings!$B$11)</f>
        <v/>
      </c>
      <c r="I488" s="20" t="str">
        <f aca="false">IF($A488="","",IF(N(H488)=0,"",RANK(H488,$H$5:$H$2004)))</f>
        <v/>
      </c>
      <c r="J488" s="21" t="str">
        <f aca="false">IF($A488="","",IF(B488=0,"No COD orders",IF(B488&lt;Settings!$B$8,"Too few orders",IF(D488&gt;=Settings!$B$9,"Restrict COD or verify","Keep COD"))))</f>
        <v/>
      </c>
    </row>
    <row r="489" customFormat="false" ht="15" hidden="false" customHeight="false" outlineLevel="0" collapsed="false">
      <c r="A489" s="27"/>
      <c r="B489" s="17" t="str">
        <f aca="false">IF($A489="","",COUNTIFS(Orders!$C$2:$C$20001,$A489,Orders!$E$2:$E$20001,"COD",Orders!$F$2:$F$20001,"Delivered")+COUNTIFS(Orders!$C$2:$C$20001,$A489,Orders!$E$2:$E$20001,"COD",Orders!$F$2:$F$20001,"RTO"))</f>
        <v/>
      </c>
      <c r="C489" s="17" t="str">
        <f aca="false">IF($A489="","",COUNTIFS(Orders!$C$2:$C$20001,$A489,Orders!$E$2:$E$20001,"COD",Orders!$F$2:$F$20001,"RTO"))</f>
        <v/>
      </c>
      <c r="D489" s="18" t="str">
        <f aca="false">IF($A489="","",IFERROR(C489/B489,0))</f>
        <v/>
      </c>
      <c r="E489" s="17" t="str">
        <f aca="false">IF($A489="","",COUNTIFS(Orders!$C$2:$C$20001,$A489,Orders!$E$2:$E$20001,"Prepaid",Orders!$F$2:$F$20001,"Delivered")+COUNTIFS(Orders!$C$2:$C$20001,$A489,Orders!$E$2:$E$20001,"Prepaid",Orders!$F$2:$F$20001,"RTO"))</f>
        <v/>
      </c>
      <c r="F489" s="17" t="str">
        <f aca="false">IF($A489="","",COUNTIFS(Orders!$C$2:$C$20001,$A489,Orders!$E$2:$E$20001,"Prepaid",Orders!$F$2:$F$20001,"RTO"))</f>
        <v/>
      </c>
      <c r="G489" s="18" t="str">
        <f aca="false">IF($A489="","",IFERROR(F489/E489,0))</f>
        <v/>
      </c>
      <c r="H489" s="19" t="str">
        <f aca="false">IF($A489="","",C489*Settings!$B$11)</f>
        <v/>
      </c>
      <c r="I489" s="20" t="str">
        <f aca="false">IF($A489="","",IF(N(H489)=0,"",RANK(H489,$H$5:$H$2004)))</f>
        <v/>
      </c>
      <c r="J489" s="21" t="str">
        <f aca="false">IF($A489="","",IF(B489=0,"No COD orders",IF(B489&lt;Settings!$B$8,"Too few orders",IF(D489&gt;=Settings!$B$9,"Restrict COD or verify","Keep COD"))))</f>
        <v/>
      </c>
    </row>
    <row r="490" customFormat="false" ht="15" hidden="false" customHeight="false" outlineLevel="0" collapsed="false">
      <c r="A490" s="27"/>
      <c r="B490" s="17" t="str">
        <f aca="false">IF($A490="","",COUNTIFS(Orders!$C$2:$C$20001,$A490,Orders!$E$2:$E$20001,"COD",Orders!$F$2:$F$20001,"Delivered")+COUNTIFS(Orders!$C$2:$C$20001,$A490,Orders!$E$2:$E$20001,"COD",Orders!$F$2:$F$20001,"RTO"))</f>
        <v/>
      </c>
      <c r="C490" s="17" t="str">
        <f aca="false">IF($A490="","",COUNTIFS(Orders!$C$2:$C$20001,$A490,Orders!$E$2:$E$20001,"COD",Orders!$F$2:$F$20001,"RTO"))</f>
        <v/>
      </c>
      <c r="D490" s="18" t="str">
        <f aca="false">IF($A490="","",IFERROR(C490/B490,0))</f>
        <v/>
      </c>
      <c r="E490" s="17" t="str">
        <f aca="false">IF($A490="","",COUNTIFS(Orders!$C$2:$C$20001,$A490,Orders!$E$2:$E$20001,"Prepaid",Orders!$F$2:$F$20001,"Delivered")+COUNTIFS(Orders!$C$2:$C$20001,$A490,Orders!$E$2:$E$20001,"Prepaid",Orders!$F$2:$F$20001,"RTO"))</f>
        <v/>
      </c>
      <c r="F490" s="17" t="str">
        <f aca="false">IF($A490="","",COUNTIFS(Orders!$C$2:$C$20001,$A490,Orders!$E$2:$E$20001,"Prepaid",Orders!$F$2:$F$20001,"RTO"))</f>
        <v/>
      </c>
      <c r="G490" s="18" t="str">
        <f aca="false">IF($A490="","",IFERROR(F490/E490,0))</f>
        <v/>
      </c>
      <c r="H490" s="19" t="str">
        <f aca="false">IF($A490="","",C490*Settings!$B$11)</f>
        <v/>
      </c>
      <c r="I490" s="20" t="str">
        <f aca="false">IF($A490="","",IF(N(H490)=0,"",RANK(H490,$H$5:$H$2004)))</f>
        <v/>
      </c>
      <c r="J490" s="21" t="str">
        <f aca="false">IF($A490="","",IF(B490=0,"No COD orders",IF(B490&lt;Settings!$B$8,"Too few orders",IF(D490&gt;=Settings!$B$9,"Restrict COD or verify","Keep COD"))))</f>
        <v/>
      </c>
    </row>
    <row r="491" customFormat="false" ht="15" hidden="false" customHeight="false" outlineLevel="0" collapsed="false">
      <c r="A491" s="27"/>
      <c r="B491" s="17" t="str">
        <f aca="false">IF($A491="","",COUNTIFS(Orders!$C$2:$C$20001,$A491,Orders!$E$2:$E$20001,"COD",Orders!$F$2:$F$20001,"Delivered")+COUNTIFS(Orders!$C$2:$C$20001,$A491,Orders!$E$2:$E$20001,"COD",Orders!$F$2:$F$20001,"RTO"))</f>
        <v/>
      </c>
      <c r="C491" s="17" t="str">
        <f aca="false">IF($A491="","",COUNTIFS(Orders!$C$2:$C$20001,$A491,Orders!$E$2:$E$20001,"COD",Orders!$F$2:$F$20001,"RTO"))</f>
        <v/>
      </c>
      <c r="D491" s="18" t="str">
        <f aca="false">IF($A491="","",IFERROR(C491/B491,0))</f>
        <v/>
      </c>
      <c r="E491" s="17" t="str">
        <f aca="false">IF($A491="","",COUNTIFS(Orders!$C$2:$C$20001,$A491,Orders!$E$2:$E$20001,"Prepaid",Orders!$F$2:$F$20001,"Delivered")+COUNTIFS(Orders!$C$2:$C$20001,$A491,Orders!$E$2:$E$20001,"Prepaid",Orders!$F$2:$F$20001,"RTO"))</f>
        <v/>
      </c>
      <c r="F491" s="17" t="str">
        <f aca="false">IF($A491="","",COUNTIFS(Orders!$C$2:$C$20001,$A491,Orders!$E$2:$E$20001,"Prepaid",Orders!$F$2:$F$20001,"RTO"))</f>
        <v/>
      </c>
      <c r="G491" s="18" t="str">
        <f aca="false">IF($A491="","",IFERROR(F491/E491,0))</f>
        <v/>
      </c>
      <c r="H491" s="19" t="str">
        <f aca="false">IF($A491="","",C491*Settings!$B$11)</f>
        <v/>
      </c>
      <c r="I491" s="20" t="str">
        <f aca="false">IF($A491="","",IF(N(H491)=0,"",RANK(H491,$H$5:$H$2004)))</f>
        <v/>
      </c>
      <c r="J491" s="21" t="str">
        <f aca="false">IF($A491="","",IF(B491=0,"No COD orders",IF(B491&lt;Settings!$B$8,"Too few orders",IF(D491&gt;=Settings!$B$9,"Restrict COD or verify","Keep COD"))))</f>
        <v/>
      </c>
    </row>
    <row r="492" customFormat="false" ht="15" hidden="false" customHeight="false" outlineLevel="0" collapsed="false">
      <c r="A492" s="27"/>
      <c r="B492" s="17" t="str">
        <f aca="false">IF($A492="","",COUNTIFS(Orders!$C$2:$C$20001,$A492,Orders!$E$2:$E$20001,"COD",Orders!$F$2:$F$20001,"Delivered")+COUNTIFS(Orders!$C$2:$C$20001,$A492,Orders!$E$2:$E$20001,"COD",Orders!$F$2:$F$20001,"RTO"))</f>
        <v/>
      </c>
      <c r="C492" s="17" t="str">
        <f aca="false">IF($A492="","",COUNTIFS(Orders!$C$2:$C$20001,$A492,Orders!$E$2:$E$20001,"COD",Orders!$F$2:$F$20001,"RTO"))</f>
        <v/>
      </c>
      <c r="D492" s="18" t="str">
        <f aca="false">IF($A492="","",IFERROR(C492/B492,0))</f>
        <v/>
      </c>
      <c r="E492" s="17" t="str">
        <f aca="false">IF($A492="","",COUNTIFS(Orders!$C$2:$C$20001,$A492,Orders!$E$2:$E$20001,"Prepaid",Orders!$F$2:$F$20001,"Delivered")+COUNTIFS(Orders!$C$2:$C$20001,$A492,Orders!$E$2:$E$20001,"Prepaid",Orders!$F$2:$F$20001,"RTO"))</f>
        <v/>
      </c>
      <c r="F492" s="17" t="str">
        <f aca="false">IF($A492="","",COUNTIFS(Orders!$C$2:$C$20001,$A492,Orders!$E$2:$E$20001,"Prepaid",Orders!$F$2:$F$20001,"RTO"))</f>
        <v/>
      </c>
      <c r="G492" s="18" t="str">
        <f aca="false">IF($A492="","",IFERROR(F492/E492,0))</f>
        <v/>
      </c>
      <c r="H492" s="19" t="str">
        <f aca="false">IF($A492="","",C492*Settings!$B$11)</f>
        <v/>
      </c>
      <c r="I492" s="20" t="str">
        <f aca="false">IF($A492="","",IF(N(H492)=0,"",RANK(H492,$H$5:$H$2004)))</f>
        <v/>
      </c>
      <c r="J492" s="21" t="str">
        <f aca="false">IF($A492="","",IF(B492=0,"No COD orders",IF(B492&lt;Settings!$B$8,"Too few orders",IF(D492&gt;=Settings!$B$9,"Restrict COD or verify","Keep COD"))))</f>
        <v/>
      </c>
    </row>
    <row r="493" customFormat="false" ht="15" hidden="false" customHeight="false" outlineLevel="0" collapsed="false">
      <c r="A493" s="27"/>
      <c r="B493" s="17" t="str">
        <f aca="false">IF($A493="","",COUNTIFS(Orders!$C$2:$C$20001,$A493,Orders!$E$2:$E$20001,"COD",Orders!$F$2:$F$20001,"Delivered")+COUNTIFS(Orders!$C$2:$C$20001,$A493,Orders!$E$2:$E$20001,"COD",Orders!$F$2:$F$20001,"RTO"))</f>
        <v/>
      </c>
      <c r="C493" s="17" t="str">
        <f aca="false">IF($A493="","",COUNTIFS(Orders!$C$2:$C$20001,$A493,Orders!$E$2:$E$20001,"COD",Orders!$F$2:$F$20001,"RTO"))</f>
        <v/>
      </c>
      <c r="D493" s="18" t="str">
        <f aca="false">IF($A493="","",IFERROR(C493/B493,0))</f>
        <v/>
      </c>
      <c r="E493" s="17" t="str">
        <f aca="false">IF($A493="","",COUNTIFS(Orders!$C$2:$C$20001,$A493,Orders!$E$2:$E$20001,"Prepaid",Orders!$F$2:$F$20001,"Delivered")+COUNTIFS(Orders!$C$2:$C$20001,$A493,Orders!$E$2:$E$20001,"Prepaid",Orders!$F$2:$F$20001,"RTO"))</f>
        <v/>
      </c>
      <c r="F493" s="17" t="str">
        <f aca="false">IF($A493="","",COUNTIFS(Orders!$C$2:$C$20001,$A493,Orders!$E$2:$E$20001,"Prepaid",Orders!$F$2:$F$20001,"RTO"))</f>
        <v/>
      </c>
      <c r="G493" s="18" t="str">
        <f aca="false">IF($A493="","",IFERROR(F493/E493,0))</f>
        <v/>
      </c>
      <c r="H493" s="19" t="str">
        <f aca="false">IF($A493="","",C493*Settings!$B$11)</f>
        <v/>
      </c>
      <c r="I493" s="20" t="str">
        <f aca="false">IF($A493="","",IF(N(H493)=0,"",RANK(H493,$H$5:$H$2004)))</f>
        <v/>
      </c>
      <c r="J493" s="21" t="str">
        <f aca="false">IF($A493="","",IF(B493=0,"No COD orders",IF(B493&lt;Settings!$B$8,"Too few orders",IF(D493&gt;=Settings!$B$9,"Restrict COD or verify","Keep COD"))))</f>
        <v/>
      </c>
    </row>
    <row r="494" customFormat="false" ht="15" hidden="false" customHeight="false" outlineLevel="0" collapsed="false">
      <c r="A494" s="27"/>
      <c r="B494" s="17" t="str">
        <f aca="false">IF($A494="","",COUNTIFS(Orders!$C$2:$C$20001,$A494,Orders!$E$2:$E$20001,"COD",Orders!$F$2:$F$20001,"Delivered")+COUNTIFS(Orders!$C$2:$C$20001,$A494,Orders!$E$2:$E$20001,"COD",Orders!$F$2:$F$20001,"RTO"))</f>
        <v/>
      </c>
      <c r="C494" s="17" t="str">
        <f aca="false">IF($A494="","",COUNTIFS(Orders!$C$2:$C$20001,$A494,Orders!$E$2:$E$20001,"COD",Orders!$F$2:$F$20001,"RTO"))</f>
        <v/>
      </c>
      <c r="D494" s="18" t="str">
        <f aca="false">IF($A494="","",IFERROR(C494/B494,0))</f>
        <v/>
      </c>
      <c r="E494" s="17" t="str">
        <f aca="false">IF($A494="","",COUNTIFS(Orders!$C$2:$C$20001,$A494,Orders!$E$2:$E$20001,"Prepaid",Orders!$F$2:$F$20001,"Delivered")+COUNTIFS(Orders!$C$2:$C$20001,$A494,Orders!$E$2:$E$20001,"Prepaid",Orders!$F$2:$F$20001,"RTO"))</f>
        <v/>
      </c>
      <c r="F494" s="17" t="str">
        <f aca="false">IF($A494="","",COUNTIFS(Orders!$C$2:$C$20001,$A494,Orders!$E$2:$E$20001,"Prepaid",Orders!$F$2:$F$20001,"RTO"))</f>
        <v/>
      </c>
      <c r="G494" s="18" t="str">
        <f aca="false">IF($A494="","",IFERROR(F494/E494,0))</f>
        <v/>
      </c>
      <c r="H494" s="19" t="str">
        <f aca="false">IF($A494="","",C494*Settings!$B$11)</f>
        <v/>
      </c>
      <c r="I494" s="20" t="str">
        <f aca="false">IF($A494="","",IF(N(H494)=0,"",RANK(H494,$H$5:$H$2004)))</f>
        <v/>
      </c>
      <c r="J494" s="21" t="str">
        <f aca="false">IF($A494="","",IF(B494=0,"No COD orders",IF(B494&lt;Settings!$B$8,"Too few orders",IF(D494&gt;=Settings!$B$9,"Restrict COD or verify","Keep COD"))))</f>
        <v/>
      </c>
    </row>
    <row r="495" customFormat="false" ht="15" hidden="false" customHeight="false" outlineLevel="0" collapsed="false">
      <c r="A495" s="27"/>
      <c r="B495" s="17" t="str">
        <f aca="false">IF($A495="","",COUNTIFS(Orders!$C$2:$C$20001,$A495,Orders!$E$2:$E$20001,"COD",Orders!$F$2:$F$20001,"Delivered")+COUNTIFS(Orders!$C$2:$C$20001,$A495,Orders!$E$2:$E$20001,"COD",Orders!$F$2:$F$20001,"RTO"))</f>
        <v/>
      </c>
      <c r="C495" s="17" t="str">
        <f aca="false">IF($A495="","",COUNTIFS(Orders!$C$2:$C$20001,$A495,Orders!$E$2:$E$20001,"COD",Orders!$F$2:$F$20001,"RTO"))</f>
        <v/>
      </c>
      <c r="D495" s="18" t="str">
        <f aca="false">IF($A495="","",IFERROR(C495/B495,0))</f>
        <v/>
      </c>
      <c r="E495" s="17" t="str">
        <f aca="false">IF($A495="","",COUNTIFS(Orders!$C$2:$C$20001,$A495,Orders!$E$2:$E$20001,"Prepaid",Orders!$F$2:$F$20001,"Delivered")+COUNTIFS(Orders!$C$2:$C$20001,$A495,Orders!$E$2:$E$20001,"Prepaid",Orders!$F$2:$F$20001,"RTO"))</f>
        <v/>
      </c>
      <c r="F495" s="17" t="str">
        <f aca="false">IF($A495="","",COUNTIFS(Orders!$C$2:$C$20001,$A495,Orders!$E$2:$E$20001,"Prepaid",Orders!$F$2:$F$20001,"RTO"))</f>
        <v/>
      </c>
      <c r="G495" s="18" t="str">
        <f aca="false">IF($A495="","",IFERROR(F495/E495,0))</f>
        <v/>
      </c>
      <c r="H495" s="19" t="str">
        <f aca="false">IF($A495="","",C495*Settings!$B$11)</f>
        <v/>
      </c>
      <c r="I495" s="20" t="str">
        <f aca="false">IF($A495="","",IF(N(H495)=0,"",RANK(H495,$H$5:$H$2004)))</f>
        <v/>
      </c>
      <c r="J495" s="21" t="str">
        <f aca="false">IF($A495="","",IF(B495=0,"No COD orders",IF(B495&lt;Settings!$B$8,"Too few orders",IF(D495&gt;=Settings!$B$9,"Restrict COD or verify","Keep COD"))))</f>
        <v/>
      </c>
    </row>
    <row r="496" customFormat="false" ht="15" hidden="false" customHeight="false" outlineLevel="0" collapsed="false">
      <c r="A496" s="27"/>
      <c r="B496" s="17" t="str">
        <f aca="false">IF($A496="","",COUNTIFS(Orders!$C$2:$C$20001,$A496,Orders!$E$2:$E$20001,"COD",Orders!$F$2:$F$20001,"Delivered")+COUNTIFS(Orders!$C$2:$C$20001,$A496,Orders!$E$2:$E$20001,"COD",Orders!$F$2:$F$20001,"RTO"))</f>
        <v/>
      </c>
      <c r="C496" s="17" t="str">
        <f aca="false">IF($A496="","",COUNTIFS(Orders!$C$2:$C$20001,$A496,Orders!$E$2:$E$20001,"COD",Orders!$F$2:$F$20001,"RTO"))</f>
        <v/>
      </c>
      <c r="D496" s="18" t="str">
        <f aca="false">IF($A496="","",IFERROR(C496/B496,0))</f>
        <v/>
      </c>
      <c r="E496" s="17" t="str">
        <f aca="false">IF($A496="","",COUNTIFS(Orders!$C$2:$C$20001,$A496,Orders!$E$2:$E$20001,"Prepaid",Orders!$F$2:$F$20001,"Delivered")+COUNTIFS(Orders!$C$2:$C$20001,$A496,Orders!$E$2:$E$20001,"Prepaid",Orders!$F$2:$F$20001,"RTO"))</f>
        <v/>
      </c>
      <c r="F496" s="17" t="str">
        <f aca="false">IF($A496="","",COUNTIFS(Orders!$C$2:$C$20001,$A496,Orders!$E$2:$E$20001,"Prepaid",Orders!$F$2:$F$20001,"RTO"))</f>
        <v/>
      </c>
      <c r="G496" s="18" t="str">
        <f aca="false">IF($A496="","",IFERROR(F496/E496,0))</f>
        <v/>
      </c>
      <c r="H496" s="19" t="str">
        <f aca="false">IF($A496="","",C496*Settings!$B$11)</f>
        <v/>
      </c>
      <c r="I496" s="20" t="str">
        <f aca="false">IF($A496="","",IF(N(H496)=0,"",RANK(H496,$H$5:$H$2004)))</f>
        <v/>
      </c>
      <c r="J496" s="21" t="str">
        <f aca="false">IF($A496="","",IF(B496=0,"No COD orders",IF(B496&lt;Settings!$B$8,"Too few orders",IF(D496&gt;=Settings!$B$9,"Restrict COD or verify","Keep COD"))))</f>
        <v/>
      </c>
    </row>
    <row r="497" customFormat="false" ht="15" hidden="false" customHeight="false" outlineLevel="0" collapsed="false">
      <c r="A497" s="27"/>
      <c r="B497" s="17" t="str">
        <f aca="false">IF($A497="","",COUNTIFS(Orders!$C$2:$C$20001,$A497,Orders!$E$2:$E$20001,"COD",Orders!$F$2:$F$20001,"Delivered")+COUNTIFS(Orders!$C$2:$C$20001,$A497,Orders!$E$2:$E$20001,"COD",Orders!$F$2:$F$20001,"RTO"))</f>
        <v/>
      </c>
      <c r="C497" s="17" t="str">
        <f aca="false">IF($A497="","",COUNTIFS(Orders!$C$2:$C$20001,$A497,Orders!$E$2:$E$20001,"COD",Orders!$F$2:$F$20001,"RTO"))</f>
        <v/>
      </c>
      <c r="D497" s="18" t="str">
        <f aca="false">IF($A497="","",IFERROR(C497/B497,0))</f>
        <v/>
      </c>
      <c r="E497" s="17" t="str">
        <f aca="false">IF($A497="","",COUNTIFS(Orders!$C$2:$C$20001,$A497,Orders!$E$2:$E$20001,"Prepaid",Orders!$F$2:$F$20001,"Delivered")+COUNTIFS(Orders!$C$2:$C$20001,$A497,Orders!$E$2:$E$20001,"Prepaid",Orders!$F$2:$F$20001,"RTO"))</f>
        <v/>
      </c>
      <c r="F497" s="17" t="str">
        <f aca="false">IF($A497="","",COUNTIFS(Orders!$C$2:$C$20001,$A497,Orders!$E$2:$E$20001,"Prepaid",Orders!$F$2:$F$20001,"RTO"))</f>
        <v/>
      </c>
      <c r="G497" s="18" t="str">
        <f aca="false">IF($A497="","",IFERROR(F497/E497,0))</f>
        <v/>
      </c>
      <c r="H497" s="19" t="str">
        <f aca="false">IF($A497="","",C497*Settings!$B$11)</f>
        <v/>
      </c>
      <c r="I497" s="20" t="str">
        <f aca="false">IF($A497="","",IF(N(H497)=0,"",RANK(H497,$H$5:$H$2004)))</f>
        <v/>
      </c>
      <c r="J497" s="21" t="str">
        <f aca="false">IF($A497="","",IF(B497=0,"No COD orders",IF(B497&lt;Settings!$B$8,"Too few orders",IF(D497&gt;=Settings!$B$9,"Restrict COD or verify","Keep COD"))))</f>
        <v/>
      </c>
    </row>
    <row r="498" customFormat="false" ht="15" hidden="false" customHeight="false" outlineLevel="0" collapsed="false">
      <c r="A498" s="27"/>
      <c r="B498" s="17" t="str">
        <f aca="false">IF($A498="","",COUNTIFS(Orders!$C$2:$C$20001,$A498,Orders!$E$2:$E$20001,"COD",Orders!$F$2:$F$20001,"Delivered")+COUNTIFS(Orders!$C$2:$C$20001,$A498,Orders!$E$2:$E$20001,"COD",Orders!$F$2:$F$20001,"RTO"))</f>
        <v/>
      </c>
      <c r="C498" s="17" t="str">
        <f aca="false">IF($A498="","",COUNTIFS(Orders!$C$2:$C$20001,$A498,Orders!$E$2:$E$20001,"COD",Orders!$F$2:$F$20001,"RTO"))</f>
        <v/>
      </c>
      <c r="D498" s="18" t="str">
        <f aca="false">IF($A498="","",IFERROR(C498/B498,0))</f>
        <v/>
      </c>
      <c r="E498" s="17" t="str">
        <f aca="false">IF($A498="","",COUNTIFS(Orders!$C$2:$C$20001,$A498,Orders!$E$2:$E$20001,"Prepaid",Orders!$F$2:$F$20001,"Delivered")+COUNTIFS(Orders!$C$2:$C$20001,$A498,Orders!$E$2:$E$20001,"Prepaid",Orders!$F$2:$F$20001,"RTO"))</f>
        <v/>
      </c>
      <c r="F498" s="17" t="str">
        <f aca="false">IF($A498="","",COUNTIFS(Orders!$C$2:$C$20001,$A498,Orders!$E$2:$E$20001,"Prepaid",Orders!$F$2:$F$20001,"RTO"))</f>
        <v/>
      </c>
      <c r="G498" s="18" t="str">
        <f aca="false">IF($A498="","",IFERROR(F498/E498,0))</f>
        <v/>
      </c>
      <c r="H498" s="19" t="str">
        <f aca="false">IF($A498="","",C498*Settings!$B$11)</f>
        <v/>
      </c>
      <c r="I498" s="20" t="str">
        <f aca="false">IF($A498="","",IF(N(H498)=0,"",RANK(H498,$H$5:$H$2004)))</f>
        <v/>
      </c>
      <c r="J498" s="21" t="str">
        <f aca="false">IF($A498="","",IF(B498=0,"No COD orders",IF(B498&lt;Settings!$B$8,"Too few orders",IF(D498&gt;=Settings!$B$9,"Restrict COD or verify","Keep COD"))))</f>
        <v/>
      </c>
    </row>
    <row r="499" customFormat="false" ht="15" hidden="false" customHeight="false" outlineLevel="0" collapsed="false">
      <c r="A499" s="27"/>
      <c r="B499" s="17" t="str">
        <f aca="false">IF($A499="","",COUNTIFS(Orders!$C$2:$C$20001,$A499,Orders!$E$2:$E$20001,"COD",Orders!$F$2:$F$20001,"Delivered")+COUNTIFS(Orders!$C$2:$C$20001,$A499,Orders!$E$2:$E$20001,"COD",Orders!$F$2:$F$20001,"RTO"))</f>
        <v/>
      </c>
      <c r="C499" s="17" t="str">
        <f aca="false">IF($A499="","",COUNTIFS(Orders!$C$2:$C$20001,$A499,Orders!$E$2:$E$20001,"COD",Orders!$F$2:$F$20001,"RTO"))</f>
        <v/>
      </c>
      <c r="D499" s="18" t="str">
        <f aca="false">IF($A499="","",IFERROR(C499/B499,0))</f>
        <v/>
      </c>
      <c r="E499" s="17" t="str">
        <f aca="false">IF($A499="","",COUNTIFS(Orders!$C$2:$C$20001,$A499,Orders!$E$2:$E$20001,"Prepaid",Orders!$F$2:$F$20001,"Delivered")+COUNTIFS(Orders!$C$2:$C$20001,$A499,Orders!$E$2:$E$20001,"Prepaid",Orders!$F$2:$F$20001,"RTO"))</f>
        <v/>
      </c>
      <c r="F499" s="17" t="str">
        <f aca="false">IF($A499="","",COUNTIFS(Orders!$C$2:$C$20001,$A499,Orders!$E$2:$E$20001,"Prepaid",Orders!$F$2:$F$20001,"RTO"))</f>
        <v/>
      </c>
      <c r="G499" s="18" t="str">
        <f aca="false">IF($A499="","",IFERROR(F499/E499,0))</f>
        <v/>
      </c>
      <c r="H499" s="19" t="str">
        <f aca="false">IF($A499="","",C499*Settings!$B$11)</f>
        <v/>
      </c>
      <c r="I499" s="20" t="str">
        <f aca="false">IF($A499="","",IF(N(H499)=0,"",RANK(H499,$H$5:$H$2004)))</f>
        <v/>
      </c>
      <c r="J499" s="21" t="str">
        <f aca="false">IF($A499="","",IF(B499=0,"No COD orders",IF(B499&lt;Settings!$B$8,"Too few orders",IF(D499&gt;=Settings!$B$9,"Restrict COD or verify","Keep COD"))))</f>
        <v/>
      </c>
    </row>
    <row r="500" customFormat="false" ht="15" hidden="false" customHeight="false" outlineLevel="0" collapsed="false">
      <c r="A500" s="27"/>
      <c r="B500" s="17" t="str">
        <f aca="false">IF($A500="","",COUNTIFS(Orders!$C$2:$C$20001,$A500,Orders!$E$2:$E$20001,"COD",Orders!$F$2:$F$20001,"Delivered")+COUNTIFS(Orders!$C$2:$C$20001,$A500,Orders!$E$2:$E$20001,"COD",Orders!$F$2:$F$20001,"RTO"))</f>
        <v/>
      </c>
      <c r="C500" s="17" t="str">
        <f aca="false">IF($A500="","",COUNTIFS(Orders!$C$2:$C$20001,$A500,Orders!$E$2:$E$20001,"COD",Orders!$F$2:$F$20001,"RTO"))</f>
        <v/>
      </c>
      <c r="D500" s="18" t="str">
        <f aca="false">IF($A500="","",IFERROR(C500/B500,0))</f>
        <v/>
      </c>
      <c r="E500" s="17" t="str">
        <f aca="false">IF($A500="","",COUNTIFS(Orders!$C$2:$C$20001,$A500,Orders!$E$2:$E$20001,"Prepaid",Orders!$F$2:$F$20001,"Delivered")+COUNTIFS(Orders!$C$2:$C$20001,$A500,Orders!$E$2:$E$20001,"Prepaid",Orders!$F$2:$F$20001,"RTO"))</f>
        <v/>
      </c>
      <c r="F500" s="17" t="str">
        <f aca="false">IF($A500="","",COUNTIFS(Orders!$C$2:$C$20001,$A500,Orders!$E$2:$E$20001,"Prepaid",Orders!$F$2:$F$20001,"RTO"))</f>
        <v/>
      </c>
      <c r="G500" s="18" t="str">
        <f aca="false">IF($A500="","",IFERROR(F500/E500,0))</f>
        <v/>
      </c>
      <c r="H500" s="19" t="str">
        <f aca="false">IF($A500="","",C500*Settings!$B$11)</f>
        <v/>
      </c>
      <c r="I500" s="20" t="str">
        <f aca="false">IF($A500="","",IF(N(H500)=0,"",RANK(H500,$H$5:$H$2004)))</f>
        <v/>
      </c>
      <c r="J500" s="21" t="str">
        <f aca="false">IF($A500="","",IF(B500=0,"No COD orders",IF(B500&lt;Settings!$B$8,"Too few orders",IF(D500&gt;=Settings!$B$9,"Restrict COD or verify","Keep COD"))))</f>
        <v/>
      </c>
    </row>
    <row r="501" customFormat="false" ht="15" hidden="false" customHeight="false" outlineLevel="0" collapsed="false">
      <c r="A501" s="27"/>
      <c r="B501" s="17" t="str">
        <f aca="false">IF($A501="","",COUNTIFS(Orders!$C$2:$C$20001,$A501,Orders!$E$2:$E$20001,"COD",Orders!$F$2:$F$20001,"Delivered")+COUNTIFS(Orders!$C$2:$C$20001,$A501,Orders!$E$2:$E$20001,"COD",Orders!$F$2:$F$20001,"RTO"))</f>
        <v/>
      </c>
      <c r="C501" s="17" t="str">
        <f aca="false">IF($A501="","",COUNTIFS(Orders!$C$2:$C$20001,$A501,Orders!$E$2:$E$20001,"COD",Orders!$F$2:$F$20001,"RTO"))</f>
        <v/>
      </c>
      <c r="D501" s="18" t="str">
        <f aca="false">IF($A501="","",IFERROR(C501/B501,0))</f>
        <v/>
      </c>
      <c r="E501" s="17" t="str">
        <f aca="false">IF($A501="","",COUNTIFS(Orders!$C$2:$C$20001,$A501,Orders!$E$2:$E$20001,"Prepaid",Orders!$F$2:$F$20001,"Delivered")+COUNTIFS(Orders!$C$2:$C$20001,$A501,Orders!$E$2:$E$20001,"Prepaid",Orders!$F$2:$F$20001,"RTO"))</f>
        <v/>
      </c>
      <c r="F501" s="17" t="str">
        <f aca="false">IF($A501="","",COUNTIFS(Orders!$C$2:$C$20001,$A501,Orders!$E$2:$E$20001,"Prepaid",Orders!$F$2:$F$20001,"RTO"))</f>
        <v/>
      </c>
      <c r="G501" s="18" t="str">
        <f aca="false">IF($A501="","",IFERROR(F501/E501,0))</f>
        <v/>
      </c>
      <c r="H501" s="19" t="str">
        <f aca="false">IF($A501="","",C501*Settings!$B$11)</f>
        <v/>
      </c>
      <c r="I501" s="20" t="str">
        <f aca="false">IF($A501="","",IF(N(H501)=0,"",RANK(H501,$H$5:$H$2004)))</f>
        <v/>
      </c>
      <c r="J501" s="21" t="str">
        <f aca="false">IF($A501="","",IF(B501=0,"No COD orders",IF(B501&lt;Settings!$B$8,"Too few orders",IF(D501&gt;=Settings!$B$9,"Restrict COD or verify","Keep COD"))))</f>
        <v/>
      </c>
    </row>
    <row r="502" customFormat="false" ht="15" hidden="false" customHeight="false" outlineLevel="0" collapsed="false">
      <c r="A502" s="27"/>
      <c r="B502" s="17" t="str">
        <f aca="false">IF($A502="","",COUNTIFS(Orders!$C$2:$C$20001,$A502,Orders!$E$2:$E$20001,"COD",Orders!$F$2:$F$20001,"Delivered")+COUNTIFS(Orders!$C$2:$C$20001,$A502,Orders!$E$2:$E$20001,"COD",Orders!$F$2:$F$20001,"RTO"))</f>
        <v/>
      </c>
      <c r="C502" s="17" t="str">
        <f aca="false">IF($A502="","",COUNTIFS(Orders!$C$2:$C$20001,$A502,Orders!$E$2:$E$20001,"COD",Orders!$F$2:$F$20001,"RTO"))</f>
        <v/>
      </c>
      <c r="D502" s="18" t="str">
        <f aca="false">IF($A502="","",IFERROR(C502/B502,0))</f>
        <v/>
      </c>
      <c r="E502" s="17" t="str">
        <f aca="false">IF($A502="","",COUNTIFS(Orders!$C$2:$C$20001,$A502,Orders!$E$2:$E$20001,"Prepaid",Orders!$F$2:$F$20001,"Delivered")+COUNTIFS(Orders!$C$2:$C$20001,$A502,Orders!$E$2:$E$20001,"Prepaid",Orders!$F$2:$F$20001,"RTO"))</f>
        <v/>
      </c>
      <c r="F502" s="17" t="str">
        <f aca="false">IF($A502="","",COUNTIFS(Orders!$C$2:$C$20001,$A502,Orders!$E$2:$E$20001,"Prepaid",Orders!$F$2:$F$20001,"RTO"))</f>
        <v/>
      </c>
      <c r="G502" s="18" t="str">
        <f aca="false">IF($A502="","",IFERROR(F502/E502,0))</f>
        <v/>
      </c>
      <c r="H502" s="19" t="str">
        <f aca="false">IF($A502="","",C502*Settings!$B$11)</f>
        <v/>
      </c>
      <c r="I502" s="20" t="str">
        <f aca="false">IF($A502="","",IF(N(H502)=0,"",RANK(H502,$H$5:$H$2004)))</f>
        <v/>
      </c>
      <c r="J502" s="21" t="str">
        <f aca="false">IF($A502="","",IF(B502=0,"No COD orders",IF(B502&lt;Settings!$B$8,"Too few orders",IF(D502&gt;=Settings!$B$9,"Restrict COD or verify","Keep COD"))))</f>
        <v/>
      </c>
    </row>
    <row r="503" customFormat="false" ht="15" hidden="false" customHeight="false" outlineLevel="0" collapsed="false">
      <c r="A503" s="27"/>
      <c r="B503" s="17" t="str">
        <f aca="false">IF($A503="","",COUNTIFS(Orders!$C$2:$C$20001,$A503,Orders!$E$2:$E$20001,"COD",Orders!$F$2:$F$20001,"Delivered")+COUNTIFS(Orders!$C$2:$C$20001,$A503,Orders!$E$2:$E$20001,"COD",Orders!$F$2:$F$20001,"RTO"))</f>
        <v/>
      </c>
      <c r="C503" s="17" t="str">
        <f aca="false">IF($A503="","",COUNTIFS(Orders!$C$2:$C$20001,$A503,Orders!$E$2:$E$20001,"COD",Orders!$F$2:$F$20001,"RTO"))</f>
        <v/>
      </c>
      <c r="D503" s="18" t="str">
        <f aca="false">IF($A503="","",IFERROR(C503/B503,0))</f>
        <v/>
      </c>
      <c r="E503" s="17" t="str">
        <f aca="false">IF($A503="","",COUNTIFS(Orders!$C$2:$C$20001,$A503,Orders!$E$2:$E$20001,"Prepaid",Orders!$F$2:$F$20001,"Delivered")+COUNTIFS(Orders!$C$2:$C$20001,$A503,Orders!$E$2:$E$20001,"Prepaid",Orders!$F$2:$F$20001,"RTO"))</f>
        <v/>
      </c>
      <c r="F503" s="17" t="str">
        <f aca="false">IF($A503="","",COUNTIFS(Orders!$C$2:$C$20001,$A503,Orders!$E$2:$E$20001,"Prepaid",Orders!$F$2:$F$20001,"RTO"))</f>
        <v/>
      </c>
      <c r="G503" s="18" t="str">
        <f aca="false">IF($A503="","",IFERROR(F503/E503,0))</f>
        <v/>
      </c>
      <c r="H503" s="19" t="str">
        <f aca="false">IF($A503="","",C503*Settings!$B$11)</f>
        <v/>
      </c>
      <c r="I503" s="20" t="str">
        <f aca="false">IF($A503="","",IF(N(H503)=0,"",RANK(H503,$H$5:$H$2004)))</f>
        <v/>
      </c>
      <c r="J503" s="21" t="str">
        <f aca="false">IF($A503="","",IF(B503=0,"No COD orders",IF(B503&lt;Settings!$B$8,"Too few orders",IF(D503&gt;=Settings!$B$9,"Restrict COD or verify","Keep COD"))))</f>
        <v/>
      </c>
    </row>
    <row r="504" customFormat="false" ht="15" hidden="false" customHeight="false" outlineLevel="0" collapsed="false">
      <c r="A504" s="27"/>
      <c r="B504" s="17" t="str">
        <f aca="false">IF($A504="","",COUNTIFS(Orders!$C$2:$C$20001,$A504,Orders!$E$2:$E$20001,"COD",Orders!$F$2:$F$20001,"Delivered")+COUNTIFS(Orders!$C$2:$C$20001,$A504,Orders!$E$2:$E$20001,"COD",Orders!$F$2:$F$20001,"RTO"))</f>
        <v/>
      </c>
      <c r="C504" s="17" t="str">
        <f aca="false">IF($A504="","",COUNTIFS(Orders!$C$2:$C$20001,$A504,Orders!$E$2:$E$20001,"COD",Orders!$F$2:$F$20001,"RTO"))</f>
        <v/>
      </c>
      <c r="D504" s="18" t="str">
        <f aca="false">IF($A504="","",IFERROR(C504/B504,0))</f>
        <v/>
      </c>
      <c r="E504" s="17" t="str">
        <f aca="false">IF($A504="","",COUNTIFS(Orders!$C$2:$C$20001,$A504,Orders!$E$2:$E$20001,"Prepaid",Orders!$F$2:$F$20001,"Delivered")+COUNTIFS(Orders!$C$2:$C$20001,$A504,Orders!$E$2:$E$20001,"Prepaid",Orders!$F$2:$F$20001,"RTO"))</f>
        <v/>
      </c>
      <c r="F504" s="17" t="str">
        <f aca="false">IF($A504="","",COUNTIFS(Orders!$C$2:$C$20001,$A504,Orders!$E$2:$E$20001,"Prepaid",Orders!$F$2:$F$20001,"RTO"))</f>
        <v/>
      </c>
      <c r="G504" s="18" t="str">
        <f aca="false">IF($A504="","",IFERROR(F504/E504,0))</f>
        <v/>
      </c>
      <c r="H504" s="19" t="str">
        <f aca="false">IF($A504="","",C504*Settings!$B$11)</f>
        <v/>
      </c>
      <c r="I504" s="20" t="str">
        <f aca="false">IF($A504="","",IF(N(H504)=0,"",RANK(H504,$H$5:$H$2004)))</f>
        <v/>
      </c>
      <c r="J504" s="21" t="str">
        <f aca="false">IF($A504="","",IF(B504=0,"No COD orders",IF(B504&lt;Settings!$B$8,"Too few orders",IF(D504&gt;=Settings!$B$9,"Restrict COD or verify","Keep COD"))))</f>
        <v/>
      </c>
    </row>
    <row r="505" customFormat="false" ht="15" hidden="false" customHeight="false" outlineLevel="0" collapsed="false">
      <c r="A505" s="27"/>
      <c r="B505" s="17" t="str">
        <f aca="false">IF($A505="","",COUNTIFS(Orders!$C$2:$C$20001,$A505,Orders!$E$2:$E$20001,"COD",Orders!$F$2:$F$20001,"Delivered")+COUNTIFS(Orders!$C$2:$C$20001,$A505,Orders!$E$2:$E$20001,"COD",Orders!$F$2:$F$20001,"RTO"))</f>
        <v/>
      </c>
      <c r="C505" s="17" t="str">
        <f aca="false">IF($A505="","",COUNTIFS(Orders!$C$2:$C$20001,$A505,Orders!$E$2:$E$20001,"COD",Orders!$F$2:$F$20001,"RTO"))</f>
        <v/>
      </c>
      <c r="D505" s="18" t="str">
        <f aca="false">IF($A505="","",IFERROR(C505/B505,0))</f>
        <v/>
      </c>
      <c r="E505" s="17" t="str">
        <f aca="false">IF($A505="","",COUNTIFS(Orders!$C$2:$C$20001,$A505,Orders!$E$2:$E$20001,"Prepaid",Orders!$F$2:$F$20001,"Delivered")+COUNTIFS(Orders!$C$2:$C$20001,$A505,Orders!$E$2:$E$20001,"Prepaid",Orders!$F$2:$F$20001,"RTO"))</f>
        <v/>
      </c>
      <c r="F505" s="17" t="str">
        <f aca="false">IF($A505="","",COUNTIFS(Orders!$C$2:$C$20001,$A505,Orders!$E$2:$E$20001,"Prepaid",Orders!$F$2:$F$20001,"RTO"))</f>
        <v/>
      </c>
      <c r="G505" s="18" t="str">
        <f aca="false">IF($A505="","",IFERROR(F505/E505,0))</f>
        <v/>
      </c>
      <c r="H505" s="19" t="str">
        <f aca="false">IF($A505="","",C505*Settings!$B$11)</f>
        <v/>
      </c>
      <c r="I505" s="20" t="str">
        <f aca="false">IF($A505="","",IF(N(H505)=0,"",RANK(H505,$H$5:$H$2004)))</f>
        <v/>
      </c>
      <c r="J505" s="21" t="str">
        <f aca="false">IF($A505="","",IF(B505=0,"No COD orders",IF(B505&lt;Settings!$B$8,"Too few orders",IF(D505&gt;=Settings!$B$9,"Restrict COD or verify","Keep COD"))))</f>
        <v/>
      </c>
    </row>
    <row r="506" customFormat="false" ht="15" hidden="false" customHeight="false" outlineLevel="0" collapsed="false">
      <c r="A506" s="27"/>
      <c r="B506" s="17" t="str">
        <f aca="false">IF($A506="","",COUNTIFS(Orders!$C$2:$C$20001,$A506,Orders!$E$2:$E$20001,"COD",Orders!$F$2:$F$20001,"Delivered")+COUNTIFS(Orders!$C$2:$C$20001,$A506,Orders!$E$2:$E$20001,"COD",Orders!$F$2:$F$20001,"RTO"))</f>
        <v/>
      </c>
      <c r="C506" s="17" t="str">
        <f aca="false">IF($A506="","",COUNTIFS(Orders!$C$2:$C$20001,$A506,Orders!$E$2:$E$20001,"COD",Orders!$F$2:$F$20001,"RTO"))</f>
        <v/>
      </c>
      <c r="D506" s="18" t="str">
        <f aca="false">IF($A506="","",IFERROR(C506/B506,0))</f>
        <v/>
      </c>
      <c r="E506" s="17" t="str">
        <f aca="false">IF($A506="","",COUNTIFS(Orders!$C$2:$C$20001,$A506,Orders!$E$2:$E$20001,"Prepaid",Orders!$F$2:$F$20001,"Delivered")+COUNTIFS(Orders!$C$2:$C$20001,$A506,Orders!$E$2:$E$20001,"Prepaid",Orders!$F$2:$F$20001,"RTO"))</f>
        <v/>
      </c>
      <c r="F506" s="17" t="str">
        <f aca="false">IF($A506="","",COUNTIFS(Orders!$C$2:$C$20001,$A506,Orders!$E$2:$E$20001,"Prepaid",Orders!$F$2:$F$20001,"RTO"))</f>
        <v/>
      </c>
      <c r="G506" s="18" t="str">
        <f aca="false">IF($A506="","",IFERROR(F506/E506,0))</f>
        <v/>
      </c>
      <c r="H506" s="19" t="str">
        <f aca="false">IF($A506="","",C506*Settings!$B$11)</f>
        <v/>
      </c>
      <c r="I506" s="20" t="str">
        <f aca="false">IF($A506="","",IF(N(H506)=0,"",RANK(H506,$H$5:$H$2004)))</f>
        <v/>
      </c>
      <c r="J506" s="21" t="str">
        <f aca="false">IF($A506="","",IF(B506=0,"No COD orders",IF(B506&lt;Settings!$B$8,"Too few orders",IF(D506&gt;=Settings!$B$9,"Restrict COD or verify","Keep COD"))))</f>
        <v/>
      </c>
    </row>
    <row r="507" customFormat="false" ht="15" hidden="false" customHeight="false" outlineLevel="0" collapsed="false">
      <c r="A507" s="27"/>
      <c r="B507" s="17" t="str">
        <f aca="false">IF($A507="","",COUNTIFS(Orders!$C$2:$C$20001,$A507,Orders!$E$2:$E$20001,"COD",Orders!$F$2:$F$20001,"Delivered")+COUNTIFS(Orders!$C$2:$C$20001,$A507,Orders!$E$2:$E$20001,"COD",Orders!$F$2:$F$20001,"RTO"))</f>
        <v/>
      </c>
      <c r="C507" s="17" t="str">
        <f aca="false">IF($A507="","",COUNTIFS(Orders!$C$2:$C$20001,$A507,Orders!$E$2:$E$20001,"COD",Orders!$F$2:$F$20001,"RTO"))</f>
        <v/>
      </c>
      <c r="D507" s="18" t="str">
        <f aca="false">IF($A507="","",IFERROR(C507/B507,0))</f>
        <v/>
      </c>
      <c r="E507" s="17" t="str">
        <f aca="false">IF($A507="","",COUNTIFS(Orders!$C$2:$C$20001,$A507,Orders!$E$2:$E$20001,"Prepaid",Orders!$F$2:$F$20001,"Delivered")+COUNTIFS(Orders!$C$2:$C$20001,$A507,Orders!$E$2:$E$20001,"Prepaid",Orders!$F$2:$F$20001,"RTO"))</f>
        <v/>
      </c>
      <c r="F507" s="17" t="str">
        <f aca="false">IF($A507="","",COUNTIFS(Orders!$C$2:$C$20001,$A507,Orders!$E$2:$E$20001,"Prepaid",Orders!$F$2:$F$20001,"RTO"))</f>
        <v/>
      </c>
      <c r="G507" s="18" t="str">
        <f aca="false">IF($A507="","",IFERROR(F507/E507,0))</f>
        <v/>
      </c>
      <c r="H507" s="19" t="str">
        <f aca="false">IF($A507="","",C507*Settings!$B$11)</f>
        <v/>
      </c>
      <c r="I507" s="20" t="str">
        <f aca="false">IF($A507="","",IF(N(H507)=0,"",RANK(H507,$H$5:$H$2004)))</f>
        <v/>
      </c>
      <c r="J507" s="21" t="str">
        <f aca="false">IF($A507="","",IF(B507=0,"No COD orders",IF(B507&lt;Settings!$B$8,"Too few orders",IF(D507&gt;=Settings!$B$9,"Restrict COD or verify","Keep COD"))))</f>
        <v/>
      </c>
    </row>
    <row r="508" customFormat="false" ht="15" hidden="false" customHeight="false" outlineLevel="0" collapsed="false">
      <c r="A508" s="27"/>
      <c r="B508" s="17" t="str">
        <f aca="false">IF($A508="","",COUNTIFS(Orders!$C$2:$C$20001,$A508,Orders!$E$2:$E$20001,"COD",Orders!$F$2:$F$20001,"Delivered")+COUNTIFS(Orders!$C$2:$C$20001,$A508,Orders!$E$2:$E$20001,"COD",Orders!$F$2:$F$20001,"RTO"))</f>
        <v/>
      </c>
      <c r="C508" s="17" t="str">
        <f aca="false">IF($A508="","",COUNTIFS(Orders!$C$2:$C$20001,$A508,Orders!$E$2:$E$20001,"COD",Orders!$F$2:$F$20001,"RTO"))</f>
        <v/>
      </c>
      <c r="D508" s="18" t="str">
        <f aca="false">IF($A508="","",IFERROR(C508/B508,0))</f>
        <v/>
      </c>
      <c r="E508" s="17" t="str">
        <f aca="false">IF($A508="","",COUNTIFS(Orders!$C$2:$C$20001,$A508,Orders!$E$2:$E$20001,"Prepaid",Orders!$F$2:$F$20001,"Delivered")+COUNTIFS(Orders!$C$2:$C$20001,$A508,Orders!$E$2:$E$20001,"Prepaid",Orders!$F$2:$F$20001,"RTO"))</f>
        <v/>
      </c>
      <c r="F508" s="17" t="str">
        <f aca="false">IF($A508="","",COUNTIFS(Orders!$C$2:$C$20001,$A508,Orders!$E$2:$E$20001,"Prepaid",Orders!$F$2:$F$20001,"RTO"))</f>
        <v/>
      </c>
      <c r="G508" s="18" t="str">
        <f aca="false">IF($A508="","",IFERROR(F508/E508,0))</f>
        <v/>
      </c>
      <c r="H508" s="19" t="str">
        <f aca="false">IF($A508="","",C508*Settings!$B$11)</f>
        <v/>
      </c>
      <c r="I508" s="20" t="str">
        <f aca="false">IF($A508="","",IF(N(H508)=0,"",RANK(H508,$H$5:$H$2004)))</f>
        <v/>
      </c>
      <c r="J508" s="21" t="str">
        <f aca="false">IF($A508="","",IF(B508=0,"No COD orders",IF(B508&lt;Settings!$B$8,"Too few orders",IF(D508&gt;=Settings!$B$9,"Restrict COD or verify","Keep COD"))))</f>
        <v/>
      </c>
    </row>
    <row r="509" customFormat="false" ht="15" hidden="false" customHeight="false" outlineLevel="0" collapsed="false">
      <c r="A509" s="27"/>
      <c r="B509" s="17" t="str">
        <f aca="false">IF($A509="","",COUNTIFS(Orders!$C$2:$C$20001,$A509,Orders!$E$2:$E$20001,"COD",Orders!$F$2:$F$20001,"Delivered")+COUNTIFS(Orders!$C$2:$C$20001,$A509,Orders!$E$2:$E$20001,"COD",Orders!$F$2:$F$20001,"RTO"))</f>
        <v/>
      </c>
      <c r="C509" s="17" t="str">
        <f aca="false">IF($A509="","",COUNTIFS(Orders!$C$2:$C$20001,$A509,Orders!$E$2:$E$20001,"COD",Orders!$F$2:$F$20001,"RTO"))</f>
        <v/>
      </c>
      <c r="D509" s="18" t="str">
        <f aca="false">IF($A509="","",IFERROR(C509/B509,0))</f>
        <v/>
      </c>
      <c r="E509" s="17" t="str">
        <f aca="false">IF($A509="","",COUNTIFS(Orders!$C$2:$C$20001,$A509,Orders!$E$2:$E$20001,"Prepaid",Orders!$F$2:$F$20001,"Delivered")+COUNTIFS(Orders!$C$2:$C$20001,$A509,Orders!$E$2:$E$20001,"Prepaid",Orders!$F$2:$F$20001,"RTO"))</f>
        <v/>
      </c>
      <c r="F509" s="17" t="str">
        <f aca="false">IF($A509="","",COUNTIFS(Orders!$C$2:$C$20001,$A509,Orders!$E$2:$E$20001,"Prepaid",Orders!$F$2:$F$20001,"RTO"))</f>
        <v/>
      </c>
      <c r="G509" s="18" t="str">
        <f aca="false">IF($A509="","",IFERROR(F509/E509,0))</f>
        <v/>
      </c>
      <c r="H509" s="19" t="str">
        <f aca="false">IF($A509="","",C509*Settings!$B$11)</f>
        <v/>
      </c>
      <c r="I509" s="20" t="str">
        <f aca="false">IF($A509="","",IF(N(H509)=0,"",RANK(H509,$H$5:$H$2004)))</f>
        <v/>
      </c>
      <c r="J509" s="21" t="str">
        <f aca="false">IF($A509="","",IF(B509=0,"No COD orders",IF(B509&lt;Settings!$B$8,"Too few orders",IF(D509&gt;=Settings!$B$9,"Restrict COD or verify","Keep COD"))))</f>
        <v/>
      </c>
    </row>
    <row r="510" customFormat="false" ht="15" hidden="false" customHeight="false" outlineLevel="0" collapsed="false">
      <c r="A510" s="27"/>
      <c r="B510" s="17" t="str">
        <f aca="false">IF($A510="","",COUNTIFS(Orders!$C$2:$C$20001,$A510,Orders!$E$2:$E$20001,"COD",Orders!$F$2:$F$20001,"Delivered")+COUNTIFS(Orders!$C$2:$C$20001,$A510,Orders!$E$2:$E$20001,"COD",Orders!$F$2:$F$20001,"RTO"))</f>
        <v/>
      </c>
      <c r="C510" s="17" t="str">
        <f aca="false">IF($A510="","",COUNTIFS(Orders!$C$2:$C$20001,$A510,Orders!$E$2:$E$20001,"COD",Orders!$F$2:$F$20001,"RTO"))</f>
        <v/>
      </c>
      <c r="D510" s="18" t="str">
        <f aca="false">IF($A510="","",IFERROR(C510/B510,0))</f>
        <v/>
      </c>
      <c r="E510" s="17" t="str">
        <f aca="false">IF($A510="","",COUNTIFS(Orders!$C$2:$C$20001,$A510,Orders!$E$2:$E$20001,"Prepaid",Orders!$F$2:$F$20001,"Delivered")+COUNTIFS(Orders!$C$2:$C$20001,$A510,Orders!$E$2:$E$20001,"Prepaid",Orders!$F$2:$F$20001,"RTO"))</f>
        <v/>
      </c>
      <c r="F510" s="17" t="str">
        <f aca="false">IF($A510="","",COUNTIFS(Orders!$C$2:$C$20001,$A510,Orders!$E$2:$E$20001,"Prepaid",Orders!$F$2:$F$20001,"RTO"))</f>
        <v/>
      </c>
      <c r="G510" s="18" t="str">
        <f aca="false">IF($A510="","",IFERROR(F510/E510,0))</f>
        <v/>
      </c>
      <c r="H510" s="19" t="str">
        <f aca="false">IF($A510="","",C510*Settings!$B$11)</f>
        <v/>
      </c>
      <c r="I510" s="20" t="str">
        <f aca="false">IF($A510="","",IF(N(H510)=0,"",RANK(H510,$H$5:$H$2004)))</f>
        <v/>
      </c>
      <c r="J510" s="21" t="str">
        <f aca="false">IF($A510="","",IF(B510=0,"No COD orders",IF(B510&lt;Settings!$B$8,"Too few orders",IF(D510&gt;=Settings!$B$9,"Restrict COD or verify","Keep COD"))))</f>
        <v/>
      </c>
    </row>
    <row r="511" customFormat="false" ht="15" hidden="false" customHeight="false" outlineLevel="0" collapsed="false">
      <c r="A511" s="27"/>
      <c r="B511" s="17" t="str">
        <f aca="false">IF($A511="","",COUNTIFS(Orders!$C$2:$C$20001,$A511,Orders!$E$2:$E$20001,"COD",Orders!$F$2:$F$20001,"Delivered")+COUNTIFS(Orders!$C$2:$C$20001,$A511,Orders!$E$2:$E$20001,"COD",Orders!$F$2:$F$20001,"RTO"))</f>
        <v/>
      </c>
      <c r="C511" s="17" t="str">
        <f aca="false">IF($A511="","",COUNTIFS(Orders!$C$2:$C$20001,$A511,Orders!$E$2:$E$20001,"COD",Orders!$F$2:$F$20001,"RTO"))</f>
        <v/>
      </c>
      <c r="D511" s="18" t="str">
        <f aca="false">IF($A511="","",IFERROR(C511/B511,0))</f>
        <v/>
      </c>
      <c r="E511" s="17" t="str">
        <f aca="false">IF($A511="","",COUNTIFS(Orders!$C$2:$C$20001,$A511,Orders!$E$2:$E$20001,"Prepaid",Orders!$F$2:$F$20001,"Delivered")+COUNTIFS(Orders!$C$2:$C$20001,$A511,Orders!$E$2:$E$20001,"Prepaid",Orders!$F$2:$F$20001,"RTO"))</f>
        <v/>
      </c>
      <c r="F511" s="17" t="str">
        <f aca="false">IF($A511="","",COUNTIFS(Orders!$C$2:$C$20001,$A511,Orders!$E$2:$E$20001,"Prepaid",Orders!$F$2:$F$20001,"RTO"))</f>
        <v/>
      </c>
      <c r="G511" s="18" t="str">
        <f aca="false">IF($A511="","",IFERROR(F511/E511,0))</f>
        <v/>
      </c>
      <c r="H511" s="19" t="str">
        <f aca="false">IF($A511="","",C511*Settings!$B$11)</f>
        <v/>
      </c>
      <c r="I511" s="20" t="str">
        <f aca="false">IF($A511="","",IF(N(H511)=0,"",RANK(H511,$H$5:$H$2004)))</f>
        <v/>
      </c>
      <c r="J511" s="21" t="str">
        <f aca="false">IF($A511="","",IF(B511=0,"No COD orders",IF(B511&lt;Settings!$B$8,"Too few orders",IF(D511&gt;=Settings!$B$9,"Restrict COD or verify","Keep COD"))))</f>
        <v/>
      </c>
    </row>
    <row r="512" customFormat="false" ht="15" hidden="false" customHeight="false" outlineLevel="0" collapsed="false">
      <c r="A512" s="27"/>
      <c r="B512" s="17" t="str">
        <f aca="false">IF($A512="","",COUNTIFS(Orders!$C$2:$C$20001,$A512,Orders!$E$2:$E$20001,"COD",Orders!$F$2:$F$20001,"Delivered")+COUNTIFS(Orders!$C$2:$C$20001,$A512,Orders!$E$2:$E$20001,"COD",Orders!$F$2:$F$20001,"RTO"))</f>
        <v/>
      </c>
      <c r="C512" s="17" t="str">
        <f aca="false">IF($A512="","",COUNTIFS(Orders!$C$2:$C$20001,$A512,Orders!$E$2:$E$20001,"COD",Orders!$F$2:$F$20001,"RTO"))</f>
        <v/>
      </c>
      <c r="D512" s="18" t="str">
        <f aca="false">IF($A512="","",IFERROR(C512/B512,0))</f>
        <v/>
      </c>
      <c r="E512" s="17" t="str">
        <f aca="false">IF($A512="","",COUNTIFS(Orders!$C$2:$C$20001,$A512,Orders!$E$2:$E$20001,"Prepaid",Orders!$F$2:$F$20001,"Delivered")+COUNTIFS(Orders!$C$2:$C$20001,$A512,Orders!$E$2:$E$20001,"Prepaid",Orders!$F$2:$F$20001,"RTO"))</f>
        <v/>
      </c>
      <c r="F512" s="17" t="str">
        <f aca="false">IF($A512="","",COUNTIFS(Orders!$C$2:$C$20001,$A512,Orders!$E$2:$E$20001,"Prepaid",Orders!$F$2:$F$20001,"RTO"))</f>
        <v/>
      </c>
      <c r="G512" s="18" t="str">
        <f aca="false">IF($A512="","",IFERROR(F512/E512,0))</f>
        <v/>
      </c>
      <c r="H512" s="19" t="str">
        <f aca="false">IF($A512="","",C512*Settings!$B$11)</f>
        <v/>
      </c>
      <c r="I512" s="20" t="str">
        <f aca="false">IF($A512="","",IF(N(H512)=0,"",RANK(H512,$H$5:$H$2004)))</f>
        <v/>
      </c>
      <c r="J512" s="21" t="str">
        <f aca="false">IF($A512="","",IF(B512=0,"No COD orders",IF(B512&lt;Settings!$B$8,"Too few orders",IF(D512&gt;=Settings!$B$9,"Restrict COD or verify","Keep COD"))))</f>
        <v/>
      </c>
    </row>
    <row r="513" customFormat="false" ht="15" hidden="false" customHeight="false" outlineLevel="0" collapsed="false">
      <c r="A513" s="27"/>
      <c r="B513" s="17" t="str">
        <f aca="false">IF($A513="","",COUNTIFS(Orders!$C$2:$C$20001,$A513,Orders!$E$2:$E$20001,"COD",Orders!$F$2:$F$20001,"Delivered")+COUNTIFS(Orders!$C$2:$C$20001,$A513,Orders!$E$2:$E$20001,"COD",Orders!$F$2:$F$20001,"RTO"))</f>
        <v/>
      </c>
      <c r="C513" s="17" t="str">
        <f aca="false">IF($A513="","",COUNTIFS(Orders!$C$2:$C$20001,$A513,Orders!$E$2:$E$20001,"COD",Orders!$F$2:$F$20001,"RTO"))</f>
        <v/>
      </c>
      <c r="D513" s="18" t="str">
        <f aca="false">IF($A513="","",IFERROR(C513/B513,0))</f>
        <v/>
      </c>
      <c r="E513" s="17" t="str">
        <f aca="false">IF($A513="","",COUNTIFS(Orders!$C$2:$C$20001,$A513,Orders!$E$2:$E$20001,"Prepaid",Orders!$F$2:$F$20001,"Delivered")+COUNTIFS(Orders!$C$2:$C$20001,$A513,Orders!$E$2:$E$20001,"Prepaid",Orders!$F$2:$F$20001,"RTO"))</f>
        <v/>
      </c>
      <c r="F513" s="17" t="str">
        <f aca="false">IF($A513="","",COUNTIFS(Orders!$C$2:$C$20001,$A513,Orders!$E$2:$E$20001,"Prepaid",Orders!$F$2:$F$20001,"RTO"))</f>
        <v/>
      </c>
      <c r="G513" s="18" t="str">
        <f aca="false">IF($A513="","",IFERROR(F513/E513,0))</f>
        <v/>
      </c>
      <c r="H513" s="19" t="str">
        <f aca="false">IF($A513="","",C513*Settings!$B$11)</f>
        <v/>
      </c>
      <c r="I513" s="20" t="str">
        <f aca="false">IF($A513="","",IF(N(H513)=0,"",RANK(H513,$H$5:$H$2004)))</f>
        <v/>
      </c>
      <c r="J513" s="21" t="str">
        <f aca="false">IF($A513="","",IF(B513=0,"No COD orders",IF(B513&lt;Settings!$B$8,"Too few orders",IF(D513&gt;=Settings!$B$9,"Restrict COD or verify","Keep COD"))))</f>
        <v/>
      </c>
    </row>
    <row r="514" customFormat="false" ht="15" hidden="false" customHeight="false" outlineLevel="0" collapsed="false">
      <c r="A514" s="27"/>
      <c r="B514" s="17" t="str">
        <f aca="false">IF($A514="","",COUNTIFS(Orders!$C$2:$C$20001,$A514,Orders!$E$2:$E$20001,"COD",Orders!$F$2:$F$20001,"Delivered")+COUNTIFS(Orders!$C$2:$C$20001,$A514,Orders!$E$2:$E$20001,"COD",Orders!$F$2:$F$20001,"RTO"))</f>
        <v/>
      </c>
      <c r="C514" s="17" t="str">
        <f aca="false">IF($A514="","",COUNTIFS(Orders!$C$2:$C$20001,$A514,Orders!$E$2:$E$20001,"COD",Orders!$F$2:$F$20001,"RTO"))</f>
        <v/>
      </c>
      <c r="D514" s="18" t="str">
        <f aca="false">IF($A514="","",IFERROR(C514/B514,0))</f>
        <v/>
      </c>
      <c r="E514" s="17" t="str">
        <f aca="false">IF($A514="","",COUNTIFS(Orders!$C$2:$C$20001,$A514,Orders!$E$2:$E$20001,"Prepaid",Orders!$F$2:$F$20001,"Delivered")+COUNTIFS(Orders!$C$2:$C$20001,$A514,Orders!$E$2:$E$20001,"Prepaid",Orders!$F$2:$F$20001,"RTO"))</f>
        <v/>
      </c>
      <c r="F514" s="17" t="str">
        <f aca="false">IF($A514="","",COUNTIFS(Orders!$C$2:$C$20001,$A514,Orders!$E$2:$E$20001,"Prepaid",Orders!$F$2:$F$20001,"RTO"))</f>
        <v/>
      </c>
      <c r="G514" s="18" t="str">
        <f aca="false">IF($A514="","",IFERROR(F514/E514,0))</f>
        <v/>
      </c>
      <c r="H514" s="19" t="str">
        <f aca="false">IF($A514="","",C514*Settings!$B$11)</f>
        <v/>
      </c>
      <c r="I514" s="20" t="str">
        <f aca="false">IF($A514="","",IF(N(H514)=0,"",RANK(H514,$H$5:$H$2004)))</f>
        <v/>
      </c>
      <c r="J514" s="21" t="str">
        <f aca="false">IF($A514="","",IF(B514=0,"No COD orders",IF(B514&lt;Settings!$B$8,"Too few orders",IF(D514&gt;=Settings!$B$9,"Restrict COD or verify","Keep COD"))))</f>
        <v/>
      </c>
    </row>
    <row r="515" customFormat="false" ht="15" hidden="false" customHeight="false" outlineLevel="0" collapsed="false">
      <c r="A515" s="27"/>
      <c r="B515" s="17" t="str">
        <f aca="false">IF($A515="","",COUNTIFS(Orders!$C$2:$C$20001,$A515,Orders!$E$2:$E$20001,"COD",Orders!$F$2:$F$20001,"Delivered")+COUNTIFS(Orders!$C$2:$C$20001,$A515,Orders!$E$2:$E$20001,"COD",Orders!$F$2:$F$20001,"RTO"))</f>
        <v/>
      </c>
      <c r="C515" s="17" t="str">
        <f aca="false">IF($A515="","",COUNTIFS(Orders!$C$2:$C$20001,$A515,Orders!$E$2:$E$20001,"COD",Orders!$F$2:$F$20001,"RTO"))</f>
        <v/>
      </c>
      <c r="D515" s="18" t="str">
        <f aca="false">IF($A515="","",IFERROR(C515/B515,0))</f>
        <v/>
      </c>
      <c r="E515" s="17" t="str">
        <f aca="false">IF($A515="","",COUNTIFS(Orders!$C$2:$C$20001,$A515,Orders!$E$2:$E$20001,"Prepaid",Orders!$F$2:$F$20001,"Delivered")+COUNTIFS(Orders!$C$2:$C$20001,$A515,Orders!$E$2:$E$20001,"Prepaid",Orders!$F$2:$F$20001,"RTO"))</f>
        <v/>
      </c>
      <c r="F515" s="17" t="str">
        <f aca="false">IF($A515="","",COUNTIFS(Orders!$C$2:$C$20001,$A515,Orders!$E$2:$E$20001,"Prepaid",Orders!$F$2:$F$20001,"RTO"))</f>
        <v/>
      </c>
      <c r="G515" s="18" t="str">
        <f aca="false">IF($A515="","",IFERROR(F515/E515,0))</f>
        <v/>
      </c>
      <c r="H515" s="19" t="str">
        <f aca="false">IF($A515="","",C515*Settings!$B$11)</f>
        <v/>
      </c>
      <c r="I515" s="20" t="str">
        <f aca="false">IF($A515="","",IF(N(H515)=0,"",RANK(H515,$H$5:$H$2004)))</f>
        <v/>
      </c>
      <c r="J515" s="21" t="str">
        <f aca="false">IF($A515="","",IF(B515=0,"No COD orders",IF(B515&lt;Settings!$B$8,"Too few orders",IF(D515&gt;=Settings!$B$9,"Restrict COD or verify","Keep COD"))))</f>
        <v/>
      </c>
    </row>
    <row r="516" customFormat="false" ht="15" hidden="false" customHeight="false" outlineLevel="0" collapsed="false">
      <c r="A516" s="27"/>
      <c r="B516" s="17" t="str">
        <f aca="false">IF($A516="","",COUNTIFS(Orders!$C$2:$C$20001,$A516,Orders!$E$2:$E$20001,"COD",Orders!$F$2:$F$20001,"Delivered")+COUNTIFS(Orders!$C$2:$C$20001,$A516,Orders!$E$2:$E$20001,"COD",Orders!$F$2:$F$20001,"RTO"))</f>
        <v/>
      </c>
      <c r="C516" s="17" t="str">
        <f aca="false">IF($A516="","",COUNTIFS(Orders!$C$2:$C$20001,$A516,Orders!$E$2:$E$20001,"COD",Orders!$F$2:$F$20001,"RTO"))</f>
        <v/>
      </c>
      <c r="D516" s="18" t="str">
        <f aca="false">IF($A516="","",IFERROR(C516/B516,0))</f>
        <v/>
      </c>
      <c r="E516" s="17" t="str">
        <f aca="false">IF($A516="","",COUNTIFS(Orders!$C$2:$C$20001,$A516,Orders!$E$2:$E$20001,"Prepaid",Orders!$F$2:$F$20001,"Delivered")+COUNTIFS(Orders!$C$2:$C$20001,$A516,Orders!$E$2:$E$20001,"Prepaid",Orders!$F$2:$F$20001,"RTO"))</f>
        <v/>
      </c>
      <c r="F516" s="17" t="str">
        <f aca="false">IF($A516="","",COUNTIFS(Orders!$C$2:$C$20001,$A516,Orders!$E$2:$E$20001,"Prepaid",Orders!$F$2:$F$20001,"RTO"))</f>
        <v/>
      </c>
      <c r="G516" s="18" t="str">
        <f aca="false">IF($A516="","",IFERROR(F516/E516,0))</f>
        <v/>
      </c>
      <c r="H516" s="19" t="str">
        <f aca="false">IF($A516="","",C516*Settings!$B$11)</f>
        <v/>
      </c>
      <c r="I516" s="20" t="str">
        <f aca="false">IF($A516="","",IF(N(H516)=0,"",RANK(H516,$H$5:$H$2004)))</f>
        <v/>
      </c>
      <c r="J516" s="21" t="str">
        <f aca="false">IF($A516="","",IF(B516=0,"No COD orders",IF(B516&lt;Settings!$B$8,"Too few orders",IF(D516&gt;=Settings!$B$9,"Restrict COD or verify","Keep COD"))))</f>
        <v/>
      </c>
    </row>
    <row r="517" customFormat="false" ht="15" hidden="false" customHeight="false" outlineLevel="0" collapsed="false">
      <c r="A517" s="27"/>
      <c r="B517" s="17" t="str">
        <f aca="false">IF($A517="","",COUNTIFS(Orders!$C$2:$C$20001,$A517,Orders!$E$2:$E$20001,"COD",Orders!$F$2:$F$20001,"Delivered")+COUNTIFS(Orders!$C$2:$C$20001,$A517,Orders!$E$2:$E$20001,"COD",Orders!$F$2:$F$20001,"RTO"))</f>
        <v/>
      </c>
      <c r="C517" s="17" t="str">
        <f aca="false">IF($A517="","",COUNTIFS(Orders!$C$2:$C$20001,$A517,Orders!$E$2:$E$20001,"COD",Orders!$F$2:$F$20001,"RTO"))</f>
        <v/>
      </c>
      <c r="D517" s="18" t="str">
        <f aca="false">IF($A517="","",IFERROR(C517/B517,0))</f>
        <v/>
      </c>
      <c r="E517" s="17" t="str">
        <f aca="false">IF($A517="","",COUNTIFS(Orders!$C$2:$C$20001,$A517,Orders!$E$2:$E$20001,"Prepaid",Orders!$F$2:$F$20001,"Delivered")+COUNTIFS(Orders!$C$2:$C$20001,$A517,Orders!$E$2:$E$20001,"Prepaid",Orders!$F$2:$F$20001,"RTO"))</f>
        <v/>
      </c>
      <c r="F517" s="17" t="str">
        <f aca="false">IF($A517="","",COUNTIFS(Orders!$C$2:$C$20001,$A517,Orders!$E$2:$E$20001,"Prepaid",Orders!$F$2:$F$20001,"RTO"))</f>
        <v/>
      </c>
      <c r="G517" s="18" t="str">
        <f aca="false">IF($A517="","",IFERROR(F517/E517,0))</f>
        <v/>
      </c>
      <c r="H517" s="19" t="str">
        <f aca="false">IF($A517="","",C517*Settings!$B$11)</f>
        <v/>
      </c>
      <c r="I517" s="20" t="str">
        <f aca="false">IF($A517="","",IF(N(H517)=0,"",RANK(H517,$H$5:$H$2004)))</f>
        <v/>
      </c>
      <c r="J517" s="21" t="str">
        <f aca="false">IF($A517="","",IF(B517=0,"No COD orders",IF(B517&lt;Settings!$B$8,"Too few orders",IF(D517&gt;=Settings!$B$9,"Restrict COD or verify","Keep COD"))))</f>
        <v/>
      </c>
    </row>
    <row r="518" customFormat="false" ht="15" hidden="false" customHeight="false" outlineLevel="0" collapsed="false">
      <c r="A518" s="27"/>
      <c r="B518" s="17" t="str">
        <f aca="false">IF($A518="","",COUNTIFS(Orders!$C$2:$C$20001,$A518,Orders!$E$2:$E$20001,"COD",Orders!$F$2:$F$20001,"Delivered")+COUNTIFS(Orders!$C$2:$C$20001,$A518,Orders!$E$2:$E$20001,"COD",Orders!$F$2:$F$20001,"RTO"))</f>
        <v/>
      </c>
      <c r="C518" s="17" t="str">
        <f aca="false">IF($A518="","",COUNTIFS(Orders!$C$2:$C$20001,$A518,Orders!$E$2:$E$20001,"COD",Orders!$F$2:$F$20001,"RTO"))</f>
        <v/>
      </c>
      <c r="D518" s="18" t="str">
        <f aca="false">IF($A518="","",IFERROR(C518/B518,0))</f>
        <v/>
      </c>
      <c r="E518" s="17" t="str">
        <f aca="false">IF($A518="","",COUNTIFS(Orders!$C$2:$C$20001,$A518,Orders!$E$2:$E$20001,"Prepaid",Orders!$F$2:$F$20001,"Delivered")+COUNTIFS(Orders!$C$2:$C$20001,$A518,Orders!$E$2:$E$20001,"Prepaid",Orders!$F$2:$F$20001,"RTO"))</f>
        <v/>
      </c>
      <c r="F518" s="17" t="str">
        <f aca="false">IF($A518="","",COUNTIFS(Orders!$C$2:$C$20001,$A518,Orders!$E$2:$E$20001,"Prepaid",Orders!$F$2:$F$20001,"RTO"))</f>
        <v/>
      </c>
      <c r="G518" s="18" t="str">
        <f aca="false">IF($A518="","",IFERROR(F518/E518,0))</f>
        <v/>
      </c>
      <c r="H518" s="19" t="str">
        <f aca="false">IF($A518="","",C518*Settings!$B$11)</f>
        <v/>
      </c>
      <c r="I518" s="20" t="str">
        <f aca="false">IF($A518="","",IF(N(H518)=0,"",RANK(H518,$H$5:$H$2004)))</f>
        <v/>
      </c>
      <c r="J518" s="21" t="str">
        <f aca="false">IF($A518="","",IF(B518=0,"No COD orders",IF(B518&lt;Settings!$B$8,"Too few orders",IF(D518&gt;=Settings!$B$9,"Restrict COD or verify","Keep COD"))))</f>
        <v/>
      </c>
    </row>
    <row r="519" customFormat="false" ht="15" hidden="false" customHeight="false" outlineLevel="0" collapsed="false">
      <c r="A519" s="27"/>
      <c r="B519" s="17" t="str">
        <f aca="false">IF($A519="","",COUNTIFS(Orders!$C$2:$C$20001,$A519,Orders!$E$2:$E$20001,"COD",Orders!$F$2:$F$20001,"Delivered")+COUNTIFS(Orders!$C$2:$C$20001,$A519,Orders!$E$2:$E$20001,"COD",Orders!$F$2:$F$20001,"RTO"))</f>
        <v/>
      </c>
      <c r="C519" s="17" t="str">
        <f aca="false">IF($A519="","",COUNTIFS(Orders!$C$2:$C$20001,$A519,Orders!$E$2:$E$20001,"COD",Orders!$F$2:$F$20001,"RTO"))</f>
        <v/>
      </c>
      <c r="D519" s="18" t="str">
        <f aca="false">IF($A519="","",IFERROR(C519/B519,0))</f>
        <v/>
      </c>
      <c r="E519" s="17" t="str">
        <f aca="false">IF($A519="","",COUNTIFS(Orders!$C$2:$C$20001,$A519,Orders!$E$2:$E$20001,"Prepaid",Orders!$F$2:$F$20001,"Delivered")+COUNTIFS(Orders!$C$2:$C$20001,$A519,Orders!$E$2:$E$20001,"Prepaid",Orders!$F$2:$F$20001,"RTO"))</f>
        <v/>
      </c>
      <c r="F519" s="17" t="str">
        <f aca="false">IF($A519="","",COUNTIFS(Orders!$C$2:$C$20001,$A519,Orders!$E$2:$E$20001,"Prepaid",Orders!$F$2:$F$20001,"RTO"))</f>
        <v/>
      </c>
      <c r="G519" s="18" t="str">
        <f aca="false">IF($A519="","",IFERROR(F519/E519,0))</f>
        <v/>
      </c>
      <c r="H519" s="19" t="str">
        <f aca="false">IF($A519="","",C519*Settings!$B$11)</f>
        <v/>
      </c>
      <c r="I519" s="20" t="str">
        <f aca="false">IF($A519="","",IF(N(H519)=0,"",RANK(H519,$H$5:$H$2004)))</f>
        <v/>
      </c>
      <c r="J519" s="21" t="str">
        <f aca="false">IF($A519="","",IF(B519=0,"No COD orders",IF(B519&lt;Settings!$B$8,"Too few orders",IF(D519&gt;=Settings!$B$9,"Restrict COD or verify","Keep COD"))))</f>
        <v/>
      </c>
    </row>
    <row r="520" customFormat="false" ht="15" hidden="false" customHeight="false" outlineLevel="0" collapsed="false">
      <c r="A520" s="27"/>
      <c r="B520" s="17" t="str">
        <f aca="false">IF($A520="","",COUNTIFS(Orders!$C$2:$C$20001,$A520,Orders!$E$2:$E$20001,"COD",Orders!$F$2:$F$20001,"Delivered")+COUNTIFS(Orders!$C$2:$C$20001,$A520,Orders!$E$2:$E$20001,"COD",Orders!$F$2:$F$20001,"RTO"))</f>
        <v/>
      </c>
      <c r="C520" s="17" t="str">
        <f aca="false">IF($A520="","",COUNTIFS(Orders!$C$2:$C$20001,$A520,Orders!$E$2:$E$20001,"COD",Orders!$F$2:$F$20001,"RTO"))</f>
        <v/>
      </c>
      <c r="D520" s="18" t="str">
        <f aca="false">IF($A520="","",IFERROR(C520/B520,0))</f>
        <v/>
      </c>
      <c r="E520" s="17" t="str">
        <f aca="false">IF($A520="","",COUNTIFS(Orders!$C$2:$C$20001,$A520,Orders!$E$2:$E$20001,"Prepaid",Orders!$F$2:$F$20001,"Delivered")+COUNTIFS(Orders!$C$2:$C$20001,$A520,Orders!$E$2:$E$20001,"Prepaid",Orders!$F$2:$F$20001,"RTO"))</f>
        <v/>
      </c>
      <c r="F520" s="17" t="str">
        <f aca="false">IF($A520="","",COUNTIFS(Orders!$C$2:$C$20001,$A520,Orders!$E$2:$E$20001,"Prepaid",Orders!$F$2:$F$20001,"RTO"))</f>
        <v/>
      </c>
      <c r="G520" s="18" t="str">
        <f aca="false">IF($A520="","",IFERROR(F520/E520,0))</f>
        <v/>
      </c>
      <c r="H520" s="19" t="str">
        <f aca="false">IF($A520="","",C520*Settings!$B$11)</f>
        <v/>
      </c>
      <c r="I520" s="20" t="str">
        <f aca="false">IF($A520="","",IF(N(H520)=0,"",RANK(H520,$H$5:$H$2004)))</f>
        <v/>
      </c>
      <c r="J520" s="21" t="str">
        <f aca="false">IF($A520="","",IF(B520=0,"No COD orders",IF(B520&lt;Settings!$B$8,"Too few orders",IF(D520&gt;=Settings!$B$9,"Restrict COD or verify","Keep COD"))))</f>
        <v/>
      </c>
    </row>
    <row r="521" customFormat="false" ht="15" hidden="false" customHeight="false" outlineLevel="0" collapsed="false">
      <c r="A521" s="27"/>
      <c r="B521" s="17" t="str">
        <f aca="false">IF($A521="","",COUNTIFS(Orders!$C$2:$C$20001,$A521,Orders!$E$2:$E$20001,"COD",Orders!$F$2:$F$20001,"Delivered")+COUNTIFS(Orders!$C$2:$C$20001,$A521,Orders!$E$2:$E$20001,"COD",Orders!$F$2:$F$20001,"RTO"))</f>
        <v/>
      </c>
      <c r="C521" s="17" t="str">
        <f aca="false">IF($A521="","",COUNTIFS(Orders!$C$2:$C$20001,$A521,Orders!$E$2:$E$20001,"COD",Orders!$F$2:$F$20001,"RTO"))</f>
        <v/>
      </c>
      <c r="D521" s="18" t="str">
        <f aca="false">IF($A521="","",IFERROR(C521/B521,0))</f>
        <v/>
      </c>
      <c r="E521" s="17" t="str">
        <f aca="false">IF($A521="","",COUNTIFS(Orders!$C$2:$C$20001,$A521,Orders!$E$2:$E$20001,"Prepaid",Orders!$F$2:$F$20001,"Delivered")+COUNTIFS(Orders!$C$2:$C$20001,$A521,Orders!$E$2:$E$20001,"Prepaid",Orders!$F$2:$F$20001,"RTO"))</f>
        <v/>
      </c>
      <c r="F521" s="17" t="str">
        <f aca="false">IF($A521="","",COUNTIFS(Orders!$C$2:$C$20001,$A521,Orders!$E$2:$E$20001,"Prepaid",Orders!$F$2:$F$20001,"RTO"))</f>
        <v/>
      </c>
      <c r="G521" s="18" t="str">
        <f aca="false">IF($A521="","",IFERROR(F521/E521,0))</f>
        <v/>
      </c>
      <c r="H521" s="19" t="str">
        <f aca="false">IF($A521="","",C521*Settings!$B$11)</f>
        <v/>
      </c>
      <c r="I521" s="20" t="str">
        <f aca="false">IF($A521="","",IF(N(H521)=0,"",RANK(H521,$H$5:$H$2004)))</f>
        <v/>
      </c>
      <c r="J521" s="21" t="str">
        <f aca="false">IF($A521="","",IF(B521=0,"No COD orders",IF(B521&lt;Settings!$B$8,"Too few orders",IF(D521&gt;=Settings!$B$9,"Restrict COD or verify","Keep COD"))))</f>
        <v/>
      </c>
    </row>
    <row r="522" customFormat="false" ht="15" hidden="false" customHeight="false" outlineLevel="0" collapsed="false">
      <c r="A522" s="27"/>
      <c r="B522" s="17" t="str">
        <f aca="false">IF($A522="","",COUNTIFS(Orders!$C$2:$C$20001,$A522,Orders!$E$2:$E$20001,"COD",Orders!$F$2:$F$20001,"Delivered")+COUNTIFS(Orders!$C$2:$C$20001,$A522,Orders!$E$2:$E$20001,"COD",Orders!$F$2:$F$20001,"RTO"))</f>
        <v/>
      </c>
      <c r="C522" s="17" t="str">
        <f aca="false">IF($A522="","",COUNTIFS(Orders!$C$2:$C$20001,$A522,Orders!$E$2:$E$20001,"COD",Orders!$F$2:$F$20001,"RTO"))</f>
        <v/>
      </c>
      <c r="D522" s="18" t="str">
        <f aca="false">IF($A522="","",IFERROR(C522/B522,0))</f>
        <v/>
      </c>
      <c r="E522" s="17" t="str">
        <f aca="false">IF($A522="","",COUNTIFS(Orders!$C$2:$C$20001,$A522,Orders!$E$2:$E$20001,"Prepaid",Orders!$F$2:$F$20001,"Delivered")+COUNTIFS(Orders!$C$2:$C$20001,$A522,Orders!$E$2:$E$20001,"Prepaid",Orders!$F$2:$F$20001,"RTO"))</f>
        <v/>
      </c>
      <c r="F522" s="17" t="str">
        <f aca="false">IF($A522="","",COUNTIFS(Orders!$C$2:$C$20001,$A522,Orders!$E$2:$E$20001,"Prepaid",Orders!$F$2:$F$20001,"RTO"))</f>
        <v/>
      </c>
      <c r="G522" s="18" t="str">
        <f aca="false">IF($A522="","",IFERROR(F522/E522,0))</f>
        <v/>
      </c>
      <c r="H522" s="19" t="str">
        <f aca="false">IF($A522="","",C522*Settings!$B$11)</f>
        <v/>
      </c>
      <c r="I522" s="20" t="str">
        <f aca="false">IF($A522="","",IF(N(H522)=0,"",RANK(H522,$H$5:$H$2004)))</f>
        <v/>
      </c>
      <c r="J522" s="21" t="str">
        <f aca="false">IF($A522="","",IF(B522=0,"No COD orders",IF(B522&lt;Settings!$B$8,"Too few orders",IF(D522&gt;=Settings!$B$9,"Restrict COD or verify","Keep COD"))))</f>
        <v/>
      </c>
    </row>
    <row r="523" customFormat="false" ht="15" hidden="false" customHeight="false" outlineLevel="0" collapsed="false">
      <c r="A523" s="27"/>
      <c r="B523" s="17" t="str">
        <f aca="false">IF($A523="","",COUNTIFS(Orders!$C$2:$C$20001,$A523,Orders!$E$2:$E$20001,"COD",Orders!$F$2:$F$20001,"Delivered")+COUNTIFS(Orders!$C$2:$C$20001,$A523,Orders!$E$2:$E$20001,"COD",Orders!$F$2:$F$20001,"RTO"))</f>
        <v/>
      </c>
      <c r="C523" s="17" t="str">
        <f aca="false">IF($A523="","",COUNTIFS(Orders!$C$2:$C$20001,$A523,Orders!$E$2:$E$20001,"COD",Orders!$F$2:$F$20001,"RTO"))</f>
        <v/>
      </c>
      <c r="D523" s="18" t="str">
        <f aca="false">IF($A523="","",IFERROR(C523/B523,0))</f>
        <v/>
      </c>
      <c r="E523" s="17" t="str">
        <f aca="false">IF($A523="","",COUNTIFS(Orders!$C$2:$C$20001,$A523,Orders!$E$2:$E$20001,"Prepaid",Orders!$F$2:$F$20001,"Delivered")+COUNTIFS(Orders!$C$2:$C$20001,$A523,Orders!$E$2:$E$20001,"Prepaid",Orders!$F$2:$F$20001,"RTO"))</f>
        <v/>
      </c>
      <c r="F523" s="17" t="str">
        <f aca="false">IF($A523="","",COUNTIFS(Orders!$C$2:$C$20001,$A523,Orders!$E$2:$E$20001,"Prepaid",Orders!$F$2:$F$20001,"RTO"))</f>
        <v/>
      </c>
      <c r="G523" s="18" t="str">
        <f aca="false">IF($A523="","",IFERROR(F523/E523,0))</f>
        <v/>
      </c>
      <c r="H523" s="19" t="str">
        <f aca="false">IF($A523="","",C523*Settings!$B$11)</f>
        <v/>
      </c>
      <c r="I523" s="20" t="str">
        <f aca="false">IF($A523="","",IF(N(H523)=0,"",RANK(H523,$H$5:$H$2004)))</f>
        <v/>
      </c>
      <c r="J523" s="21" t="str">
        <f aca="false">IF($A523="","",IF(B523=0,"No COD orders",IF(B523&lt;Settings!$B$8,"Too few orders",IF(D523&gt;=Settings!$B$9,"Restrict COD or verify","Keep COD"))))</f>
        <v/>
      </c>
    </row>
    <row r="524" customFormat="false" ht="15" hidden="false" customHeight="false" outlineLevel="0" collapsed="false">
      <c r="A524" s="27"/>
      <c r="B524" s="17" t="str">
        <f aca="false">IF($A524="","",COUNTIFS(Orders!$C$2:$C$20001,$A524,Orders!$E$2:$E$20001,"COD",Orders!$F$2:$F$20001,"Delivered")+COUNTIFS(Orders!$C$2:$C$20001,$A524,Orders!$E$2:$E$20001,"COD",Orders!$F$2:$F$20001,"RTO"))</f>
        <v/>
      </c>
      <c r="C524" s="17" t="str">
        <f aca="false">IF($A524="","",COUNTIFS(Orders!$C$2:$C$20001,$A524,Orders!$E$2:$E$20001,"COD",Orders!$F$2:$F$20001,"RTO"))</f>
        <v/>
      </c>
      <c r="D524" s="18" t="str">
        <f aca="false">IF($A524="","",IFERROR(C524/B524,0))</f>
        <v/>
      </c>
      <c r="E524" s="17" t="str">
        <f aca="false">IF($A524="","",COUNTIFS(Orders!$C$2:$C$20001,$A524,Orders!$E$2:$E$20001,"Prepaid",Orders!$F$2:$F$20001,"Delivered")+COUNTIFS(Orders!$C$2:$C$20001,$A524,Orders!$E$2:$E$20001,"Prepaid",Orders!$F$2:$F$20001,"RTO"))</f>
        <v/>
      </c>
      <c r="F524" s="17" t="str">
        <f aca="false">IF($A524="","",COUNTIFS(Orders!$C$2:$C$20001,$A524,Orders!$E$2:$E$20001,"Prepaid",Orders!$F$2:$F$20001,"RTO"))</f>
        <v/>
      </c>
      <c r="G524" s="18" t="str">
        <f aca="false">IF($A524="","",IFERROR(F524/E524,0))</f>
        <v/>
      </c>
      <c r="H524" s="19" t="str">
        <f aca="false">IF($A524="","",C524*Settings!$B$11)</f>
        <v/>
      </c>
      <c r="I524" s="20" t="str">
        <f aca="false">IF($A524="","",IF(N(H524)=0,"",RANK(H524,$H$5:$H$2004)))</f>
        <v/>
      </c>
      <c r="J524" s="21" t="str">
        <f aca="false">IF($A524="","",IF(B524=0,"No COD orders",IF(B524&lt;Settings!$B$8,"Too few orders",IF(D524&gt;=Settings!$B$9,"Restrict COD or verify","Keep COD"))))</f>
        <v/>
      </c>
    </row>
    <row r="525" customFormat="false" ht="15" hidden="false" customHeight="false" outlineLevel="0" collapsed="false">
      <c r="A525" s="27"/>
      <c r="B525" s="17" t="str">
        <f aca="false">IF($A525="","",COUNTIFS(Orders!$C$2:$C$20001,$A525,Orders!$E$2:$E$20001,"COD",Orders!$F$2:$F$20001,"Delivered")+COUNTIFS(Orders!$C$2:$C$20001,$A525,Orders!$E$2:$E$20001,"COD",Orders!$F$2:$F$20001,"RTO"))</f>
        <v/>
      </c>
      <c r="C525" s="17" t="str">
        <f aca="false">IF($A525="","",COUNTIFS(Orders!$C$2:$C$20001,$A525,Orders!$E$2:$E$20001,"COD",Orders!$F$2:$F$20001,"RTO"))</f>
        <v/>
      </c>
      <c r="D525" s="18" t="str">
        <f aca="false">IF($A525="","",IFERROR(C525/B525,0))</f>
        <v/>
      </c>
      <c r="E525" s="17" t="str">
        <f aca="false">IF($A525="","",COUNTIFS(Orders!$C$2:$C$20001,$A525,Orders!$E$2:$E$20001,"Prepaid",Orders!$F$2:$F$20001,"Delivered")+COUNTIFS(Orders!$C$2:$C$20001,$A525,Orders!$E$2:$E$20001,"Prepaid",Orders!$F$2:$F$20001,"RTO"))</f>
        <v/>
      </c>
      <c r="F525" s="17" t="str">
        <f aca="false">IF($A525="","",COUNTIFS(Orders!$C$2:$C$20001,$A525,Orders!$E$2:$E$20001,"Prepaid",Orders!$F$2:$F$20001,"RTO"))</f>
        <v/>
      </c>
      <c r="G525" s="18" t="str">
        <f aca="false">IF($A525="","",IFERROR(F525/E525,0))</f>
        <v/>
      </c>
      <c r="H525" s="19" t="str">
        <f aca="false">IF($A525="","",C525*Settings!$B$11)</f>
        <v/>
      </c>
      <c r="I525" s="20" t="str">
        <f aca="false">IF($A525="","",IF(N(H525)=0,"",RANK(H525,$H$5:$H$2004)))</f>
        <v/>
      </c>
      <c r="J525" s="21" t="str">
        <f aca="false">IF($A525="","",IF(B525=0,"No COD orders",IF(B525&lt;Settings!$B$8,"Too few orders",IF(D525&gt;=Settings!$B$9,"Restrict COD or verify","Keep COD"))))</f>
        <v/>
      </c>
    </row>
    <row r="526" customFormat="false" ht="15" hidden="false" customHeight="false" outlineLevel="0" collapsed="false">
      <c r="A526" s="27"/>
      <c r="B526" s="17" t="str">
        <f aca="false">IF($A526="","",COUNTIFS(Orders!$C$2:$C$20001,$A526,Orders!$E$2:$E$20001,"COD",Orders!$F$2:$F$20001,"Delivered")+COUNTIFS(Orders!$C$2:$C$20001,$A526,Orders!$E$2:$E$20001,"COD",Orders!$F$2:$F$20001,"RTO"))</f>
        <v/>
      </c>
      <c r="C526" s="17" t="str">
        <f aca="false">IF($A526="","",COUNTIFS(Orders!$C$2:$C$20001,$A526,Orders!$E$2:$E$20001,"COD",Orders!$F$2:$F$20001,"RTO"))</f>
        <v/>
      </c>
      <c r="D526" s="18" t="str">
        <f aca="false">IF($A526="","",IFERROR(C526/B526,0))</f>
        <v/>
      </c>
      <c r="E526" s="17" t="str">
        <f aca="false">IF($A526="","",COUNTIFS(Orders!$C$2:$C$20001,$A526,Orders!$E$2:$E$20001,"Prepaid",Orders!$F$2:$F$20001,"Delivered")+COUNTIFS(Orders!$C$2:$C$20001,$A526,Orders!$E$2:$E$20001,"Prepaid",Orders!$F$2:$F$20001,"RTO"))</f>
        <v/>
      </c>
      <c r="F526" s="17" t="str">
        <f aca="false">IF($A526="","",COUNTIFS(Orders!$C$2:$C$20001,$A526,Orders!$E$2:$E$20001,"Prepaid",Orders!$F$2:$F$20001,"RTO"))</f>
        <v/>
      </c>
      <c r="G526" s="18" t="str">
        <f aca="false">IF($A526="","",IFERROR(F526/E526,0))</f>
        <v/>
      </c>
      <c r="H526" s="19" t="str">
        <f aca="false">IF($A526="","",C526*Settings!$B$11)</f>
        <v/>
      </c>
      <c r="I526" s="20" t="str">
        <f aca="false">IF($A526="","",IF(N(H526)=0,"",RANK(H526,$H$5:$H$2004)))</f>
        <v/>
      </c>
      <c r="J526" s="21" t="str">
        <f aca="false">IF($A526="","",IF(B526=0,"No COD orders",IF(B526&lt;Settings!$B$8,"Too few orders",IF(D526&gt;=Settings!$B$9,"Restrict COD or verify","Keep COD"))))</f>
        <v/>
      </c>
    </row>
    <row r="527" customFormat="false" ht="15" hidden="false" customHeight="false" outlineLevel="0" collapsed="false">
      <c r="A527" s="27"/>
      <c r="B527" s="17" t="str">
        <f aca="false">IF($A527="","",COUNTIFS(Orders!$C$2:$C$20001,$A527,Orders!$E$2:$E$20001,"COD",Orders!$F$2:$F$20001,"Delivered")+COUNTIFS(Orders!$C$2:$C$20001,$A527,Orders!$E$2:$E$20001,"COD",Orders!$F$2:$F$20001,"RTO"))</f>
        <v/>
      </c>
      <c r="C527" s="17" t="str">
        <f aca="false">IF($A527="","",COUNTIFS(Orders!$C$2:$C$20001,$A527,Orders!$E$2:$E$20001,"COD",Orders!$F$2:$F$20001,"RTO"))</f>
        <v/>
      </c>
      <c r="D527" s="18" t="str">
        <f aca="false">IF($A527="","",IFERROR(C527/B527,0))</f>
        <v/>
      </c>
      <c r="E527" s="17" t="str">
        <f aca="false">IF($A527="","",COUNTIFS(Orders!$C$2:$C$20001,$A527,Orders!$E$2:$E$20001,"Prepaid",Orders!$F$2:$F$20001,"Delivered")+COUNTIFS(Orders!$C$2:$C$20001,$A527,Orders!$E$2:$E$20001,"Prepaid",Orders!$F$2:$F$20001,"RTO"))</f>
        <v/>
      </c>
      <c r="F527" s="17" t="str">
        <f aca="false">IF($A527="","",COUNTIFS(Orders!$C$2:$C$20001,$A527,Orders!$E$2:$E$20001,"Prepaid",Orders!$F$2:$F$20001,"RTO"))</f>
        <v/>
      </c>
      <c r="G527" s="18" t="str">
        <f aca="false">IF($A527="","",IFERROR(F527/E527,0))</f>
        <v/>
      </c>
      <c r="H527" s="19" t="str">
        <f aca="false">IF($A527="","",C527*Settings!$B$11)</f>
        <v/>
      </c>
      <c r="I527" s="20" t="str">
        <f aca="false">IF($A527="","",IF(N(H527)=0,"",RANK(H527,$H$5:$H$2004)))</f>
        <v/>
      </c>
      <c r="J527" s="21" t="str">
        <f aca="false">IF($A527="","",IF(B527=0,"No COD orders",IF(B527&lt;Settings!$B$8,"Too few orders",IF(D527&gt;=Settings!$B$9,"Restrict COD or verify","Keep COD"))))</f>
        <v/>
      </c>
    </row>
    <row r="528" customFormat="false" ht="15" hidden="false" customHeight="false" outlineLevel="0" collapsed="false">
      <c r="A528" s="27"/>
      <c r="B528" s="17" t="str">
        <f aca="false">IF($A528="","",COUNTIFS(Orders!$C$2:$C$20001,$A528,Orders!$E$2:$E$20001,"COD",Orders!$F$2:$F$20001,"Delivered")+COUNTIFS(Orders!$C$2:$C$20001,$A528,Orders!$E$2:$E$20001,"COD",Orders!$F$2:$F$20001,"RTO"))</f>
        <v/>
      </c>
      <c r="C528" s="17" t="str">
        <f aca="false">IF($A528="","",COUNTIFS(Orders!$C$2:$C$20001,$A528,Orders!$E$2:$E$20001,"COD",Orders!$F$2:$F$20001,"RTO"))</f>
        <v/>
      </c>
      <c r="D528" s="18" t="str">
        <f aca="false">IF($A528="","",IFERROR(C528/B528,0))</f>
        <v/>
      </c>
      <c r="E528" s="17" t="str">
        <f aca="false">IF($A528="","",COUNTIFS(Orders!$C$2:$C$20001,$A528,Orders!$E$2:$E$20001,"Prepaid",Orders!$F$2:$F$20001,"Delivered")+COUNTIFS(Orders!$C$2:$C$20001,$A528,Orders!$E$2:$E$20001,"Prepaid",Orders!$F$2:$F$20001,"RTO"))</f>
        <v/>
      </c>
      <c r="F528" s="17" t="str">
        <f aca="false">IF($A528="","",COUNTIFS(Orders!$C$2:$C$20001,$A528,Orders!$E$2:$E$20001,"Prepaid",Orders!$F$2:$F$20001,"RTO"))</f>
        <v/>
      </c>
      <c r="G528" s="18" t="str">
        <f aca="false">IF($A528="","",IFERROR(F528/E528,0))</f>
        <v/>
      </c>
      <c r="H528" s="19" t="str">
        <f aca="false">IF($A528="","",C528*Settings!$B$11)</f>
        <v/>
      </c>
      <c r="I528" s="20" t="str">
        <f aca="false">IF($A528="","",IF(N(H528)=0,"",RANK(H528,$H$5:$H$2004)))</f>
        <v/>
      </c>
      <c r="J528" s="21" t="str">
        <f aca="false">IF($A528="","",IF(B528=0,"No COD orders",IF(B528&lt;Settings!$B$8,"Too few orders",IF(D528&gt;=Settings!$B$9,"Restrict COD or verify","Keep COD"))))</f>
        <v/>
      </c>
    </row>
    <row r="529" customFormat="false" ht="15" hidden="false" customHeight="false" outlineLevel="0" collapsed="false">
      <c r="A529" s="27"/>
      <c r="B529" s="17" t="str">
        <f aca="false">IF($A529="","",COUNTIFS(Orders!$C$2:$C$20001,$A529,Orders!$E$2:$E$20001,"COD",Orders!$F$2:$F$20001,"Delivered")+COUNTIFS(Orders!$C$2:$C$20001,$A529,Orders!$E$2:$E$20001,"COD",Orders!$F$2:$F$20001,"RTO"))</f>
        <v/>
      </c>
      <c r="C529" s="17" t="str">
        <f aca="false">IF($A529="","",COUNTIFS(Orders!$C$2:$C$20001,$A529,Orders!$E$2:$E$20001,"COD",Orders!$F$2:$F$20001,"RTO"))</f>
        <v/>
      </c>
      <c r="D529" s="18" t="str">
        <f aca="false">IF($A529="","",IFERROR(C529/B529,0))</f>
        <v/>
      </c>
      <c r="E529" s="17" t="str">
        <f aca="false">IF($A529="","",COUNTIFS(Orders!$C$2:$C$20001,$A529,Orders!$E$2:$E$20001,"Prepaid",Orders!$F$2:$F$20001,"Delivered")+COUNTIFS(Orders!$C$2:$C$20001,$A529,Orders!$E$2:$E$20001,"Prepaid",Orders!$F$2:$F$20001,"RTO"))</f>
        <v/>
      </c>
      <c r="F529" s="17" t="str">
        <f aca="false">IF($A529="","",COUNTIFS(Orders!$C$2:$C$20001,$A529,Orders!$E$2:$E$20001,"Prepaid",Orders!$F$2:$F$20001,"RTO"))</f>
        <v/>
      </c>
      <c r="G529" s="18" t="str">
        <f aca="false">IF($A529="","",IFERROR(F529/E529,0))</f>
        <v/>
      </c>
      <c r="H529" s="19" t="str">
        <f aca="false">IF($A529="","",C529*Settings!$B$11)</f>
        <v/>
      </c>
      <c r="I529" s="20" t="str">
        <f aca="false">IF($A529="","",IF(N(H529)=0,"",RANK(H529,$H$5:$H$2004)))</f>
        <v/>
      </c>
      <c r="J529" s="21" t="str">
        <f aca="false">IF($A529="","",IF(B529=0,"No COD orders",IF(B529&lt;Settings!$B$8,"Too few orders",IF(D529&gt;=Settings!$B$9,"Restrict COD or verify","Keep COD"))))</f>
        <v/>
      </c>
    </row>
    <row r="530" customFormat="false" ht="15" hidden="false" customHeight="false" outlineLevel="0" collapsed="false">
      <c r="A530" s="27"/>
      <c r="B530" s="17" t="str">
        <f aca="false">IF($A530="","",COUNTIFS(Orders!$C$2:$C$20001,$A530,Orders!$E$2:$E$20001,"COD",Orders!$F$2:$F$20001,"Delivered")+COUNTIFS(Orders!$C$2:$C$20001,$A530,Orders!$E$2:$E$20001,"COD",Orders!$F$2:$F$20001,"RTO"))</f>
        <v/>
      </c>
      <c r="C530" s="17" t="str">
        <f aca="false">IF($A530="","",COUNTIFS(Orders!$C$2:$C$20001,$A530,Orders!$E$2:$E$20001,"COD",Orders!$F$2:$F$20001,"RTO"))</f>
        <v/>
      </c>
      <c r="D530" s="18" t="str">
        <f aca="false">IF($A530="","",IFERROR(C530/B530,0))</f>
        <v/>
      </c>
      <c r="E530" s="17" t="str">
        <f aca="false">IF($A530="","",COUNTIFS(Orders!$C$2:$C$20001,$A530,Orders!$E$2:$E$20001,"Prepaid",Orders!$F$2:$F$20001,"Delivered")+COUNTIFS(Orders!$C$2:$C$20001,$A530,Orders!$E$2:$E$20001,"Prepaid",Orders!$F$2:$F$20001,"RTO"))</f>
        <v/>
      </c>
      <c r="F530" s="17" t="str">
        <f aca="false">IF($A530="","",COUNTIFS(Orders!$C$2:$C$20001,$A530,Orders!$E$2:$E$20001,"Prepaid",Orders!$F$2:$F$20001,"RTO"))</f>
        <v/>
      </c>
      <c r="G530" s="18" t="str">
        <f aca="false">IF($A530="","",IFERROR(F530/E530,0))</f>
        <v/>
      </c>
      <c r="H530" s="19" t="str">
        <f aca="false">IF($A530="","",C530*Settings!$B$11)</f>
        <v/>
      </c>
      <c r="I530" s="20" t="str">
        <f aca="false">IF($A530="","",IF(N(H530)=0,"",RANK(H530,$H$5:$H$2004)))</f>
        <v/>
      </c>
      <c r="J530" s="21" t="str">
        <f aca="false">IF($A530="","",IF(B530=0,"No COD orders",IF(B530&lt;Settings!$B$8,"Too few orders",IF(D530&gt;=Settings!$B$9,"Restrict COD or verify","Keep COD"))))</f>
        <v/>
      </c>
    </row>
    <row r="531" customFormat="false" ht="15" hidden="false" customHeight="false" outlineLevel="0" collapsed="false">
      <c r="A531" s="27"/>
      <c r="B531" s="17" t="str">
        <f aca="false">IF($A531="","",COUNTIFS(Orders!$C$2:$C$20001,$A531,Orders!$E$2:$E$20001,"COD",Orders!$F$2:$F$20001,"Delivered")+COUNTIFS(Orders!$C$2:$C$20001,$A531,Orders!$E$2:$E$20001,"COD",Orders!$F$2:$F$20001,"RTO"))</f>
        <v/>
      </c>
      <c r="C531" s="17" t="str">
        <f aca="false">IF($A531="","",COUNTIFS(Orders!$C$2:$C$20001,$A531,Orders!$E$2:$E$20001,"COD",Orders!$F$2:$F$20001,"RTO"))</f>
        <v/>
      </c>
      <c r="D531" s="18" t="str">
        <f aca="false">IF($A531="","",IFERROR(C531/B531,0))</f>
        <v/>
      </c>
      <c r="E531" s="17" t="str">
        <f aca="false">IF($A531="","",COUNTIFS(Orders!$C$2:$C$20001,$A531,Orders!$E$2:$E$20001,"Prepaid",Orders!$F$2:$F$20001,"Delivered")+COUNTIFS(Orders!$C$2:$C$20001,$A531,Orders!$E$2:$E$20001,"Prepaid",Orders!$F$2:$F$20001,"RTO"))</f>
        <v/>
      </c>
      <c r="F531" s="17" t="str">
        <f aca="false">IF($A531="","",COUNTIFS(Orders!$C$2:$C$20001,$A531,Orders!$E$2:$E$20001,"Prepaid",Orders!$F$2:$F$20001,"RTO"))</f>
        <v/>
      </c>
      <c r="G531" s="18" t="str">
        <f aca="false">IF($A531="","",IFERROR(F531/E531,0))</f>
        <v/>
      </c>
      <c r="H531" s="19" t="str">
        <f aca="false">IF($A531="","",C531*Settings!$B$11)</f>
        <v/>
      </c>
      <c r="I531" s="20" t="str">
        <f aca="false">IF($A531="","",IF(N(H531)=0,"",RANK(H531,$H$5:$H$2004)))</f>
        <v/>
      </c>
      <c r="J531" s="21" t="str">
        <f aca="false">IF($A531="","",IF(B531=0,"No COD orders",IF(B531&lt;Settings!$B$8,"Too few orders",IF(D531&gt;=Settings!$B$9,"Restrict COD or verify","Keep COD"))))</f>
        <v/>
      </c>
    </row>
    <row r="532" customFormat="false" ht="15" hidden="false" customHeight="false" outlineLevel="0" collapsed="false">
      <c r="A532" s="27"/>
      <c r="B532" s="17" t="str">
        <f aca="false">IF($A532="","",COUNTIFS(Orders!$C$2:$C$20001,$A532,Orders!$E$2:$E$20001,"COD",Orders!$F$2:$F$20001,"Delivered")+COUNTIFS(Orders!$C$2:$C$20001,$A532,Orders!$E$2:$E$20001,"COD",Orders!$F$2:$F$20001,"RTO"))</f>
        <v/>
      </c>
      <c r="C532" s="17" t="str">
        <f aca="false">IF($A532="","",COUNTIFS(Orders!$C$2:$C$20001,$A532,Orders!$E$2:$E$20001,"COD",Orders!$F$2:$F$20001,"RTO"))</f>
        <v/>
      </c>
      <c r="D532" s="18" t="str">
        <f aca="false">IF($A532="","",IFERROR(C532/B532,0))</f>
        <v/>
      </c>
      <c r="E532" s="17" t="str">
        <f aca="false">IF($A532="","",COUNTIFS(Orders!$C$2:$C$20001,$A532,Orders!$E$2:$E$20001,"Prepaid",Orders!$F$2:$F$20001,"Delivered")+COUNTIFS(Orders!$C$2:$C$20001,$A532,Orders!$E$2:$E$20001,"Prepaid",Orders!$F$2:$F$20001,"RTO"))</f>
        <v/>
      </c>
      <c r="F532" s="17" t="str">
        <f aca="false">IF($A532="","",COUNTIFS(Orders!$C$2:$C$20001,$A532,Orders!$E$2:$E$20001,"Prepaid",Orders!$F$2:$F$20001,"RTO"))</f>
        <v/>
      </c>
      <c r="G532" s="18" t="str">
        <f aca="false">IF($A532="","",IFERROR(F532/E532,0))</f>
        <v/>
      </c>
      <c r="H532" s="19" t="str">
        <f aca="false">IF($A532="","",C532*Settings!$B$11)</f>
        <v/>
      </c>
      <c r="I532" s="20" t="str">
        <f aca="false">IF($A532="","",IF(N(H532)=0,"",RANK(H532,$H$5:$H$2004)))</f>
        <v/>
      </c>
      <c r="J532" s="21" t="str">
        <f aca="false">IF($A532="","",IF(B532=0,"No COD orders",IF(B532&lt;Settings!$B$8,"Too few orders",IF(D532&gt;=Settings!$B$9,"Restrict COD or verify","Keep COD"))))</f>
        <v/>
      </c>
    </row>
    <row r="533" customFormat="false" ht="15" hidden="false" customHeight="false" outlineLevel="0" collapsed="false">
      <c r="A533" s="27"/>
      <c r="B533" s="17" t="str">
        <f aca="false">IF($A533="","",COUNTIFS(Orders!$C$2:$C$20001,$A533,Orders!$E$2:$E$20001,"COD",Orders!$F$2:$F$20001,"Delivered")+COUNTIFS(Orders!$C$2:$C$20001,$A533,Orders!$E$2:$E$20001,"COD",Orders!$F$2:$F$20001,"RTO"))</f>
        <v/>
      </c>
      <c r="C533" s="17" t="str">
        <f aca="false">IF($A533="","",COUNTIFS(Orders!$C$2:$C$20001,$A533,Orders!$E$2:$E$20001,"COD",Orders!$F$2:$F$20001,"RTO"))</f>
        <v/>
      </c>
      <c r="D533" s="18" t="str">
        <f aca="false">IF($A533="","",IFERROR(C533/B533,0))</f>
        <v/>
      </c>
      <c r="E533" s="17" t="str">
        <f aca="false">IF($A533="","",COUNTIFS(Orders!$C$2:$C$20001,$A533,Orders!$E$2:$E$20001,"Prepaid",Orders!$F$2:$F$20001,"Delivered")+COUNTIFS(Orders!$C$2:$C$20001,$A533,Orders!$E$2:$E$20001,"Prepaid",Orders!$F$2:$F$20001,"RTO"))</f>
        <v/>
      </c>
      <c r="F533" s="17" t="str">
        <f aca="false">IF($A533="","",COUNTIFS(Orders!$C$2:$C$20001,$A533,Orders!$E$2:$E$20001,"Prepaid",Orders!$F$2:$F$20001,"RTO"))</f>
        <v/>
      </c>
      <c r="G533" s="18" t="str">
        <f aca="false">IF($A533="","",IFERROR(F533/E533,0))</f>
        <v/>
      </c>
      <c r="H533" s="19" t="str">
        <f aca="false">IF($A533="","",C533*Settings!$B$11)</f>
        <v/>
      </c>
      <c r="I533" s="20" t="str">
        <f aca="false">IF($A533="","",IF(N(H533)=0,"",RANK(H533,$H$5:$H$2004)))</f>
        <v/>
      </c>
      <c r="J533" s="21" t="str">
        <f aca="false">IF($A533="","",IF(B533=0,"No COD orders",IF(B533&lt;Settings!$B$8,"Too few orders",IF(D533&gt;=Settings!$B$9,"Restrict COD or verify","Keep COD"))))</f>
        <v/>
      </c>
    </row>
    <row r="534" customFormat="false" ht="15" hidden="false" customHeight="false" outlineLevel="0" collapsed="false">
      <c r="A534" s="27"/>
      <c r="B534" s="17" t="str">
        <f aca="false">IF($A534="","",COUNTIFS(Orders!$C$2:$C$20001,$A534,Orders!$E$2:$E$20001,"COD",Orders!$F$2:$F$20001,"Delivered")+COUNTIFS(Orders!$C$2:$C$20001,$A534,Orders!$E$2:$E$20001,"COD",Orders!$F$2:$F$20001,"RTO"))</f>
        <v/>
      </c>
      <c r="C534" s="17" t="str">
        <f aca="false">IF($A534="","",COUNTIFS(Orders!$C$2:$C$20001,$A534,Orders!$E$2:$E$20001,"COD",Orders!$F$2:$F$20001,"RTO"))</f>
        <v/>
      </c>
      <c r="D534" s="18" t="str">
        <f aca="false">IF($A534="","",IFERROR(C534/B534,0))</f>
        <v/>
      </c>
      <c r="E534" s="17" t="str">
        <f aca="false">IF($A534="","",COUNTIFS(Orders!$C$2:$C$20001,$A534,Orders!$E$2:$E$20001,"Prepaid",Orders!$F$2:$F$20001,"Delivered")+COUNTIFS(Orders!$C$2:$C$20001,$A534,Orders!$E$2:$E$20001,"Prepaid",Orders!$F$2:$F$20001,"RTO"))</f>
        <v/>
      </c>
      <c r="F534" s="17" t="str">
        <f aca="false">IF($A534="","",COUNTIFS(Orders!$C$2:$C$20001,$A534,Orders!$E$2:$E$20001,"Prepaid",Orders!$F$2:$F$20001,"RTO"))</f>
        <v/>
      </c>
      <c r="G534" s="18" t="str">
        <f aca="false">IF($A534="","",IFERROR(F534/E534,0))</f>
        <v/>
      </c>
      <c r="H534" s="19" t="str">
        <f aca="false">IF($A534="","",C534*Settings!$B$11)</f>
        <v/>
      </c>
      <c r="I534" s="20" t="str">
        <f aca="false">IF($A534="","",IF(N(H534)=0,"",RANK(H534,$H$5:$H$2004)))</f>
        <v/>
      </c>
      <c r="J534" s="21" t="str">
        <f aca="false">IF($A534="","",IF(B534=0,"No COD orders",IF(B534&lt;Settings!$B$8,"Too few orders",IF(D534&gt;=Settings!$B$9,"Restrict COD or verify","Keep COD"))))</f>
        <v/>
      </c>
    </row>
    <row r="535" customFormat="false" ht="15" hidden="false" customHeight="false" outlineLevel="0" collapsed="false">
      <c r="A535" s="27"/>
      <c r="B535" s="17" t="str">
        <f aca="false">IF($A535="","",COUNTIFS(Orders!$C$2:$C$20001,$A535,Orders!$E$2:$E$20001,"COD",Orders!$F$2:$F$20001,"Delivered")+COUNTIFS(Orders!$C$2:$C$20001,$A535,Orders!$E$2:$E$20001,"COD",Orders!$F$2:$F$20001,"RTO"))</f>
        <v/>
      </c>
      <c r="C535" s="17" t="str">
        <f aca="false">IF($A535="","",COUNTIFS(Orders!$C$2:$C$20001,$A535,Orders!$E$2:$E$20001,"COD",Orders!$F$2:$F$20001,"RTO"))</f>
        <v/>
      </c>
      <c r="D535" s="18" t="str">
        <f aca="false">IF($A535="","",IFERROR(C535/B535,0))</f>
        <v/>
      </c>
      <c r="E535" s="17" t="str">
        <f aca="false">IF($A535="","",COUNTIFS(Orders!$C$2:$C$20001,$A535,Orders!$E$2:$E$20001,"Prepaid",Orders!$F$2:$F$20001,"Delivered")+COUNTIFS(Orders!$C$2:$C$20001,$A535,Orders!$E$2:$E$20001,"Prepaid",Orders!$F$2:$F$20001,"RTO"))</f>
        <v/>
      </c>
      <c r="F535" s="17" t="str">
        <f aca="false">IF($A535="","",COUNTIFS(Orders!$C$2:$C$20001,$A535,Orders!$E$2:$E$20001,"Prepaid",Orders!$F$2:$F$20001,"RTO"))</f>
        <v/>
      </c>
      <c r="G535" s="18" t="str">
        <f aca="false">IF($A535="","",IFERROR(F535/E535,0))</f>
        <v/>
      </c>
      <c r="H535" s="19" t="str">
        <f aca="false">IF($A535="","",C535*Settings!$B$11)</f>
        <v/>
      </c>
      <c r="I535" s="20" t="str">
        <f aca="false">IF($A535="","",IF(N(H535)=0,"",RANK(H535,$H$5:$H$2004)))</f>
        <v/>
      </c>
      <c r="J535" s="21" t="str">
        <f aca="false">IF($A535="","",IF(B535=0,"No COD orders",IF(B535&lt;Settings!$B$8,"Too few orders",IF(D535&gt;=Settings!$B$9,"Restrict COD or verify","Keep COD"))))</f>
        <v/>
      </c>
    </row>
    <row r="536" customFormat="false" ht="15" hidden="false" customHeight="false" outlineLevel="0" collapsed="false">
      <c r="A536" s="27"/>
      <c r="B536" s="17" t="str">
        <f aca="false">IF($A536="","",COUNTIFS(Orders!$C$2:$C$20001,$A536,Orders!$E$2:$E$20001,"COD",Orders!$F$2:$F$20001,"Delivered")+COUNTIFS(Orders!$C$2:$C$20001,$A536,Orders!$E$2:$E$20001,"COD",Orders!$F$2:$F$20001,"RTO"))</f>
        <v/>
      </c>
      <c r="C536" s="17" t="str">
        <f aca="false">IF($A536="","",COUNTIFS(Orders!$C$2:$C$20001,$A536,Orders!$E$2:$E$20001,"COD",Orders!$F$2:$F$20001,"RTO"))</f>
        <v/>
      </c>
      <c r="D536" s="18" t="str">
        <f aca="false">IF($A536="","",IFERROR(C536/B536,0))</f>
        <v/>
      </c>
      <c r="E536" s="17" t="str">
        <f aca="false">IF($A536="","",COUNTIFS(Orders!$C$2:$C$20001,$A536,Orders!$E$2:$E$20001,"Prepaid",Orders!$F$2:$F$20001,"Delivered")+COUNTIFS(Orders!$C$2:$C$20001,$A536,Orders!$E$2:$E$20001,"Prepaid",Orders!$F$2:$F$20001,"RTO"))</f>
        <v/>
      </c>
      <c r="F536" s="17" t="str">
        <f aca="false">IF($A536="","",COUNTIFS(Orders!$C$2:$C$20001,$A536,Orders!$E$2:$E$20001,"Prepaid",Orders!$F$2:$F$20001,"RTO"))</f>
        <v/>
      </c>
      <c r="G536" s="18" t="str">
        <f aca="false">IF($A536="","",IFERROR(F536/E536,0))</f>
        <v/>
      </c>
      <c r="H536" s="19" t="str">
        <f aca="false">IF($A536="","",C536*Settings!$B$11)</f>
        <v/>
      </c>
      <c r="I536" s="20" t="str">
        <f aca="false">IF($A536="","",IF(N(H536)=0,"",RANK(H536,$H$5:$H$2004)))</f>
        <v/>
      </c>
      <c r="J536" s="21" t="str">
        <f aca="false">IF($A536="","",IF(B536=0,"No COD orders",IF(B536&lt;Settings!$B$8,"Too few orders",IF(D536&gt;=Settings!$B$9,"Restrict COD or verify","Keep COD"))))</f>
        <v/>
      </c>
    </row>
    <row r="537" customFormat="false" ht="15" hidden="false" customHeight="false" outlineLevel="0" collapsed="false">
      <c r="A537" s="27"/>
      <c r="B537" s="17" t="str">
        <f aca="false">IF($A537="","",COUNTIFS(Orders!$C$2:$C$20001,$A537,Orders!$E$2:$E$20001,"COD",Orders!$F$2:$F$20001,"Delivered")+COUNTIFS(Orders!$C$2:$C$20001,$A537,Orders!$E$2:$E$20001,"COD",Orders!$F$2:$F$20001,"RTO"))</f>
        <v/>
      </c>
      <c r="C537" s="17" t="str">
        <f aca="false">IF($A537="","",COUNTIFS(Orders!$C$2:$C$20001,$A537,Orders!$E$2:$E$20001,"COD",Orders!$F$2:$F$20001,"RTO"))</f>
        <v/>
      </c>
      <c r="D537" s="18" t="str">
        <f aca="false">IF($A537="","",IFERROR(C537/B537,0))</f>
        <v/>
      </c>
      <c r="E537" s="17" t="str">
        <f aca="false">IF($A537="","",COUNTIFS(Orders!$C$2:$C$20001,$A537,Orders!$E$2:$E$20001,"Prepaid",Orders!$F$2:$F$20001,"Delivered")+COUNTIFS(Orders!$C$2:$C$20001,$A537,Orders!$E$2:$E$20001,"Prepaid",Orders!$F$2:$F$20001,"RTO"))</f>
        <v/>
      </c>
      <c r="F537" s="17" t="str">
        <f aca="false">IF($A537="","",COUNTIFS(Orders!$C$2:$C$20001,$A537,Orders!$E$2:$E$20001,"Prepaid",Orders!$F$2:$F$20001,"RTO"))</f>
        <v/>
      </c>
      <c r="G537" s="18" t="str">
        <f aca="false">IF($A537="","",IFERROR(F537/E537,0))</f>
        <v/>
      </c>
      <c r="H537" s="19" t="str">
        <f aca="false">IF($A537="","",C537*Settings!$B$11)</f>
        <v/>
      </c>
      <c r="I537" s="20" t="str">
        <f aca="false">IF($A537="","",IF(N(H537)=0,"",RANK(H537,$H$5:$H$2004)))</f>
        <v/>
      </c>
      <c r="J537" s="21" t="str">
        <f aca="false">IF($A537="","",IF(B537=0,"No COD orders",IF(B537&lt;Settings!$B$8,"Too few orders",IF(D537&gt;=Settings!$B$9,"Restrict COD or verify","Keep COD"))))</f>
        <v/>
      </c>
    </row>
    <row r="538" customFormat="false" ht="15" hidden="false" customHeight="false" outlineLevel="0" collapsed="false">
      <c r="A538" s="27"/>
      <c r="B538" s="17" t="str">
        <f aca="false">IF($A538="","",COUNTIFS(Orders!$C$2:$C$20001,$A538,Orders!$E$2:$E$20001,"COD",Orders!$F$2:$F$20001,"Delivered")+COUNTIFS(Orders!$C$2:$C$20001,$A538,Orders!$E$2:$E$20001,"COD",Orders!$F$2:$F$20001,"RTO"))</f>
        <v/>
      </c>
      <c r="C538" s="17" t="str">
        <f aca="false">IF($A538="","",COUNTIFS(Orders!$C$2:$C$20001,$A538,Orders!$E$2:$E$20001,"COD",Orders!$F$2:$F$20001,"RTO"))</f>
        <v/>
      </c>
      <c r="D538" s="18" t="str">
        <f aca="false">IF($A538="","",IFERROR(C538/B538,0))</f>
        <v/>
      </c>
      <c r="E538" s="17" t="str">
        <f aca="false">IF($A538="","",COUNTIFS(Orders!$C$2:$C$20001,$A538,Orders!$E$2:$E$20001,"Prepaid",Orders!$F$2:$F$20001,"Delivered")+COUNTIFS(Orders!$C$2:$C$20001,$A538,Orders!$E$2:$E$20001,"Prepaid",Orders!$F$2:$F$20001,"RTO"))</f>
        <v/>
      </c>
      <c r="F538" s="17" t="str">
        <f aca="false">IF($A538="","",COUNTIFS(Orders!$C$2:$C$20001,$A538,Orders!$E$2:$E$20001,"Prepaid",Orders!$F$2:$F$20001,"RTO"))</f>
        <v/>
      </c>
      <c r="G538" s="18" t="str">
        <f aca="false">IF($A538="","",IFERROR(F538/E538,0))</f>
        <v/>
      </c>
      <c r="H538" s="19" t="str">
        <f aca="false">IF($A538="","",C538*Settings!$B$11)</f>
        <v/>
      </c>
      <c r="I538" s="20" t="str">
        <f aca="false">IF($A538="","",IF(N(H538)=0,"",RANK(H538,$H$5:$H$2004)))</f>
        <v/>
      </c>
      <c r="J538" s="21" t="str">
        <f aca="false">IF($A538="","",IF(B538=0,"No COD orders",IF(B538&lt;Settings!$B$8,"Too few orders",IF(D538&gt;=Settings!$B$9,"Restrict COD or verify","Keep COD"))))</f>
        <v/>
      </c>
    </row>
    <row r="539" customFormat="false" ht="15" hidden="false" customHeight="false" outlineLevel="0" collapsed="false">
      <c r="A539" s="27"/>
      <c r="B539" s="17" t="str">
        <f aca="false">IF($A539="","",COUNTIFS(Orders!$C$2:$C$20001,$A539,Orders!$E$2:$E$20001,"COD",Orders!$F$2:$F$20001,"Delivered")+COUNTIFS(Orders!$C$2:$C$20001,$A539,Orders!$E$2:$E$20001,"COD",Orders!$F$2:$F$20001,"RTO"))</f>
        <v/>
      </c>
      <c r="C539" s="17" t="str">
        <f aca="false">IF($A539="","",COUNTIFS(Orders!$C$2:$C$20001,$A539,Orders!$E$2:$E$20001,"COD",Orders!$F$2:$F$20001,"RTO"))</f>
        <v/>
      </c>
      <c r="D539" s="18" t="str">
        <f aca="false">IF($A539="","",IFERROR(C539/B539,0))</f>
        <v/>
      </c>
      <c r="E539" s="17" t="str">
        <f aca="false">IF($A539="","",COUNTIFS(Orders!$C$2:$C$20001,$A539,Orders!$E$2:$E$20001,"Prepaid",Orders!$F$2:$F$20001,"Delivered")+COUNTIFS(Orders!$C$2:$C$20001,$A539,Orders!$E$2:$E$20001,"Prepaid",Orders!$F$2:$F$20001,"RTO"))</f>
        <v/>
      </c>
      <c r="F539" s="17" t="str">
        <f aca="false">IF($A539="","",COUNTIFS(Orders!$C$2:$C$20001,$A539,Orders!$E$2:$E$20001,"Prepaid",Orders!$F$2:$F$20001,"RTO"))</f>
        <v/>
      </c>
      <c r="G539" s="18" t="str">
        <f aca="false">IF($A539="","",IFERROR(F539/E539,0))</f>
        <v/>
      </c>
      <c r="H539" s="19" t="str">
        <f aca="false">IF($A539="","",C539*Settings!$B$11)</f>
        <v/>
      </c>
      <c r="I539" s="20" t="str">
        <f aca="false">IF($A539="","",IF(N(H539)=0,"",RANK(H539,$H$5:$H$2004)))</f>
        <v/>
      </c>
      <c r="J539" s="21" t="str">
        <f aca="false">IF($A539="","",IF(B539=0,"No COD orders",IF(B539&lt;Settings!$B$8,"Too few orders",IF(D539&gt;=Settings!$B$9,"Restrict COD or verify","Keep COD"))))</f>
        <v/>
      </c>
    </row>
    <row r="540" customFormat="false" ht="15" hidden="false" customHeight="false" outlineLevel="0" collapsed="false">
      <c r="A540" s="27"/>
      <c r="B540" s="17" t="str">
        <f aca="false">IF($A540="","",COUNTIFS(Orders!$C$2:$C$20001,$A540,Orders!$E$2:$E$20001,"COD",Orders!$F$2:$F$20001,"Delivered")+COUNTIFS(Orders!$C$2:$C$20001,$A540,Orders!$E$2:$E$20001,"COD",Orders!$F$2:$F$20001,"RTO"))</f>
        <v/>
      </c>
      <c r="C540" s="17" t="str">
        <f aca="false">IF($A540="","",COUNTIFS(Orders!$C$2:$C$20001,$A540,Orders!$E$2:$E$20001,"COD",Orders!$F$2:$F$20001,"RTO"))</f>
        <v/>
      </c>
      <c r="D540" s="18" t="str">
        <f aca="false">IF($A540="","",IFERROR(C540/B540,0))</f>
        <v/>
      </c>
      <c r="E540" s="17" t="str">
        <f aca="false">IF($A540="","",COUNTIFS(Orders!$C$2:$C$20001,$A540,Orders!$E$2:$E$20001,"Prepaid",Orders!$F$2:$F$20001,"Delivered")+COUNTIFS(Orders!$C$2:$C$20001,$A540,Orders!$E$2:$E$20001,"Prepaid",Orders!$F$2:$F$20001,"RTO"))</f>
        <v/>
      </c>
      <c r="F540" s="17" t="str">
        <f aca="false">IF($A540="","",COUNTIFS(Orders!$C$2:$C$20001,$A540,Orders!$E$2:$E$20001,"Prepaid",Orders!$F$2:$F$20001,"RTO"))</f>
        <v/>
      </c>
      <c r="G540" s="18" t="str">
        <f aca="false">IF($A540="","",IFERROR(F540/E540,0))</f>
        <v/>
      </c>
      <c r="H540" s="19" t="str">
        <f aca="false">IF($A540="","",C540*Settings!$B$11)</f>
        <v/>
      </c>
      <c r="I540" s="20" t="str">
        <f aca="false">IF($A540="","",IF(N(H540)=0,"",RANK(H540,$H$5:$H$2004)))</f>
        <v/>
      </c>
      <c r="J540" s="21" t="str">
        <f aca="false">IF($A540="","",IF(B540=0,"No COD orders",IF(B540&lt;Settings!$B$8,"Too few orders",IF(D540&gt;=Settings!$B$9,"Restrict COD or verify","Keep COD"))))</f>
        <v/>
      </c>
    </row>
    <row r="541" customFormat="false" ht="15" hidden="false" customHeight="false" outlineLevel="0" collapsed="false">
      <c r="A541" s="27"/>
      <c r="B541" s="17" t="str">
        <f aca="false">IF($A541="","",COUNTIFS(Orders!$C$2:$C$20001,$A541,Orders!$E$2:$E$20001,"COD",Orders!$F$2:$F$20001,"Delivered")+COUNTIFS(Orders!$C$2:$C$20001,$A541,Orders!$E$2:$E$20001,"COD",Orders!$F$2:$F$20001,"RTO"))</f>
        <v/>
      </c>
      <c r="C541" s="17" t="str">
        <f aca="false">IF($A541="","",COUNTIFS(Orders!$C$2:$C$20001,$A541,Orders!$E$2:$E$20001,"COD",Orders!$F$2:$F$20001,"RTO"))</f>
        <v/>
      </c>
      <c r="D541" s="18" t="str">
        <f aca="false">IF($A541="","",IFERROR(C541/B541,0))</f>
        <v/>
      </c>
      <c r="E541" s="17" t="str">
        <f aca="false">IF($A541="","",COUNTIFS(Orders!$C$2:$C$20001,$A541,Orders!$E$2:$E$20001,"Prepaid",Orders!$F$2:$F$20001,"Delivered")+COUNTIFS(Orders!$C$2:$C$20001,$A541,Orders!$E$2:$E$20001,"Prepaid",Orders!$F$2:$F$20001,"RTO"))</f>
        <v/>
      </c>
      <c r="F541" s="17" t="str">
        <f aca="false">IF($A541="","",COUNTIFS(Orders!$C$2:$C$20001,$A541,Orders!$E$2:$E$20001,"Prepaid",Orders!$F$2:$F$20001,"RTO"))</f>
        <v/>
      </c>
      <c r="G541" s="18" t="str">
        <f aca="false">IF($A541="","",IFERROR(F541/E541,0))</f>
        <v/>
      </c>
      <c r="H541" s="19" t="str">
        <f aca="false">IF($A541="","",C541*Settings!$B$11)</f>
        <v/>
      </c>
      <c r="I541" s="20" t="str">
        <f aca="false">IF($A541="","",IF(N(H541)=0,"",RANK(H541,$H$5:$H$2004)))</f>
        <v/>
      </c>
      <c r="J541" s="21" t="str">
        <f aca="false">IF($A541="","",IF(B541=0,"No COD orders",IF(B541&lt;Settings!$B$8,"Too few orders",IF(D541&gt;=Settings!$B$9,"Restrict COD or verify","Keep COD"))))</f>
        <v/>
      </c>
    </row>
    <row r="542" customFormat="false" ht="15" hidden="false" customHeight="false" outlineLevel="0" collapsed="false">
      <c r="A542" s="27"/>
      <c r="B542" s="17" t="str">
        <f aca="false">IF($A542="","",COUNTIFS(Orders!$C$2:$C$20001,$A542,Orders!$E$2:$E$20001,"COD",Orders!$F$2:$F$20001,"Delivered")+COUNTIFS(Orders!$C$2:$C$20001,$A542,Orders!$E$2:$E$20001,"COD",Orders!$F$2:$F$20001,"RTO"))</f>
        <v/>
      </c>
      <c r="C542" s="17" t="str">
        <f aca="false">IF($A542="","",COUNTIFS(Orders!$C$2:$C$20001,$A542,Orders!$E$2:$E$20001,"COD",Orders!$F$2:$F$20001,"RTO"))</f>
        <v/>
      </c>
      <c r="D542" s="18" t="str">
        <f aca="false">IF($A542="","",IFERROR(C542/B542,0))</f>
        <v/>
      </c>
      <c r="E542" s="17" t="str">
        <f aca="false">IF($A542="","",COUNTIFS(Orders!$C$2:$C$20001,$A542,Orders!$E$2:$E$20001,"Prepaid",Orders!$F$2:$F$20001,"Delivered")+COUNTIFS(Orders!$C$2:$C$20001,$A542,Orders!$E$2:$E$20001,"Prepaid",Orders!$F$2:$F$20001,"RTO"))</f>
        <v/>
      </c>
      <c r="F542" s="17" t="str">
        <f aca="false">IF($A542="","",COUNTIFS(Orders!$C$2:$C$20001,$A542,Orders!$E$2:$E$20001,"Prepaid",Orders!$F$2:$F$20001,"RTO"))</f>
        <v/>
      </c>
      <c r="G542" s="18" t="str">
        <f aca="false">IF($A542="","",IFERROR(F542/E542,0))</f>
        <v/>
      </c>
      <c r="H542" s="19" t="str">
        <f aca="false">IF($A542="","",C542*Settings!$B$11)</f>
        <v/>
      </c>
      <c r="I542" s="20" t="str">
        <f aca="false">IF($A542="","",IF(N(H542)=0,"",RANK(H542,$H$5:$H$2004)))</f>
        <v/>
      </c>
      <c r="J542" s="21" t="str">
        <f aca="false">IF($A542="","",IF(B542=0,"No COD orders",IF(B542&lt;Settings!$B$8,"Too few orders",IF(D542&gt;=Settings!$B$9,"Restrict COD or verify","Keep COD"))))</f>
        <v/>
      </c>
    </row>
    <row r="543" customFormat="false" ht="15" hidden="false" customHeight="false" outlineLevel="0" collapsed="false">
      <c r="A543" s="27"/>
      <c r="B543" s="17" t="str">
        <f aca="false">IF($A543="","",COUNTIFS(Orders!$C$2:$C$20001,$A543,Orders!$E$2:$E$20001,"COD",Orders!$F$2:$F$20001,"Delivered")+COUNTIFS(Orders!$C$2:$C$20001,$A543,Orders!$E$2:$E$20001,"COD",Orders!$F$2:$F$20001,"RTO"))</f>
        <v/>
      </c>
      <c r="C543" s="17" t="str">
        <f aca="false">IF($A543="","",COUNTIFS(Orders!$C$2:$C$20001,$A543,Orders!$E$2:$E$20001,"COD",Orders!$F$2:$F$20001,"RTO"))</f>
        <v/>
      </c>
      <c r="D543" s="18" t="str">
        <f aca="false">IF($A543="","",IFERROR(C543/B543,0))</f>
        <v/>
      </c>
      <c r="E543" s="17" t="str">
        <f aca="false">IF($A543="","",COUNTIFS(Orders!$C$2:$C$20001,$A543,Orders!$E$2:$E$20001,"Prepaid",Orders!$F$2:$F$20001,"Delivered")+COUNTIFS(Orders!$C$2:$C$20001,$A543,Orders!$E$2:$E$20001,"Prepaid",Orders!$F$2:$F$20001,"RTO"))</f>
        <v/>
      </c>
      <c r="F543" s="17" t="str">
        <f aca="false">IF($A543="","",COUNTIFS(Orders!$C$2:$C$20001,$A543,Orders!$E$2:$E$20001,"Prepaid",Orders!$F$2:$F$20001,"RTO"))</f>
        <v/>
      </c>
      <c r="G543" s="18" t="str">
        <f aca="false">IF($A543="","",IFERROR(F543/E543,0))</f>
        <v/>
      </c>
      <c r="H543" s="19" t="str">
        <f aca="false">IF($A543="","",C543*Settings!$B$11)</f>
        <v/>
      </c>
      <c r="I543" s="20" t="str">
        <f aca="false">IF($A543="","",IF(N(H543)=0,"",RANK(H543,$H$5:$H$2004)))</f>
        <v/>
      </c>
      <c r="J543" s="21" t="str">
        <f aca="false">IF($A543="","",IF(B543=0,"No COD orders",IF(B543&lt;Settings!$B$8,"Too few orders",IF(D543&gt;=Settings!$B$9,"Restrict COD or verify","Keep COD"))))</f>
        <v/>
      </c>
    </row>
    <row r="544" customFormat="false" ht="15" hidden="false" customHeight="false" outlineLevel="0" collapsed="false">
      <c r="A544" s="27"/>
      <c r="B544" s="17" t="str">
        <f aca="false">IF($A544="","",COUNTIFS(Orders!$C$2:$C$20001,$A544,Orders!$E$2:$E$20001,"COD",Orders!$F$2:$F$20001,"Delivered")+COUNTIFS(Orders!$C$2:$C$20001,$A544,Orders!$E$2:$E$20001,"COD",Orders!$F$2:$F$20001,"RTO"))</f>
        <v/>
      </c>
      <c r="C544" s="17" t="str">
        <f aca="false">IF($A544="","",COUNTIFS(Orders!$C$2:$C$20001,$A544,Orders!$E$2:$E$20001,"COD",Orders!$F$2:$F$20001,"RTO"))</f>
        <v/>
      </c>
      <c r="D544" s="18" t="str">
        <f aca="false">IF($A544="","",IFERROR(C544/B544,0))</f>
        <v/>
      </c>
      <c r="E544" s="17" t="str">
        <f aca="false">IF($A544="","",COUNTIFS(Orders!$C$2:$C$20001,$A544,Orders!$E$2:$E$20001,"Prepaid",Orders!$F$2:$F$20001,"Delivered")+COUNTIFS(Orders!$C$2:$C$20001,$A544,Orders!$E$2:$E$20001,"Prepaid",Orders!$F$2:$F$20001,"RTO"))</f>
        <v/>
      </c>
      <c r="F544" s="17" t="str">
        <f aca="false">IF($A544="","",COUNTIFS(Orders!$C$2:$C$20001,$A544,Orders!$E$2:$E$20001,"Prepaid",Orders!$F$2:$F$20001,"RTO"))</f>
        <v/>
      </c>
      <c r="G544" s="18" t="str">
        <f aca="false">IF($A544="","",IFERROR(F544/E544,0))</f>
        <v/>
      </c>
      <c r="H544" s="19" t="str">
        <f aca="false">IF($A544="","",C544*Settings!$B$11)</f>
        <v/>
      </c>
      <c r="I544" s="20" t="str">
        <f aca="false">IF($A544="","",IF(N(H544)=0,"",RANK(H544,$H$5:$H$2004)))</f>
        <v/>
      </c>
      <c r="J544" s="21" t="str">
        <f aca="false">IF($A544="","",IF(B544=0,"No COD orders",IF(B544&lt;Settings!$B$8,"Too few orders",IF(D544&gt;=Settings!$B$9,"Restrict COD or verify","Keep COD"))))</f>
        <v/>
      </c>
    </row>
    <row r="545" customFormat="false" ht="15" hidden="false" customHeight="false" outlineLevel="0" collapsed="false">
      <c r="A545" s="27"/>
      <c r="B545" s="17" t="str">
        <f aca="false">IF($A545="","",COUNTIFS(Orders!$C$2:$C$20001,$A545,Orders!$E$2:$E$20001,"COD",Orders!$F$2:$F$20001,"Delivered")+COUNTIFS(Orders!$C$2:$C$20001,$A545,Orders!$E$2:$E$20001,"COD",Orders!$F$2:$F$20001,"RTO"))</f>
        <v/>
      </c>
      <c r="C545" s="17" t="str">
        <f aca="false">IF($A545="","",COUNTIFS(Orders!$C$2:$C$20001,$A545,Orders!$E$2:$E$20001,"COD",Orders!$F$2:$F$20001,"RTO"))</f>
        <v/>
      </c>
      <c r="D545" s="18" t="str">
        <f aca="false">IF($A545="","",IFERROR(C545/B545,0))</f>
        <v/>
      </c>
      <c r="E545" s="17" t="str">
        <f aca="false">IF($A545="","",COUNTIFS(Orders!$C$2:$C$20001,$A545,Orders!$E$2:$E$20001,"Prepaid",Orders!$F$2:$F$20001,"Delivered")+COUNTIFS(Orders!$C$2:$C$20001,$A545,Orders!$E$2:$E$20001,"Prepaid",Orders!$F$2:$F$20001,"RTO"))</f>
        <v/>
      </c>
      <c r="F545" s="17" t="str">
        <f aca="false">IF($A545="","",COUNTIFS(Orders!$C$2:$C$20001,$A545,Orders!$E$2:$E$20001,"Prepaid",Orders!$F$2:$F$20001,"RTO"))</f>
        <v/>
      </c>
      <c r="G545" s="18" t="str">
        <f aca="false">IF($A545="","",IFERROR(F545/E545,0))</f>
        <v/>
      </c>
      <c r="H545" s="19" t="str">
        <f aca="false">IF($A545="","",C545*Settings!$B$11)</f>
        <v/>
      </c>
      <c r="I545" s="20" t="str">
        <f aca="false">IF($A545="","",IF(N(H545)=0,"",RANK(H545,$H$5:$H$2004)))</f>
        <v/>
      </c>
      <c r="J545" s="21" t="str">
        <f aca="false">IF($A545="","",IF(B545=0,"No COD orders",IF(B545&lt;Settings!$B$8,"Too few orders",IF(D545&gt;=Settings!$B$9,"Restrict COD or verify","Keep COD"))))</f>
        <v/>
      </c>
    </row>
    <row r="546" customFormat="false" ht="15" hidden="false" customHeight="false" outlineLevel="0" collapsed="false">
      <c r="A546" s="27"/>
      <c r="B546" s="17" t="str">
        <f aca="false">IF($A546="","",COUNTIFS(Orders!$C$2:$C$20001,$A546,Orders!$E$2:$E$20001,"COD",Orders!$F$2:$F$20001,"Delivered")+COUNTIFS(Orders!$C$2:$C$20001,$A546,Orders!$E$2:$E$20001,"COD",Orders!$F$2:$F$20001,"RTO"))</f>
        <v/>
      </c>
      <c r="C546" s="17" t="str">
        <f aca="false">IF($A546="","",COUNTIFS(Orders!$C$2:$C$20001,$A546,Orders!$E$2:$E$20001,"COD",Orders!$F$2:$F$20001,"RTO"))</f>
        <v/>
      </c>
      <c r="D546" s="18" t="str">
        <f aca="false">IF($A546="","",IFERROR(C546/B546,0))</f>
        <v/>
      </c>
      <c r="E546" s="17" t="str">
        <f aca="false">IF($A546="","",COUNTIFS(Orders!$C$2:$C$20001,$A546,Orders!$E$2:$E$20001,"Prepaid",Orders!$F$2:$F$20001,"Delivered")+COUNTIFS(Orders!$C$2:$C$20001,$A546,Orders!$E$2:$E$20001,"Prepaid",Orders!$F$2:$F$20001,"RTO"))</f>
        <v/>
      </c>
      <c r="F546" s="17" t="str">
        <f aca="false">IF($A546="","",COUNTIFS(Orders!$C$2:$C$20001,$A546,Orders!$E$2:$E$20001,"Prepaid",Orders!$F$2:$F$20001,"RTO"))</f>
        <v/>
      </c>
      <c r="G546" s="18" t="str">
        <f aca="false">IF($A546="","",IFERROR(F546/E546,0))</f>
        <v/>
      </c>
      <c r="H546" s="19" t="str">
        <f aca="false">IF($A546="","",C546*Settings!$B$11)</f>
        <v/>
      </c>
      <c r="I546" s="20" t="str">
        <f aca="false">IF($A546="","",IF(N(H546)=0,"",RANK(H546,$H$5:$H$2004)))</f>
        <v/>
      </c>
      <c r="J546" s="21" t="str">
        <f aca="false">IF($A546="","",IF(B546=0,"No COD orders",IF(B546&lt;Settings!$B$8,"Too few orders",IF(D546&gt;=Settings!$B$9,"Restrict COD or verify","Keep COD"))))</f>
        <v/>
      </c>
    </row>
    <row r="547" customFormat="false" ht="15" hidden="false" customHeight="false" outlineLevel="0" collapsed="false">
      <c r="A547" s="27"/>
      <c r="B547" s="17" t="str">
        <f aca="false">IF($A547="","",COUNTIFS(Orders!$C$2:$C$20001,$A547,Orders!$E$2:$E$20001,"COD",Orders!$F$2:$F$20001,"Delivered")+COUNTIFS(Orders!$C$2:$C$20001,$A547,Orders!$E$2:$E$20001,"COD",Orders!$F$2:$F$20001,"RTO"))</f>
        <v/>
      </c>
      <c r="C547" s="17" t="str">
        <f aca="false">IF($A547="","",COUNTIFS(Orders!$C$2:$C$20001,$A547,Orders!$E$2:$E$20001,"COD",Orders!$F$2:$F$20001,"RTO"))</f>
        <v/>
      </c>
      <c r="D547" s="18" t="str">
        <f aca="false">IF($A547="","",IFERROR(C547/B547,0))</f>
        <v/>
      </c>
      <c r="E547" s="17" t="str">
        <f aca="false">IF($A547="","",COUNTIFS(Orders!$C$2:$C$20001,$A547,Orders!$E$2:$E$20001,"Prepaid",Orders!$F$2:$F$20001,"Delivered")+COUNTIFS(Orders!$C$2:$C$20001,$A547,Orders!$E$2:$E$20001,"Prepaid",Orders!$F$2:$F$20001,"RTO"))</f>
        <v/>
      </c>
      <c r="F547" s="17" t="str">
        <f aca="false">IF($A547="","",COUNTIFS(Orders!$C$2:$C$20001,$A547,Orders!$E$2:$E$20001,"Prepaid",Orders!$F$2:$F$20001,"RTO"))</f>
        <v/>
      </c>
      <c r="G547" s="18" t="str">
        <f aca="false">IF($A547="","",IFERROR(F547/E547,0))</f>
        <v/>
      </c>
      <c r="H547" s="19" t="str">
        <f aca="false">IF($A547="","",C547*Settings!$B$11)</f>
        <v/>
      </c>
      <c r="I547" s="20" t="str">
        <f aca="false">IF($A547="","",IF(N(H547)=0,"",RANK(H547,$H$5:$H$2004)))</f>
        <v/>
      </c>
      <c r="J547" s="21" t="str">
        <f aca="false">IF($A547="","",IF(B547=0,"No COD orders",IF(B547&lt;Settings!$B$8,"Too few orders",IF(D547&gt;=Settings!$B$9,"Restrict COD or verify","Keep COD"))))</f>
        <v/>
      </c>
    </row>
    <row r="548" customFormat="false" ht="15" hidden="false" customHeight="false" outlineLevel="0" collapsed="false">
      <c r="A548" s="27"/>
      <c r="B548" s="17" t="str">
        <f aca="false">IF($A548="","",COUNTIFS(Orders!$C$2:$C$20001,$A548,Orders!$E$2:$E$20001,"COD",Orders!$F$2:$F$20001,"Delivered")+COUNTIFS(Orders!$C$2:$C$20001,$A548,Orders!$E$2:$E$20001,"COD",Orders!$F$2:$F$20001,"RTO"))</f>
        <v/>
      </c>
      <c r="C548" s="17" t="str">
        <f aca="false">IF($A548="","",COUNTIFS(Orders!$C$2:$C$20001,$A548,Orders!$E$2:$E$20001,"COD",Orders!$F$2:$F$20001,"RTO"))</f>
        <v/>
      </c>
      <c r="D548" s="18" t="str">
        <f aca="false">IF($A548="","",IFERROR(C548/B548,0))</f>
        <v/>
      </c>
      <c r="E548" s="17" t="str">
        <f aca="false">IF($A548="","",COUNTIFS(Orders!$C$2:$C$20001,$A548,Orders!$E$2:$E$20001,"Prepaid",Orders!$F$2:$F$20001,"Delivered")+COUNTIFS(Orders!$C$2:$C$20001,$A548,Orders!$E$2:$E$20001,"Prepaid",Orders!$F$2:$F$20001,"RTO"))</f>
        <v/>
      </c>
      <c r="F548" s="17" t="str">
        <f aca="false">IF($A548="","",COUNTIFS(Orders!$C$2:$C$20001,$A548,Orders!$E$2:$E$20001,"Prepaid",Orders!$F$2:$F$20001,"RTO"))</f>
        <v/>
      </c>
      <c r="G548" s="18" t="str">
        <f aca="false">IF($A548="","",IFERROR(F548/E548,0))</f>
        <v/>
      </c>
      <c r="H548" s="19" t="str">
        <f aca="false">IF($A548="","",C548*Settings!$B$11)</f>
        <v/>
      </c>
      <c r="I548" s="20" t="str">
        <f aca="false">IF($A548="","",IF(N(H548)=0,"",RANK(H548,$H$5:$H$2004)))</f>
        <v/>
      </c>
      <c r="J548" s="21" t="str">
        <f aca="false">IF($A548="","",IF(B548=0,"No COD orders",IF(B548&lt;Settings!$B$8,"Too few orders",IF(D548&gt;=Settings!$B$9,"Restrict COD or verify","Keep COD"))))</f>
        <v/>
      </c>
    </row>
    <row r="549" customFormat="false" ht="15" hidden="false" customHeight="false" outlineLevel="0" collapsed="false">
      <c r="A549" s="27"/>
      <c r="B549" s="17" t="str">
        <f aca="false">IF($A549="","",COUNTIFS(Orders!$C$2:$C$20001,$A549,Orders!$E$2:$E$20001,"COD",Orders!$F$2:$F$20001,"Delivered")+COUNTIFS(Orders!$C$2:$C$20001,$A549,Orders!$E$2:$E$20001,"COD",Orders!$F$2:$F$20001,"RTO"))</f>
        <v/>
      </c>
      <c r="C549" s="17" t="str">
        <f aca="false">IF($A549="","",COUNTIFS(Orders!$C$2:$C$20001,$A549,Orders!$E$2:$E$20001,"COD",Orders!$F$2:$F$20001,"RTO"))</f>
        <v/>
      </c>
      <c r="D549" s="18" t="str">
        <f aca="false">IF($A549="","",IFERROR(C549/B549,0))</f>
        <v/>
      </c>
      <c r="E549" s="17" t="str">
        <f aca="false">IF($A549="","",COUNTIFS(Orders!$C$2:$C$20001,$A549,Orders!$E$2:$E$20001,"Prepaid",Orders!$F$2:$F$20001,"Delivered")+COUNTIFS(Orders!$C$2:$C$20001,$A549,Orders!$E$2:$E$20001,"Prepaid",Orders!$F$2:$F$20001,"RTO"))</f>
        <v/>
      </c>
      <c r="F549" s="17" t="str">
        <f aca="false">IF($A549="","",COUNTIFS(Orders!$C$2:$C$20001,$A549,Orders!$E$2:$E$20001,"Prepaid",Orders!$F$2:$F$20001,"RTO"))</f>
        <v/>
      </c>
      <c r="G549" s="18" t="str">
        <f aca="false">IF($A549="","",IFERROR(F549/E549,0))</f>
        <v/>
      </c>
      <c r="H549" s="19" t="str">
        <f aca="false">IF($A549="","",C549*Settings!$B$11)</f>
        <v/>
      </c>
      <c r="I549" s="20" t="str">
        <f aca="false">IF($A549="","",IF(N(H549)=0,"",RANK(H549,$H$5:$H$2004)))</f>
        <v/>
      </c>
      <c r="J549" s="21" t="str">
        <f aca="false">IF($A549="","",IF(B549=0,"No COD orders",IF(B549&lt;Settings!$B$8,"Too few orders",IF(D549&gt;=Settings!$B$9,"Restrict COD or verify","Keep COD"))))</f>
        <v/>
      </c>
    </row>
    <row r="550" customFormat="false" ht="15" hidden="false" customHeight="false" outlineLevel="0" collapsed="false">
      <c r="A550" s="27"/>
      <c r="B550" s="17" t="str">
        <f aca="false">IF($A550="","",COUNTIFS(Orders!$C$2:$C$20001,$A550,Orders!$E$2:$E$20001,"COD",Orders!$F$2:$F$20001,"Delivered")+COUNTIFS(Orders!$C$2:$C$20001,$A550,Orders!$E$2:$E$20001,"COD",Orders!$F$2:$F$20001,"RTO"))</f>
        <v/>
      </c>
      <c r="C550" s="17" t="str">
        <f aca="false">IF($A550="","",COUNTIFS(Orders!$C$2:$C$20001,$A550,Orders!$E$2:$E$20001,"COD",Orders!$F$2:$F$20001,"RTO"))</f>
        <v/>
      </c>
      <c r="D550" s="18" t="str">
        <f aca="false">IF($A550="","",IFERROR(C550/B550,0))</f>
        <v/>
      </c>
      <c r="E550" s="17" t="str">
        <f aca="false">IF($A550="","",COUNTIFS(Orders!$C$2:$C$20001,$A550,Orders!$E$2:$E$20001,"Prepaid",Orders!$F$2:$F$20001,"Delivered")+COUNTIFS(Orders!$C$2:$C$20001,$A550,Orders!$E$2:$E$20001,"Prepaid",Orders!$F$2:$F$20001,"RTO"))</f>
        <v/>
      </c>
      <c r="F550" s="17" t="str">
        <f aca="false">IF($A550="","",COUNTIFS(Orders!$C$2:$C$20001,$A550,Orders!$E$2:$E$20001,"Prepaid",Orders!$F$2:$F$20001,"RTO"))</f>
        <v/>
      </c>
      <c r="G550" s="18" t="str">
        <f aca="false">IF($A550="","",IFERROR(F550/E550,0))</f>
        <v/>
      </c>
      <c r="H550" s="19" t="str">
        <f aca="false">IF($A550="","",C550*Settings!$B$11)</f>
        <v/>
      </c>
      <c r="I550" s="20" t="str">
        <f aca="false">IF($A550="","",IF(N(H550)=0,"",RANK(H550,$H$5:$H$2004)))</f>
        <v/>
      </c>
      <c r="J550" s="21" t="str">
        <f aca="false">IF($A550="","",IF(B550=0,"No COD orders",IF(B550&lt;Settings!$B$8,"Too few orders",IF(D550&gt;=Settings!$B$9,"Restrict COD or verify","Keep COD"))))</f>
        <v/>
      </c>
    </row>
    <row r="551" customFormat="false" ht="15" hidden="false" customHeight="false" outlineLevel="0" collapsed="false">
      <c r="A551" s="27"/>
      <c r="B551" s="17" t="str">
        <f aca="false">IF($A551="","",COUNTIFS(Orders!$C$2:$C$20001,$A551,Orders!$E$2:$E$20001,"COD",Orders!$F$2:$F$20001,"Delivered")+COUNTIFS(Orders!$C$2:$C$20001,$A551,Orders!$E$2:$E$20001,"COD",Orders!$F$2:$F$20001,"RTO"))</f>
        <v/>
      </c>
      <c r="C551" s="17" t="str">
        <f aca="false">IF($A551="","",COUNTIFS(Orders!$C$2:$C$20001,$A551,Orders!$E$2:$E$20001,"COD",Orders!$F$2:$F$20001,"RTO"))</f>
        <v/>
      </c>
      <c r="D551" s="18" t="str">
        <f aca="false">IF($A551="","",IFERROR(C551/B551,0))</f>
        <v/>
      </c>
      <c r="E551" s="17" t="str">
        <f aca="false">IF($A551="","",COUNTIFS(Orders!$C$2:$C$20001,$A551,Orders!$E$2:$E$20001,"Prepaid",Orders!$F$2:$F$20001,"Delivered")+COUNTIFS(Orders!$C$2:$C$20001,$A551,Orders!$E$2:$E$20001,"Prepaid",Orders!$F$2:$F$20001,"RTO"))</f>
        <v/>
      </c>
      <c r="F551" s="17" t="str">
        <f aca="false">IF($A551="","",COUNTIFS(Orders!$C$2:$C$20001,$A551,Orders!$E$2:$E$20001,"Prepaid",Orders!$F$2:$F$20001,"RTO"))</f>
        <v/>
      </c>
      <c r="G551" s="18" t="str">
        <f aca="false">IF($A551="","",IFERROR(F551/E551,0))</f>
        <v/>
      </c>
      <c r="H551" s="19" t="str">
        <f aca="false">IF($A551="","",C551*Settings!$B$11)</f>
        <v/>
      </c>
      <c r="I551" s="20" t="str">
        <f aca="false">IF($A551="","",IF(N(H551)=0,"",RANK(H551,$H$5:$H$2004)))</f>
        <v/>
      </c>
      <c r="J551" s="21" t="str">
        <f aca="false">IF($A551="","",IF(B551=0,"No COD orders",IF(B551&lt;Settings!$B$8,"Too few orders",IF(D551&gt;=Settings!$B$9,"Restrict COD or verify","Keep COD"))))</f>
        <v/>
      </c>
    </row>
    <row r="552" customFormat="false" ht="15" hidden="false" customHeight="false" outlineLevel="0" collapsed="false">
      <c r="A552" s="27"/>
      <c r="B552" s="17" t="str">
        <f aca="false">IF($A552="","",COUNTIFS(Orders!$C$2:$C$20001,$A552,Orders!$E$2:$E$20001,"COD",Orders!$F$2:$F$20001,"Delivered")+COUNTIFS(Orders!$C$2:$C$20001,$A552,Orders!$E$2:$E$20001,"COD",Orders!$F$2:$F$20001,"RTO"))</f>
        <v/>
      </c>
      <c r="C552" s="17" t="str">
        <f aca="false">IF($A552="","",COUNTIFS(Orders!$C$2:$C$20001,$A552,Orders!$E$2:$E$20001,"COD",Orders!$F$2:$F$20001,"RTO"))</f>
        <v/>
      </c>
      <c r="D552" s="18" t="str">
        <f aca="false">IF($A552="","",IFERROR(C552/B552,0))</f>
        <v/>
      </c>
      <c r="E552" s="17" t="str">
        <f aca="false">IF($A552="","",COUNTIFS(Orders!$C$2:$C$20001,$A552,Orders!$E$2:$E$20001,"Prepaid",Orders!$F$2:$F$20001,"Delivered")+COUNTIFS(Orders!$C$2:$C$20001,$A552,Orders!$E$2:$E$20001,"Prepaid",Orders!$F$2:$F$20001,"RTO"))</f>
        <v/>
      </c>
      <c r="F552" s="17" t="str">
        <f aca="false">IF($A552="","",COUNTIFS(Orders!$C$2:$C$20001,$A552,Orders!$E$2:$E$20001,"Prepaid",Orders!$F$2:$F$20001,"RTO"))</f>
        <v/>
      </c>
      <c r="G552" s="18" t="str">
        <f aca="false">IF($A552="","",IFERROR(F552/E552,0))</f>
        <v/>
      </c>
      <c r="H552" s="19" t="str">
        <f aca="false">IF($A552="","",C552*Settings!$B$11)</f>
        <v/>
      </c>
      <c r="I552" s="20" t="str">
        <f aca="false">IF($A552="","",IF(N(H552)=0,"",RANK(H552,$H$5:$H$2004)))</f>
        <v/>
      </c>
      <c r="J552" s="21" t="str">
        <f aca="false">IF($A552="","",IF(B552=0,"No COD orders",IF(B552&lt;Settings!$B$8,"Too few orders",IF(D552&gt;=Settings!$B$9,"Restrict COD or verify","Keep COD"))))</f>
        <v/>
      </c>
    </row>
    <row r="553" customFormat="false" ht="15" hidden="false" customHeight="false" outlineLevel="0" collapsed="false">
      <c r="A553" s="27"/>
      <c r="B553" s="17" t="str">
        <f aca="false">IF($A553="","",COUNTIFS(Orders!$C$2:$C$20001,$A553,Orders!$E$2:$E$20001,"COD",Orders!$F$2:$F$20001,"Delivered")+COUNTIFS(Orders!$C$2:$C$20001,$A553,Orders!$E$2:$E$20001,"COD",Orders!$F$2:$F$20001,"RTO"))</f>
        <v/>
      </c>
      <c r="C553" s="17" t="str">
        <f aca="false">IF($A553="","",COUNTIFS(Orders!$C$2:$C$20001,$A553,Orders!$E$2:$E$20001,"COD",Orders!$F$2:$F$20001,"RTO"))</f>
        <v/>
      </c>
      <c r="D553" s="18" t="str">
        <f aca="false">IF($A553="","",IFERROR(C553/B553,0))</f>
        <v/>
      </c>
      <c r="E553" s="17" t="str">
        <f aca="false">IF($A553="","",COUNTIFS(Orders!$C$2:$C$20001,$A553,Orders!$E$2:$E$20001,"Prepaid",Orders!$F$2:$F$20001,"Delivered")+COUNTIFS(Orders!$C$2:$C$20001,$A553,Orders!$E$2:$E$20001,"Prepaid",Orders!$F$2:$F$20001,"RTO"))</f>
        <v/>
      </c>
      <c r="F553" s="17" t="str">
        <f aca="false">IF($A553="","",COUNTIFS(Orders!$C$2:$C$20001,$A553,Orders!$E$2:$E$20001,"Prepaid",Orders!$F$2:$F$20001,"RTO"))</f>
        <v/>
      </c>
      <c r="G553" s="18" t="str">
        <f aca="false">IF($A553="","",IFERROR(F553/E553,0))</f>
        <v/>
      </c>
      <c r="H553" s="19" t="str">
        <f aca="false">IF($A553="","",C553*Settings!$B$11)</f>
        <v/>
      </c>
      <c r="I553" s="20" t="str">
        <f aca="false">IF($A553="","",IF(N(H553)=0,"",RANK(H553,$H$5:$H$2004)))</f>
        <v/>
      </c>
      <c r="J553" s="21" t="str">
        <f aca="false">IF($A553="","",IF(B553=0,"No COD orders",IF(B553&lt;Settings!$B$8,"Too few orders",IF(D553&gt;=Settings!$B$9,"Restrict COD or verify","Keep COD"))))</f>
        <v/>
      </c>
    </row>
    <row r="554" customFormat="false" ht="15" hidden="false" customHeight="false" outlineLevel="0" collapsed="false">
      <c r="A554" s="27"/>
      <c r="B554" s="17" t="str">
        <f aca="false">IF($A554="","",COUNTIFS(Orders!$C$2:$C$20001,$A554,Orders!$E$2:$E$20001,"COD",Orders!$F$2:$F$20001,"Delivered")+COUNTIFS(Orders!$C$2:$C$20001,$A554,Orders!$E$2:$E$20001,"COD",Orders!$F$2:$F$20001,"RTO"))</f>
        <v/>
      </c>
      <c r="C554" s="17" t="str">
        <f aca="false">IF($A554="","",COUNTIFS(Orders!$C$2:$C$20001,$A554,Orders!$E$2:$E$20001,"COD",Orders!$F$2:$F$20001,"RTO"))</f>
        <v/>
      </c>
      <c r="D554" s="18" t="str">
        <f aca="false">IF($A554="","",IFERROR(C554/B554,0))</f>
        <v/>
      </c>
      <c r="E554" s="17" t="str">
        <f aca="false">IF($A554="","",COUNTIFS(Orders!$C$2:$C$20001,$A554,Orders!$E$2:$E$20001,"Prepaid",Orders!$F$2:$F$20001,"Delivered")+COUNTIFS(Orders!$C$2:$C$20001,$A554,Orders!$E$2:$E$20001,"Prepaid",Orders!$F$2:$F$20001,"RTO"))</f>
        <v/>
      </c>
      <c r="F554" s="17" t="str">
        <f aca="false">IF($A554="","",COUNTIFS(Orders!$C$2:$C$20001,$A554,Orders!$E$2:$E$20001,"Prepaid",Orders!$F$2:$F$20001,"RTO"))</f>
        <v/>
      </c>
      <c r="G554" s="18" t="str">
        <f aca="false">IF($A554="","",IFERROR(F554/E554,0))</f>
        <v/>
      </c>
      <c r="H554" s="19" t="str">
        <f aca="false">IF($A554="","",C554*Settings!$B$11)</f>
        <v/>
      </c>
      <c r="I554" s="20" t="str">
        <f aca="false">IF($A554="","",IF(N(H554)=0,"",RANK(H554,$H$5:$H$2004)))</f>
        <v/>
      </c>
      <c r="J554" s="21" t="str">
        <f aca="false">IF($A554="","",IF(B554=0,"No COD orders",IF(B554&lt;Settings!$B$8,"Too few orders",IF(D554&gt;=Settings!$B$9,"Restrict COD or verify","Keep COD"))))</f>
        <v/>
      </c>
    </row>
    <row r="555" customFormat="false" ht="15" hidden="false" customHeight="false" outlineLevel="0" collapsed="false">
      <c r="A555" s="27"/>
      <c r="B555" s="17" t="str">
        <f aca="false">IF($A555="","",COUNTIFS(Orders!$C$2:$C$20001,$A555,Orders!$E$2:$E$20001,"COD",Orders!$F$2:$F$20001,"Delivered")+COUNTIFS(Orders!$C$2:$C$20001,$A555,Orders!$E$2:$E$20001,"COD",Orders!$F$2:$F$20001,"RTO"))</f>
        <v/>
      </c>
      <c r="C555" s="17" t="str">
        <f aca="false">IF($A555="","",COUNTIFS(Orders!$C$2:$C$20001,$A555,Orders!$E$2:$E$20001,"COD",Orders!$F$2:$F$20001,"RTO"))</f>
        <v/>
      </c>
      <c r="D555" s="18" t="str">
        <f aca="false">IF($A555="","",IFERROR(C555/B555,0))</f>
        <v/>
      </c>
      <c r="E555" s="17" t="str">
        <f aca="false">IF($A555="","",COUNTIFS(Orders!$C$2:$C$20001,$A555,Orders!$E$2:$E$20001,"Prepaid",Orders!$F$2:$F$20001,"Delivered")+COUNTIFS(Orders!$C$2:$C$20001,$A555,Orders!$E$2:$E$20001,"Prepaid",Orders!$F$2:$F$20001,"RTO"))</f>
        <v/>
      </c>
      <c r="F555" s="17" t="str">
        <f aca="false">IF($A555="","",COUNTIFS(Orders!$C$2:$C$20001,$A555,Orders!$E$2:$E$20001,"Prepaid",Orders!$F$2:$F$20001,"RTO"))</f>
        <v/>
      </c>
      <c r="G555" s="18" t="str">
        <f aca="false">IF($A555="","",IFERROR(F555/E555,0))</f>
        <v/>
      </c>
      <c r="H555" s="19" t="str">
        <f aca="false">IF($A555="","",C555*Settings!$B$11)</f>
        <v/>
      </c>
      <c r="I555" s="20" t="str">
        <f aca="false">IF($A555="","",IF(N(H555)=0,"",RANK(H555,$H$5:$H$2004)))</f>
        <v/>
      </c>
      <c r="J555" s="21" t="str">
        <f aca="false">IF($A555="","",IF(B555=0,"No COD orders",IF(B555&lt;Settings!$B$8,"Too few orders",IF(D555&gt;=Settings!$B$9,"Restrict COD or verify","Keep COD"))))</f>
        <v/>
      </c>
    </row>
    <row r="556" customFormat="false" ht="15" hidden="false" customHeight="false" outlineLevel="0" collapsed="false">
      <c r="A556" s="27"/>
      <c r="B556" s="17" t="str">
        <f aca="false">IF($A556="","",COUNTIFS(Orders!$C$2:$C$20001,$A556,Orders!$E$2:$E$20001,"COD",Orders!$F$2:$F$20001,"Delivered")+COUNTIFS(Orders!$C$2:$C$20001,$A556,Orders!$E$2:$E$20001,"COD",Orders!$F$2:$F$20001,"RTO"))</f>
        <v/>
      </c>
      <c r="C556" s="17" t="str">
        <f aca="false">IF($A556="","",COUNTIFS(Orders!$C$2:$C$20001,$A556,Orders!$E$2:$E$20001,"COD",Orders!$F$2:$F$20001,"RTO"))</f>
        <v/>
      </c>
      <c r="D556" s="18" t="str">
        <f aca="false">IF($A556="","",IFERROR(C556/B556,0))</f>
        <v/>
      </c>
      <c r="E556" s="17" t="str">
        <f aca="false">IF($A556="","",COUNTIFS(Orders!$C$2:$C$20001,$A556,Orders!$E$2:$E$20001,"Prepaid",Orders!$F$2:$F$20001,"Delivered")+COUNTIFS(Orders!$C$2:$C$20001,$A556,Orders!$E$2:$E$20001,"Prepaid",Orders!$F$2:$F$20001,"RTO"))</f>
        <v/>
      </c>
      <c r="F556" s="17" t="str">
        <f aca="false">IF($A556="","",COUNTIFS(Orders!$C$2:$C$20001,$A556,Orders!$E$2:$E$20001,"Prepaid",Orders!$F$2:$F$20001,"RTO"))</f>
        <v/>
      </c>
      <c r="G556" s="18" t="str">
        <f aca="false">IF($A556="","",IFERROR(F556/E556,0))</f>
        <v/>
      </c>
      <c r="H556" s="19" t="str">
        <f aca="false">IF($A556="","",C556*Settings!$B$11)</f>
        <v/>
      </c>
      <c r="I556" s="20" t="str">
        <f aca="false">IF($A556="","",IF(N(H556)=0,"",RANK(H556,$H$5:$H$2004)))</f>
        <v/>
      </c>
      <c r="J556" s="21" t="str">
        <f aca="false">IF($A556="","",IF(B556=0,"No COD orders",IF(B556&lt;Settings!$B$8,"Too few orders",IF(D556&gt;=Settings!$B$9,"Restrict COD or verify","Keep COD"))))</f>
        <v/>
      </c>
    </row>
    <row r="557" customFormat="false" ht="15" hidden="false" customHeight="false" outlineLevel="0" collapsed="false">
      <c r="A557" s="27"/>
      <c r="B557" s="17" t="str">
        <f aca="false">IF($A557="","",COUNTIFS(Orders!$C$2:$C$20001,$A557,Orders!$E$2:$E$20001,"COD",Orders!$F$2:$F$20001,"Delivered")+COUNTIFS(Orders!$C$2:$C$20001,$A557,Orders!$E$2:$E$20001,"COD",Orders!$F$2:$F$20001,"RTO"))</f>
        <v/>
      </c>
      <c r="C557" s="17" t="str">
        <f aca="false">IF($A557="","",COUNTIFS(Orders!$C$2:$C$20001,$A557,Orders!$E$2:$E$20001,"COD",Orders!$F$2:$F$20001,"RTO"))</f>
        <v/>
      </c>
      <c r="D557" s="18" t="str">
        <f aca="false">IF($A557="","",IFERROR(C557/B557,0))</f>
        <v/>
      </c>
      <c r="E557" s="17" t="str">
        <f aca="false">IF($A557="","",COUNTIFS(Orders!$C$2:$C$20001,$A557,Orders!$E$2:$E$20001,"Prepaid",Orders!$F$2:$F$20001,"Delivered")+COUNTIFS(Orders!$C$2:$C$20001,$A557,Orders!$E$2:$E$20001,"Prepaid",Orders!$F$2:$F$20001,"RTO"))</f>
        <v/>
      </c>
      <c r="F557" s="17" t="str">
        <f aca="false">IF($A557="","",COUNTIFS(Orders!$C$2:$C$20001,$A557,Orders!$E$2:$E$20001,"Prepaid",Orders!$F$2:$F$20001,"RTO"))</f>
        <v/>
      </c>
      <c r="G557" s="18" t="str">
        <f aca="false">IF($A557="","",IFERROR(F557/E557,0))</f>
        <v/>
      </c>
      <c r="H557" s="19" t="str">
        <f aca="false">IF($A557="","",C557*Settings!$B$11)</f>
        <v/>
      </c>
      <c r="I557" s="20" t="str">
        <f aca="false">IF($A557="","",IF(N(H557)=0,"",RANK(H557,$H$5:$H$2004)))</f>
        <v/>
      </c>
      <c r="J557" s="21" t="str">
        <f aca="false">IF($A557="","",IF(B557=0,"No COD orders",IF(B557&lt;Settings!$B$8,"Too few orders",IF(D557&gt;=Settings!$B$9,"Restrict COD or verify","Keep COD"))))</f>
        <v/>
      </c>
    </row>
    <row r="558" customFormat="false" ht="15" hidden="false" customHeight="false" outlineLevel="0" collapsed="false">
      <c r="A558" s="27"/>
      <c r="B558" s="17" t="str">
        <f aca="false">IF($A558="","",COUNTIFS(Orders!$C$2:$C$20001,$A558,Orders!$E$2:$E$20001,"COD",Orders!$F$2:$F$20001,"Delivered")+COUNTIFS(Orders!$C$2:$C$20001,$A558,Orders!$E$2:$E$20001,"COD",Orders!$F$2:$F$20001,"RTO"))</f>
        <v/>
      </c>
      <c r="C558" s="17" t="str">
        <f aca="false">IF($A558="","",COUNTIFS(Orders!$C$2:$C$20001,$A558,Orders!$E$2:$E$20001,"COD",Orders!$F$2:$F$20001,"RTO"))</f>
        <v/>
      </c>
      <c r="D558" s="18" t="str">
        <f aca="false">IF($A558="","",IFERROR(C558/B558,0))</f>
        <v/>
      </c>
      <c r="E558" s="17" t="str">
        <f aca="false">IF($A558="","",COUNTIFS(Orders!$C$2:$C$20001,$A558,Orders!$E$2:$E$20001,"Prepaid",Orders!$F$2:$F$20001,"Delivered")+COUNTIFS(Orders!$C$2:$C$20001,$A558,Orders!$E$2:$E$20001,"Prepaid",Orders!$F$2:$F$20001,"RTO"))</f>
        <v/>
      </c>
      <c r="F558" s="17" t="str">
        <f aca="false">IF($A558="","",COUNTIFS(Orders!$C$2:$C$20001,$A558,Orders!$E$2:$E$20001,"Prepaid",Orders!$F$2:$F$20001,"RTO"))</f>
        <v/>
      </c>
      <c r="G558" s="18" t="str">
        <f aca="false">IF($A558="","",IFERROR(F558/E558,0))</f>
        <v/>
      </c>
      <c r="H558" s="19" t="str">
        <f aca="false">IF($A558="","",C558*Settings!$B$11)</f>
        <v/>
      </c>
      <c r="I558" s="20" t="str">
        <f aca="false">IF($A558="","",IF(N(H558)=0,"",RANK(H558,$H$5:$H$2004)))</f>
        <v/>
      </c>
      <c r="J558" s="21" t="str">
        <f aca="false">IF($A558="","",IF(B558=0,"No COD orders",IF(B558&lt;Settings!$B$8,"Too few orders",IF(D558&gt;=Settings!$B$9,"Restrict COD or verify","Keep COD"))))</f>
        <v/>
      </c>
    </row>
    <row r="559" customFormat="false" ht="15" hidden="false" customHeight="false" outlineLevel="0" collapsed="false">
      <c r="A559" s="27"/>
      <c r="B559" s="17" t="str">
        <f aca="false">IF($A559="","",COUNTIFS(Orders!$C$2:$C$20001,$A559,Orders!$E$2:$E$20001,"COD",Orders!$F$2:$F$20001,"Delivered")+COUNTIFS(Orders!$C$2:$C$20001,$A559,Orders!$E$2:$E$20001,"COD",Orders!$F$2:$F$20001,"RTO"))</f>
        <v/>
      </c>
      <c r="C559" s="17" t="str">
        <f aca="false">IF($A559="","",COUNTIFS(Orders!$C$2:$C$20001,$A559,Orders!$E$2:$E$20001,"COD",Orders!$F$2:$F$20001,"RTO"))</f>
        <v/>
      </c>
      <c r="D559" s="18" t="str">
        <f aca="false">IF($A559="","",IFERROR(C559/B559,0))</f>
        <v/>
      </c>
      <c r="E559" s="17" t="str">
        <f aca="false">IF($A559="","",COUNTIFS(Orders!$C$2:$C$20001,$A559,Orders!$E$2:$E$20001,"Prepaid",Orders!$F$2:$F$20001,"Delivered")+COUNTIFS(Orders!$C$2:$C$20001,$A559,Orders!$E$2:$E$20001,"Prepaid",Orders!$F$2:$F$20001,"RTO"))</f>
        <v/>
      </c>
      <c r="F559" s="17" t="str">
        <f aca="false">IF($A559="","",COUNTIFS(Orders!$C$2:$C$20001,$A559,Orders!$E$2:$E$20001,"Prepaid",Orders!$F$2:$F$20001,"RTO"))</f>
        <v/>
      </c>
      <c r="G559" s="18" t="str">
        <f aca="false">IF($A559="","",IFERROR(F559/E559,0))</f>
        <v/>
      </c>
      <c r="H559" s="19" t="str">
        <f aca="false">IF($A559="","",C559*Settings!$B$11)</f>
        <v/>
      </c>
      <c r="I559" s="20" t="str">
        <f aca="false">IF($A559="","",IF(N(H559)=0,"",RANK(H559,$H$5:$H$2004)))</f>
        <v/>
      </c>
      <c r="J559" s="21" t="str">
        <f aca="false">IF($A559="","",IF(B559=0,"No COD orders",IF(B559&lt;Settings!$B$8,"Too few orders",IF(D559&gt;=Settings!$B$9,"Restrict COD or verify","Keep COD"))))</f>
        <v/>
      </c>
    </row>
    <row r="560" customFormat="false" ht="15" hidden="false" customHeight="false" outlineLevel="0" collapsed="false">
      <c r="A560" s="27"/>
      <c r="B560" s="17" t="str">
        <f aca="false">IF($A560="","",COUNTIFS(Orders!$C$2:$C$20001,$A560,Orders!$E$2:$E$20001,"COD",Orders!$F$2:$F$20001,"Delivered")+COUNTIFS(Orders!$C$2:$C$20001,$A560,Orders!$E$2:$E$20001,"COD",Orders!$F$2:$F$20001,"RTO"))</f>
        <v/>
      </c>
      <c r="C560" s="17" t="str">
        <f aca="false">IF($A560="","",COUNTIFS(Orders!$C$2:$C$20001,$A560,Orders!$E$2:$E$20001,"COD",Orders!$F$2:$F$20001,"RTO"))</f>
        <v/>
      </c>
      <c r="D560" s="18" t="str">
        <f aca="false">IF($A560="","",IFERROR(C560/B560,0))</f>
        <v/>
      </c>
      <c r="E560" s="17" t="str">
        <f aca="false">IF($A560="","",COUNTIFS(Orders!$C$2:$C$20001,$A560,Orders!$E$2:$E$20001,"Prepaid",Orders!$F$2:$F$20001,"Delivered")+COUNTIFS(Orders!$C$2:$C$20001,$A560,Orders!$E$2:$E$20001,"Prepaid",Orders!$F$2:$F$20001,"RTO"))</f>
        <v/>
      </c>
      <c r="F560" s="17" t="str">
        <f aca="false">IF($A560="","",COUNTIFS(Orders!$C$2:$C$20001,$A560,Orders!$E$2:$E$20001,"Prepaid",Orders!$F$2:$F$20001,"RTO"))</f>
        <v/>
      </c>
      <c r="G560" s="18" t="str">
        <f aca="false">IF($A560="","",IFERROR(F560/E560,0))</f>
        <v/>
      </c>
      <c r="H560" s="19" t="str">
        <f aca="false">IF($A560="","",C560*Settings!$B$11)</f>
        <v/>
      </c>
      <c r="I560" s="20" t="str">
        <f aca="false">IF($A560="","",IF(N(H560)=0,"",RANK(H560,$H$5:$H$2004)))</f>
        <v/>
      </c>
      <c r="J560" s="21" t="str">
        <f aca="false">IF($A560="","",IF(B560=0,"No COD orders",IF(B560&lt;Settings!$B$8,"Too few orders",IF(D560&gt;=Settings!$B$9,"Restrict COD or verify","Keep COD"))))</f>
        <v/>
      </c>
    </row>
    <row r="561" customFormat="false" ht="15" hidden="false" customHeight="false" outlineLevel="0" collapsed="false">
      <c r="A561" s="27"/>
      <c r="B561" s="17" t="str">
        <f aca="false">IF($A561="","",COUNTIFS(Orders!$C$2:$C$20001,$A561,Orders!$E$2:$E$20001,"COD",Orders!$F$2:$F$20001,"Delivered")+COUNTIFS(Orders!$C$2:$C$20001,$A561,Orders!$E$2:$E$20001,"COD",Orders!$F$2:$F$20001,"RTO"))</f>
        <v/>
      </c>
      <c r="C561" s="17" t="str">
        <f aca="false">IF($A561="","",COUNTIFS(Orders!$C$2:$C$20001,$A561,Orders!$E$2:$E$20001,"COD",Orders!$F$2:$F$20001,"RTO"))</f>
        <v/>
      </c>
      <c r="D561" s="18" t="str">
        <f aca="false">IF($A561="","",IFERROR(C561/B561,0))</f>
        <v/>
      </c>
      <c r="E561" s="17" t="str">
        <f aca="false">IF($A561="","",COUNTIFS(Orders!$C$2:$C$20001,$A561,Orders!$E$2:$E$20001,"Prepaid",Orders!$F$2:$F$20001,"Delivered")+COUNTIFS(Orders!$C$2:$C$20001,$A561,Orders!$E$2:$E$20001,"Prepaid",Orders!$F$2:$F$20001,"RTO"))</f>
        <v/>
      </c>
      <c r="F561" s="17" t="str">
        <f aca="false">IF($A561="","",COUNTIFS(Orders!$C$2:$C$20001,$A561,Orders!$E$2:$E$20001,"Prepaid",Orders!$F$2:$F$20001,"RTO"))</f>
        <v/>
      </c>
      <c r="G561" s="18" t="str">
        <f aca="false">IF($A561="","",IFERROR(F561/E561,0))</f>
        <v/>
      </c>
      <c r="H561" s="19" t="str">
        <f aca="false">IF($A561="","",C561*Settings!$B$11)</f>
        <v/>
      </c>
      <c r="I561" s="20" t="str">
        <f aca="false">IF($A561="","",IF(N(H561)=0,"",RANK(H561,$H$5:$H$2004)))</f>
        <v/>
      </c>
      <c r="J561" s="21" t="str">
        <f aca="false">IF($A561="","",IF(B561=0,"No COD orders",IF(B561&lt;Settings!$B$8,"Too few orders",IF(D561&gt;=Settings!$B$9,"Restrict COD or verify","Keep COD"))))</f>
        <v/>
      </c>
    </row>
    <row r="562" customFormat="false" ht="15" hidden="false" customHeight="false" outlineLevel="0" collapsed="false">
      <c r="A562" s="27"/>
      <c r="B562" s="17" t="str">
        <f aca="false">IF($A562="","",COUNTIFS(Orders!$C$2:$C$20001,$A562,Orders!$E$2:$E$20001,"COD",Orders!$F$2:$F$20001,"Delivered")+COUNTIFS(Orders!$C$2:$C$20001,$A562,Orders!$E$2:$E$20001,"COD",Orders!$F$2:$F$20001,"RTO"))</f>
        <v/>
      </c>
      <c r="C562" s="17" t="str">
        <f aca="false">IF($A562="","",COUNTIFS(Orders!$C$2:$C$20001,$A562,Orders!$E$2:$E$20001,"COD",Orders!$F$2:$F$20001,"RTO"))</f>
        <v/>
      </c>
      <c r="D562" s="18" t="str">
        <f aca="false">IF($A562="","",IFERROR(C562/B562,0))</f>
        <v/>
      </c>
      <c r="E562" s="17" t="str">
        <f aca="false">IF($A562="","",COUNTIFS(Orders!$C$2:$C$20001,$A562,Orders!$E$2:$E$20001,"Prepaid",Orders!$F$2:$F$20001,"Delivered")+COUNTIFS(Orders!$C$2:$C$20001,$A562,Orders!$E$2:$E$20001,"Prepaid",Orders!$F$2:$F$20001,"RTO"))</f>
        <v/>
      </c>
      <c r="F562" s="17" t="str">
        <f aca="false">IF($A562="","",COUNTIFS(Orders!$C$2:$C$20001,$A562,Orders!$E$2:$E$20001,"Prepaid",Orders!$F$2:$F$20001,"RTO"))</f>
        <v/>
      </c>
      <c r="G562" s="18" t="str">
        <f aca="false">IF($A562="","",IFERROR(F562/E562,0))</f>
        <v/>
      </c>
      <c r="H562" s="19" t="str">
        <f aca="false">IF($A562="","",C562*Settings!$B$11)</f>
        <v/>
      </c>
      <c r="I562" s="20" t="str">
        <f aca="false">IF($A562="","",IF(N(H562)=0,"",RANK(H562,$H$5:$H$2004)))</f>
        <v/>
      </c>
      <c r="J562" s="21" t="str">
        <f aca="false">IF($A562="","",IF(B562=0,"No COD orders",IF(B562&lt;Settings!$B$8,"Too few orders",IF(D562&gt;=Settings!$B$9,"Restrict COD or verify","Keep COD"))))</f>
        <v/>
      </c>
    </row>
    <row r="563" customFormat="false" ht="15" hidden="false" customHeight="false" outlineLevel="0" collapsed="false">
      <c r="A563" s="27"/>
      <c r="B563" s="17" t="str">
        <f aca="false">IF($A563="","",COUNTIFS(Orders!$C$2:$C$20001,$A563,Orders!$E$2:$E$20001,"COD",Orders!$F$2:$F$20001,"Delivered")+COUNTIFS(Orders!$C$2:$C$20001,$A563,Orders!$E$2:$E$20001,"COD",Orders!$F$2:$F$20001,"RTO"))</f>
        <v/>
      </c>
      <c r="C563" s="17" t="str">
        <f aca="false">IF($A563="","",COUNTIFS(Orders!$C$2:$C$20001,$A563,Orders!$E$2:$E$20001,"COD",Orders!$F$2:$F$20001,"RTO"))</f>
        <v/>
      </c>
      <c r="D563" s="18" t="str">
        <f aca="false">IF($A563="","",IFERROR(C563/B563,0))</f>
        <v/>
      </c>
      <c r="E563" s="17" t="str">
        <f aca="false">IF($A563="","",COUNTIFS(Orders!$C$2:$C$20001,$A563,Orders!$E$2:$E$20001,"Prepaid",Orders!$F$2:$F$20001,"Delivered")+COUNTIFS(Orders!$C$2:$C$20001,$A563,Orders!$E$2:$E$20001,"Prepaid",Orders!$F$2:$F$20001,"RTO"))</f>
        <v/>
      </c>
      <c r="F563" s="17" t="str">
        <f aca="false">IF($A563="","",COUNTIFS(Orders!$C$2:$C$20001,$A563,Orders!$E$2:$E$20001,"Prepaid",Orders!$F$2:$F$20001,"RTO"))</f>
        <v/>
      </c>
      <c r="G563" s="18" t="str">
        <f aca="false">IF($A563="","",IFERROR(F563/E563,0))</f>
        <v/>
      </c>
      <c r="H563" s="19" t="str">
        <f aca="false">IF($A563="","",C563*Settings!$B$11)</f>
        <v/>
      </c>
      <c r="I563" s="20" t="str">
        <f aca="false">IF($A563="","",IF(N(H563)=0,"",RANK(H563,$H$5:$H$2004)))</f>
        <v/>
      </c>
      <c r="J563" s="21" t="str">
        <f aca="false">IF($A563="","",IF(B563=0,"No COD orders",IF(B563&lt;Settings!$B$8,"Too few orders",IF(D563&gt;=Settings!$B$9,"Restrict COD or verify","Keep COD"))))</f>
        <v/>
      </c>
    </row>
    <row r="564" customFormat="false" ht="15" hidden="false" customHeight="false" outlineLevel="0" collapsed="false">
      <c r="A564" s="27"/>
      <c r="B564" s="17" t="str">
        <f aca="false">IF($A564="","",COUNTIFS(Orders!$C$2:$C$20001,$A564,Orders!$E$2:$E$20001,"COD",Orders!$F$2:$F$20001,"Delivered")+COUNTIFS(Orders!$C$2:$C$20001,$A564,Orders!$E$2:$E$20001,"COD",Orders!$F$2:$F$20001,"RTO"))</f>
        <v/>
      </c>
      <c r="C564" s="17" t="str">
        <f aca="false">IF($A564="","",COUNTIFS(Orders!$C$2:$C$20001,$A564,Orders!$E$2:$E$20001,"COD",Orders!$F$2:$F$20001,"RTO"))</f>
        <v/>
      </c>
      <c r="D564" s="18" t="str">
        <f aca="false">IF($A564="","",IFERROR(C564/B564,0))</f>
        <v/>
      </c>
      <c r="E564" s="17" t="str">
        <f aca="false">IF($A564="","",COUNTIFS(Orders!$C$2:$C$20001,$A564,Orders!$E$2:$E$20001,"Prepaid",Orders!$F$2:$F$20001,"Delivered")+COUNTIFS(Orders!$C$2:$C$20001,$A564,Orders!$E$2:$E$20001,"Prepaid",Orders!$F$2:$F$20001,"RTO"))</f>
        <v/>
      </c>
      <c r="F564" s="17" t="str">
        <f aca="false">IF($A564="","",COUNTIFS(Orders!$C$2:$C$20001,$A564,Orders!$E$2:$E$20001,"Prepaid",Orders!$F$2:$F$20001,"RTO"))</f>
        <v/>
      </c>
      <c r="G564" s="18" t="str">
        <f aca="false">IF($A564="","",IFERROR(F564/E564,0))</f>
        <v/>
      </c>
      <c r="H564" s="19" t="str">
        <f aca="false">IF($A564="","",C564*Settings!$B$11)</f>
        <v/>
      </c>
      <c r="I564" s="20" t="str">
        <f aca="false">IF($A564="","",IF(N(H564)=0,"",RANK(H564,$H$5:$H$2004)))</f>
        <v/>
      </c>
      <c r="J564" s="21" t="str">
        <f aca="false">IF($A564="","",IF(B564=0,"No COD orders",IF(B564&lt;Settings!$B$8,"Too few orders",IF(D564&gt;=Settings!$B$9,"Restrict COD or verify","Keep COD"))))</f>
        <v/>
      </c>
    </row>
    <row r="565" customFormat="false" ht="15" hidden="false" customHeight="false" outlineLevel="0" collapsed="false">
      <c r="A565" s="27"/>
      <c r="B565" s="17" t="str">
        <f aca="false">IF($A565="","",COUNTIFS(Orders!$C$2:$C$20001,$A565,Orders!$E$2:$E$20001,"COD",Orders!$F$2:$F$20001,"Delivered")+COUNTIFS(Orders!$C$2:$C$20001,$A565,Orders!$E$2:$E$20001,"COD",Orders!$F$2:$F$20001,"RTO"))</f>
        <v/>
      </c>
      <c r="C565" s="17" t="str">
        <f aca="false">IF($A565="","",COUNTIFS(Orders!$C$2:$C$20001,$A565,Orders!$E$2:$E$20001,"COD",Orders!$F$2:$F$20001,"RTO"))</f>
        <v/>
      </c>
      <c r="D565" s="18" t="str">
        <f aca="false">IF($A565="","",IFERROR(C565/B565,0))</f>
        <v/>
      </c>
      <c r="E565" s="17" t="str">
        <f aca="false">IF($A565="","",COUNTIFS(Orders!$C$2:$C$20001,$A565,Orders!$E$2:$E$20001,"Prepaid",Orders!$F$2:$F$20001,"Delivered")+COUNTIFS(Orders!$C$2:$C$20001,$A565,Orders!$E$2:$E$20001,"Prepaid",Orders!$F$2:$F$20001,"RTO"))</f>
        <v/>
      </c>
      <c r="F565" s="17" t="str">
        <f aca="false">IF($A565="","",COUNTIFS(Orders!$C$2:$C$20001,$A565,Orders!$E$2:$E$20001,"Prepaid",Orders!$F$2:$F$20001,"RTO"))</f>
        <v/>
      </c>
      <c r="G565" s="18" t="str">
        <f aca="false">IF($A565="","",IFERROR(F565/E565,0))</f>
        <v/>
      </c>
      <c r="H565" s="19" t="str">
        <f aca="false">IF($A565="","",C565*Settings!$B$11)</f>
        <v/>
      </c>
      <c r="I565" s="20" t="str">
        <f aca="false">IF($A565="","",IF(N(H565)=0,"",RANK(H565,$H$5:$H$2004)))</f>
        <v/>
      </c>
      <c r="J565" s="21" t="str">
        <f aca="false">IF($A565="","",IF(B565=0,"No COD orders",IF(B565&lt;Settings!$B$8,"Too few orders",IF(D565&gt;=Settings!$B$9,"Restrict COD or verify","Keep COD"))))</f>
        <v/>
      </c>
    </row>
    <row r="566" customFormat="false" ht="15" hidden="false" customHeight="false" outlineLevel="0" collapsed="false">
      <c r="A566" s="27"/>
      <c r="B566" s="17" t="str">
        <f aca="false">IF($A566="","",COUNTIFS(Orders!$C$2:$C$20001,$A566,Orders!$E$2:$E$20001,"COD",Orders!$F$2:$F$20001,"Delivered")+COUNTIFS(Orders!$C$2:$C$20001,$A566,Orders!$E$2:$E$20001,"COD",Orders!$F$2:$F$20001,"RTO"))</f>
        <v/>
      </c>
      <c r="C566" s="17" t="str">
        <f aca="false">IF($A566="","",COUNTIFS(Orders!$C$2:$C$20001,$A566,Orders!$E$2:$E$20001,"COD",Orders!$F$2:$F$20001,"RTO"))</f>
        <v/>
      </c>
      <c r="D566" s="18" t="str">
        <f aca="false">IF($A566="","",IFERROR(C566/B566,0))</f>
        <v/>
      </c>
      <c r="E566" s="17" t="str">
        <f aca="false">IF($A566="","",COUNTIFS(Orders!$C$2:$C$20001,$A566,Orders!$E$2:$E$20001,"Prepaid",Orders!$F$2:$F$20001,"Delivered")+COUNTIFS(Orders!$C$2:$C$20001,$A566,Orders!$E$2:$E$20001,"Prepaid",Orders!$F$2:$F$20001,"RTO"))</f>
        <v/>
      </c>
      <c r="F566" s="17" t="str">
        <f aca="false">IF($A566="","",COUNTIFS(Orders!$C$2:$C$20001,$A566,Orders!$E$2:$E$20001,"Prepaid",Orders!$F$2:$F$20001,"RTO"))</f>
        <v/>
      </c>
      <c r="G566" s="18" t="str">
        <f aca="false">IF($A566="","",IFERROR(F566/E566,0))</f>
        <v/>
      </c>
      <c r="H566" s="19" t="str">
        <f aca="false">IF($A566="","",C566*Settings!$B$11)</f>
        <v/>
      </c>
      <c r="I566" s="20" t="str">
        <f aca="false">IF($A566="","",IF(N(H566)=0,"",RANK(H566,$H$5:$H$2004)))</f>
        <v/>
      </c>
      <c r="J566" s="21" t="str">
        <f aca="false">IF($A566="","",IF(B566=0,"No COD orders",IF(B566&lt;Settings!$B$8,"Too few orders",IF(D566&gt;=Settings!$B$9,"Restrict COD or verify","Keep COD"))))</f>
        <v/>
      </c>
    </row>
    <row r="567" customFormat="false" ht="15" hidden="false" customHeight="false" outlineLevel="0" collapsed="false">
      <c r="A567" s="27"/>
      <c r="B567" s="17" t="str">
        <f aca="false">IF($A567="","",COUNTIFS(Orders!$C$2:$C$20001,$A567,Orders!$E$2:$E$20001,"COD",Orders!$F$2:$F$20001,"Delivered")+COUNTIFS(Orders!$C$2:$C$20001,$A567,Orders!$E$2:$E$20001,"COD",Orders!$F$2:$F$20001,"RTO"))</f>
        <v/>
      </c>
      <c r="C567" s="17" t="str">
        <f aca="false">IF($A567="","",COUNTIFS(Orders!$C$2:$C$20001,$A567,Orders!$E$2:$E$20001,"COD",Orders!$F$2:$F$20001,"RTO"))</f>
        <v/>
      </c>
      <c r="D567" s="18" t="str">
        <f aca="false">IF($A567="","",IFERROR(C567/B567,0))</f>
        <v/>
      </c>
      <c r="E567" s="17" t="str">
        <f aca="false">IF($A567="","",COUNTIFS(Orders!$C$2:$C$20001,$A567,Orders!$E$2:$E$20001,"Prepaid",Orders!$F$2:$F$20001,"Delivered")+COUNTIFS(Orders!$C$2:$C$20001,$A567,Orders!$E$2:$E$20001,"Prepaid",Orders!$F$2:$F$20001,"RTO"))</f>
        <v/>
      </c>
      <c r="F567" s="17" t="str">
        <f aca="false">IF($A567="","",COUNTIFS(Orders!$C$2:$C$20001,$A567,Orders!$E$2:$E$20001,"Prepaid",Orders!$F$2:$F$20001,"RTO"))</f>
        <v/>
      </c>
      <c r="G567" s="18" t="str">
        <f aca="false">IF($A567="","",IFERROR(F567/E567,0))</f>
        <v/>
      </c>
      <c r="H567" s="19" t="str">
        <f aca="false">IF($A567="","",C567*Settings!$B$11)</f>
        <v/>
      </c>
      <c r="I567" s="20" t="str">
        <f aca="false">IF($A567="","",IF(N(H567)=0,"",RANK(H567,$H$5:$H$2004)))</f>
        <v/>
      </c>
      <c r="J567" s="21" t="str">
        <f aca="false">IF($A567="","",IF(B567=0,"No COD orders",IF(B567&lt;Settings!$B$8,"Too few orders",IF(D567&gt;=Settings!$B$9,"Restrict COD or verify","Keep COD"))))</f>
        <v/>
      </c>
    </row>
    <row r="568" customFormat="false" ht="15" hidden="false" customHeight="false" outlineLevel="0" collapsed="false">
      <c r="A568" s="27"/>
      <c r="B568" s="17" t="str">
        <f aca="false">IF($A568="","",COUNTIFS(Orders!$C$2:$C$20001,$A568,Orders!$E$2:$E$20001,"COD",Orders!$F$2:$F$20001,"Delivered")+COUNTIFS(Orders!$C$2:$C$20001,$A568,Orders!$E$2:$E$20001,"COD",Orders!$F$2:$F$20001,"RTO"))</f>
        <v/>
      </c>
      <c r="C568" s="17" t="str">
        <f aca="false">IF($A568="","",COUNTIFS(Orders!$C$2:$C$20001,$A568,Orders!$E$2:$E$20001,"COD",Orders!$F$2:$F$20001,"RTO"))</f>
        <v/>
      </c>
      <c r="D568" s="18" t="str">
        <f aca="false">IF($A568="","",IFERROR(C568/B568,0))</f>
        <v/>
      </c>
      <c r="E568" s="17" t="str">
        <f aca="false">IF($A568="","",COUNTIFS(Orders!$C$2:$C$20001,$A568,Orders!$E$2:$E$20001,"Prepaid",Orders!$F$2:$F$20001,"Delivered")+COUNTIFS(Orders!$C$2:$C$20001,$A568,Orders!$E$2:$E$20001,"Prepaid",Orders!$F$2:$F$20001,"RTO"))</f>
        <v/>
      </c>
      <c r="F568" s="17" t="str">
        <f aca="false">IF($A568="","",COUNTIFS(Orders!$C$2:$C$20001,$A568,Orders!$E$2:$E$20001,"Prepaid",Orders!$F$2:$F$20001,"RTO"))</f>
        <v/>
      </c>
      <c r="G568" s="18" t="str">
        <f aca="false">IF($A568="","",IFERROR(F568/E568,0))</f>
        <v/>
      </c>
      <c r="H568" s="19" t="str">
        <f aca="false">IF($A568="","",C568*Settings!$B$11)</f>
        <v/>
      </c>
      <c r="I568" s="20" t="str">
        <f aca="false">IF($A568="","",IF(N(H568)=0,"",RANK(H568,$H$5:$H$2004)))</f>
        <v/>
      </c>
      <c r="J568" s="21" t="str">
        <f aca="false">IF($A568="","",IF(B568=0,"No COD orders",IF(B568&lt;Settings!$B$8,"Too few orders",IF(D568&gt;=Settings!$B$9,"Restrict COD or verify","Keep COD"))))</f>
        <v/>
      </c>
    </row>
    <row r="569" customFormat="false" ht="15" hidden="false" customHeight="false" outlineLevel="0" collapsed="false">
      <c r="A569" s="27"/>
      <c r="B569" s="17" t="str">
        <f aca="false">IF($A569="","",COUNTIFS(Orders!$C$2:$C$20001,$A569,Orders!$E$2:$E$20001,"COD",Orders!$F$2:$F$20001,"Delivered")+COUNTIFS(Orders!$C$2:$C$20001,$A569,Orders!$E$2:$E$20001,"COD",Orders!$F$2:$F$20001,"RTO"))</f>
        <v/>
      </c>
      <c r="C569" s="17" t="str">
        <f aca="false">IF($A569="","",COUNTIFS(Orders!$C$2:$C$20001,$A569,Orders!$E$2:$E$20001,"COD",Orders!$F$2:$F$20001,"RTO"))</f>
        <v/>
      </c>
      <c r="D569" s="18" t="str">
        <f aca="false">IF($A569="","",IFERROR(C569/B569,0))</f>
        <v/>
      </c>
      <c r="E569" s="17" t="str">
        <f aca="false">IF($A569="","",COUNTIFS(Orders!$C$2:$C$20001,$A569,Orders!$E$2:$E$20001,"Prepaid",Orders!$F$2:$F$20001,"Delivered")+COUNTIFS(Orders!$C$2:$C$20001,$A569,Orders!$E$2:$E$20001,"Prepaid",Orders!$F$2:$F$20001,"RTO"))</f>
        <v/>
      </c>
      <c r="F569" s="17" t="str">
        <f aca="false">IF($A569="","",COUNTIFS(Orders!$C$2:$C$20001,$A569,Orders!$E$2:$E$20001,"Prepaid",Orders!$F$2:$F$20001,"RTO"))</f>
        <v/>
      </c>
      <c r="G569" s="18" t="str">
        <f aca="false">IF($A569="","",IFERROR(F569/E569,0))</f>
        <v/>
      </c>
      <c r="H569" s="19" t="str">
        <f aca="false">IF($A569="","",C569*Settings!$B$11)</f>
        <v/>
      </c>
      <c r="I569" s="20" t="str">
        <f aca="false">IF($A569="","",IF(N(H569)=0,"",RANK(H569,$H$5:$H$2004)))</f>
        <v/>
      </c>
      <c r="J569" s="21" t="str">
        <f aca="false">IF($A569="","",IF(B569=0,"No COD orders",IF(B569&lt;Settings!$B$8,"Too few orders",IF(D569&gt;=Settings!$B$9,"Restrict COD or verify","Keep COD"))))</f>
        <v/>
      </c>
    </row>
    <row r="570" customFormat="false" ht="15" hidden="false" customHeight="false" outlineLevel="0" collapsed="false">
      <c r="A570" s="27"/>
      <c r="B570" s="17" t="str">
        <f aca="false">IF($A570="","",COUNTIFS(Orders!$C$2:$C$20001,$A570,Orders!$E$2:$E$20001,"COD",Orders!$F$2:$F$20001,"Delivered")+COUNTIFS(Orders!$C$2:$C$20001,$A570,Orders!$E$2:$E$20001,"COD",Orders!$F$2:$F$20001,"RTO"))</f>
        <v/>
      </c>
      <c r="C570" s="17" t="str">
        <f aca="false">IF($A570="","",COUNTIFS(Orders!$C$2:$C$20001,$A570,Orders!$E$2:$E$20001,"COD",Orders!$F$2:$F$20001,"RTO"))</f>
        <v/>
      </c>
      <c r="D570" s="18" t="str">
        <f aca="false">IF($A570="","",IFERROR(C570/B570,0))</f>
        <v/>
      </c>
      <c r="E570" s="17" t="str">
        <f aca="false">IF($A570="","",COUNTIFS(Orders!$C$2:$C$20001,$A570,Orders!$E$2:$E$20001,"Prepaid",Orders!$F$2:$F$20001,"Delivered")+COUNTIFS(Orders!$C$2:$C$20001,$A570,Orders!$E$2:$E$20001,"Prepaid",Orders!$F$2:$F$20001,"RTO"))</f>
        <v/>
      </c>
      <c r="F570" s="17" t="str">
        <f aca="false">IF($A570="","",COUNTIFS(Orders!$C$2:$C$20001,$A570,Orders!$E$2:$E$20001,"Prepaid",Orders!$F$2:$F$20001,"RTO"))</f>
        <v/>
      </c>
      <c r="G570" s="18" t="str">
        <f aca="false">IF($A570="","",IFERROR(F570/E570,0))</f>
        <v/>
      </c>
      <c r="H570" s="19" t="str">
        <f aca="false">IF($A570="","",C570*Settings!$B$11)</f>
        <v/>
      </c>
      <c r="I570" s="20" t="str">
        <f aca="false">IF($A570="","",IF(N(H570)=0,"",RANK(H570,$H$5:$H$2004)))</f>
        <v/>
      </c>
      <c r="J570" s="21" t="str">
        <f aca="false">IF($A570="","",IF(B570=0,"No COD orders",IF(B570&lt;Settings!$B$8,"Too few orders",IF(D570&gt;=Settings!$B$9,"Restrict COD or verify","Keep COD"))))</f>
        <v/>
      </c>
    </row>
    <row r="571" customFormat="false" ht="15" hidden="false" customHeight="false" outlineLevel="0" collapsed="false">
      <c r="A571" s="27"/>
      <c r="B571" s="17" t="str">
        <f aca="false">IF($A571="","",COUNTIFS(Orders!$C$2:$C$20001,$A571,Orders!$E$2:$E$20001,"COD",Orders!$F$2:$F$20001,"Delivered")+COUNTIFS(Orders!$C$2:$C$20001,$A571,Orders!$E$2:$E$20001,"COD",Orders!$F$2:$F$20001,"RTO"))</f>
        <v/>
      </c>
      <c r="C571" s="17" t="str">
        <f aca="false">IF($A571="","",COUNTIFS(Orders!$C$2:$C$20001,$A571,Orders!$E$2:$E$20001,"COD",Orders!$F$2:$F$20001,"RTO"))</f>
        <v/>
      </c>
      <c r="D571" s="18" t="str">
        <f aca="false">IF($A571="","",IFERROR(C571/B571,0))</f>
        <v/>
      </c>
      <c r="E571" s="17" t="str">
        <f aca="false">IF($A571="","",COUNTIFS(Orders!$C$2:$C$20001,$A571,Orders!$E$2:$E$20001,"Prepaid",Orders!$F$2:$F$20001,"Delivered")+COUNTIFS(Orders!$C$2:$C$20001,$A571,Orders!$E$2:$E$20001,"Prepaid",Orders!$F$2:$F$20001,"RTO"))</f>
        <v/>
      </c>
      <c r="F571" s="17" t="str">
        <f aca="false">IF($A571="","",COUNTIFS(Orders!$C$2:$C$20001,$A571,Orders!$E$2:$E$20001,"Prepaid",Orders!$F$2:$F$20001,"RTO"))</f>
        <v/>
      </c>
      <c r="G571" s="18" t="str">
        <f aca="false">IF($A571="","",IFERROR(F571/E571,0))</f>
        <v/>
      </c>
      <c r="H571" s="19" t="str">
        <f aca="false">IF($A571="","",C571*Settings!$B$11)</f>
        <v/>
      </c>
      <c r="I571" s="20" t="str">
        <f aca="false">IF($A571="","",IF(N(H571)=0,"",RANK(H571,$H$5:$H$2004)))</f>
        <v/>
      </c>
      <c r="J571" s="21" t="str">
        <f aca="false">IF($A571="","",IF(B571=0,"No COD orders",IF(B571&lt;Settings!$B$8,"Too few orders",IF(D571&gt;=Settings!$B$9,"Restrict COD or verify","Keep COD"))))</f>
        <v/>
      </c>
    </row>
    <row r="572" customFormat="false" ht="15" hidden="false" customHeight="false" outlineLevel="0" collapsed="false">
      <c r="A572" s="27"/>
      <c r="B572" s="17" t="str">
        <f aca="false">IF($A572="","",COUNTIFS(Orders!$C$2:$C$20001,$A572,Orders!$E$2:$E$20001,"COD",Orders!$F$2:$F$20001,"Delivered")+COUNTIFS(Orders!$C$2:$C$20001,$A572,Orders!$E$2:$E$20001,"COD",Orders!$F$2:$F$20001,"RTO"))</f>
        <v/>
      </c>
      <c r="C572" s="17" t="str">
        <f aca="false">IF($A572="","",COUNTIFS(Orders!$C$2:$C$20001,$A572,Orders!$E$2:$E$20001,"COD",Orders!$F$2:$F$20001,"RTO"))</f>
        <v/>
      </c>
      <c r="D572" s="18" t="str">
        <f aca="false">IF($A572="","",IFERROR(C572/B572,0))</f>
        <v/>
      </c>
      <c r="E572" s="17" t="str">
        <f aca="false">IF($A572="","",COUNTIFS(Orders!$C$2:$C$20001,$A572,Orders!$E$2:$E$20001,"Prepaid",Orders!$F$2:$F$20001,"Delivered")+COUNTIFS(Orders!$C$2:$C$20001,$A572,Orders!$E$2:$E$20001,"Prepaid",Orders!$F$2:$F$20001,"RTO"))</f>
        <v/>
      </c>
      <c r="F572" s="17" t="str">
        <f aca="false">IF($A572="","",COUNTIFS(Orders!$C$2:$C$20001,$A572,Orders!$E$2:$E$20001,"Prepaid",Orders!$F$2:$F$20001,"RTO"))</f>
        <v/>
      </c>
      <c r="G572" s="18" t="str">
        <f aca="false">IF($A572="","",IFERROR(F572/E572,0))</f>
        <v/>
      </c>
      <c r="H572" s="19" t="str">
        <f aca="false">IF($A572="","",C572*Settings!$B$11)</f>
        <v/>
      </c>
      <c r="I572" s="20" t="str">
        <f aca="false">IF($A572="","",IF(N(H572)=0,"",RANK(H572,$H$5:$H$2004)))</f>
        <v/>
      </c>
      <c r="J572" s="21" t="str">
        <f aca="false">IF($A572="","",IF(B572=0,"No COD orders",IF(B572&lt;Settings!$B$8,"Too few orders",IF(D572&gt;=Settings!$B$9,"Restrict COD or verify","Keep COD"))))</f>
        <v/>
      </c>
    </row>
    <row r="573" customFormat="false" ht="15" hidden="false" customHeight="false" outlineLevel="0" collapsed="false">
      <c r="A573" s="27"/>
      <c r="B573" s="17" t="str">
        <f aca="false">IF($A573="","",COUNTIFS(Orders!$C$2:$C$20001,$A573,Orders!$E$2:$E$20001,"COD",Orders!$F$2:$F$20001,"Delivered")+COUNTIFS(Orders!$C$2:$C$20001,$A573,Orders!$E$2:$E$20001,"COD",Orders!$F$2:$F$20001,"RTO"))</f>
        <v/>
      </c>
      <c r="C573" s="17" t="str">
        <f aca="false">IF($A573="","",COUNTIFS(Orders!$C$2:$C$20001,$A573,Orders!$E$2:$E$20001,"COD",Orders!$F$2:$F$20001,"RTO"))</f>
        <v/>
      </c>
      <c r="D573" s="18" t="str">
        <f aca="false">IF($A573="","",IFERROR(C573/B573,0))</f>
        <v/>
      </c>
      <c r="E573" s="17" t="str">
        <f aca="false">IF($A573="","",COUNTIFS(Orders!$C$2:$C$20001,$A573,Orders!$E$2:$E$20001,"Prepaid",Orders!$F$2:$F$20001,"Delivered")+COUNTIFS(Orders!$C$2:$C$20001,$A573,Orders!$E$2:$E$20001,"Prepaid",Orders!$F$2:$F$20001,"RTO"))</f>
        <v/>
      </c>
      <c r="F573" s="17" t="str">
        <f aca="false">IF($A573="","",COUNTIFS(Orders!$C$2:$C$20001,$A573,Orders!$E$2:$E$20001,"Prepaid",Orders!$F$2:$F$20001,"RTO"))</f>
        <v/>
      </c>
      <c r="G573" s="18" t="str">
        <f aca="false">IF($A573="","",IFERROR(F573/E573,0))</f>
        <v/>
      </c>
      <c r="H573" s="19" t="str">
        <f aca="false">IF($A573="","",C573*Settings!$B$11)</f>
        <v/>
      </c>
      <c r="I573" s="20" t="str">
        <f aca="false">IF($A573="","",IF(N(H573)=0,"",RANK(H573,$H$5:$H$2004)))</f>
        <v/>
      </c>
      <c r="J573" s="21" t="str">
        <f aca="false">IF($A573="","",IF(B573=0,"No COD orders",IF(B573&lt;Settings!$B$8,"Too few orders",IF(D573&gt;=Settings!$B$9,"Restrict COD or verify","Keep COD"))))</f>
        <v/>
      </c>
    </row>
    <row r="574" customFormat="false" ht="15" hidden="false" customHeight="false" outlineLevel="0" collapsed="false">
      <c r="A574" s="27"/>
      <c r="B574" s="17" t="str">
        <f aca="false">IF($A574="","",COUNTIFS(Orders!$C$2:$C$20001,$A574,Orders!$E$2:$E$20001,"COD",Orders!$F$2:$F$20001,"Delivered")+COUNTIFS(Orders!$C$2:$C$20001,$A574,Orders!$E$2:$E$20001,"COD",Orders!$F$2:$F$20001,"RTO"))</f>
        <v/>
      </c>
      <c r="C574" s="17" t="str">
        <f aca="false">IF($A574="","",COUNTIFS(Orders!$C$2:$C$20001,$A574,Orders!$E$2:$E$20001,"COD",Orders!$F$2:$F$20001,"RTO"))</f>
        <v/>
      </c>
      <c r="D574" s="18" t="str">
        <f aca="false">IF($A574="","",IFERROR(C574/B574,0))</f>
        <v/>
      </c>
      <c r="E574" s="17" t="str">
        <f aca="false">IF($A574="","",COUNTIFS(Orders!$C$2:$C$20001,$A574,Orders!$E$2:$E$20001,"Prepaid",Orders!$F$2:$F$20001,"Delivered")+COUNTIFS(Orders!$C$2:$C$20001,$A574,Orders!$E$2:$E$20001,"Prepaid",Orders!$F$2:$F$20001,"RTO"))</f>
        <v/>
      </c>
      <c r="F574" s="17" t="str">
        <f aca="false">IF($A574="","",COUNTIFS(Orders!$C$2:$C$20001,$A574,Orders!$E$2:$E$20001,"Prepaid",Orders!$F$2:$F$20001,"RTO"))</f>
        <v/>
      </c>
      <c r="G574" s="18" t="str">
        <f aca="false">IF($A574="","",IFERROR(F574/E574,0))</f>
        <v/>
      </c>
      <c r="H574" s="19" t="str">
        <f aca="false">IF($A574="","",C574*Settings!$B$11)</f>
        <v/>
      </c>
      <c r="I574" s="20" t="str">
        <f aca="false">IF($A574="","",IF(N(H574)=0,"",RANK(H574,$H$5:$H$2004)))</f>
        <v/>
      </c>
      <c r="J574" s="21" t="str">
        <f aca="false">IF($A574="","",IF(B574=0,"No COD orders",IF(B574&lt;Settings!$B$8,"Too few orders",IF(D574&gt;=Settings!$B$9,"Restrict COD or verify","Keep COD"))))</f>
        <v/>
      </c>
    </row>
    <row r="575" customFormat="false" ht="15" hidden="false" customHeight="false" outlineLevel="0" collapsed="false">
      <c r="A575" s="27"/>
      <c r="B575" s="17" t="str">
        <f aca="false">IF($A575="","",COUNTIFS(Orders!$C$2:$C$20001,$A575,Orders!$E$2:$E$20001,"COD",Orders!$F$2:$F$20001,"Delivered")+COUNTIFS(Orders!$C$2:$C$20001,$A575,Orders!$E$2:$E$20001,"COD",Orders!$F$2:$F$20001,"RTO"))</f>
        <v/>
      </c>
      <c r="C575" s="17" t="str">
        <f aca="false">IF($A575="","",COUNTIFS(Orders!$C$2:$C$20001,$A575,Orders!$E$2:$E$20001,"COD",Orders!$F$2:$F$20001,"RTO"))</f>
        <v/>
      </c>
      <c r="D575" s="18" t="str">
        <f aca="false">IF($A575="","",IFERROR(C575/B575,0))</f>
        <v/>
      </c>
      <c r="E575" s="17" t="str">
        <f aca="false">IF($A575="","",COUNTIFS(Orders!$C$2:$C$20001,$A575,Orders!$E$2:$E$20001,"Prepaid",Orders!$F$2:$F$20001,"Delivered")+COUNTIFS(Orders!$C$2:$C$20001,$A575,Orders!$E$2:$E$20001,"Prepaid",Orders!$F$2:$F$20001,"RTO"))</f>
        <v/>
      </c>
      <c r="F575" s="17" t="str">
        <f aca="false">IF($A575="","",COUNTIFS(Orders!$C$2:$C$20001,$A575,Orders!$E$2:$E$20001,"Prepaid",Orders!$F$2:$F$20001,"RTO"))</f>
        <v/>
      </c>
      <c r="G575" s="18" t="str">
        <f aca="false">IF($A575="","",IFERROR(F575/E575,0))</f>
        <v/>
      </c>
      <c r="H575" s="19" t="str">
        <f aca="false">IF($A575="","",C575*Settings!$B$11)</f>
        <v/>
      </c>
      <c r="I575" s="20" t="str">
        <f aca="false">IF($A575="","",IF(N(H575)=0,"",RANK(H575,$H$5:$H$2004)))</f>
        <v/>
      </c>
      <c r="J575" s="21" t="str">
        <f aca="false">IF($A575="","",IF(B575=0,"No COD orders",IF(B575&lt;Settings!$B$8,"Too few orders",IF(D575&gt;=Settings!$B$9,"Restrict COD or verify","Keep COD"))))</f>
        <v/>
      </c>
    </row>
    <row r="576" customFormat="false" ht="15" hidden="false" customHeight="false" outlineLevel="0" collapsed="false">
      <c r="A576" s="27"/>
      <c r="B576" s="17" t="str">
        <f aca="false">IF($A576="","",COUNTIFS(Orders!$C$2:$C$20001,$A576,Orders!$E$2:$E$20001,"COD",Orders!$F$2:$F$20001,"Delivered")+COUNTIFS(Orders!$C$2:$C$20001,$A576,Orders!$E$2:$E$20001,"COD",Orders!$F$2:$F$20001,"RTO"))</f>
        <v/>
      </c>
      <c r="C576" s="17" t="str">
        <f aca="false">IF($A576="","",COUNTIFS(Orders!$C$2:$C$20001,$A576,Orders!$E$2:$E$20001,"COD",Orders!$F$2:$F$20001,"RTO"))</f>
        <v/>
      </c>
      <c r="D576" s="18" t="str">
        <f aca="false">IF($A576="","",IFERROR(C576/B576,0))</f>
        <v/>
      </c>
      <c r="E576" s="17" t="str">
        <f aca="false">IF($A576="","",COUNTIFS(Orders!$C$2:$C$20001,$A576,Orders!$E$2:$E$20001,"Prepaid",Orders!$F$2:$F$20001,"Delivered")+COUNTIFS(Orders!$C$2:$C$20001,$A576,Orders!$E$2:$E$20001,"Prepaid",Orders!$F$2:$F$20001,"RTO"))</f>
        <v/>
      </c>
      <c r="F576" s="17" t="str">
        <f aca="false">IF($A576="","",COUNTIFS(Orders!$C$2:$C$20001,$A576,Orders!$E$2:$E$20001,"Prepaid",Orders!$F$2:$F$20001,"RTO"))</f>
        <v/>
      </c>
      <c r="G576" s="18" t="str">
        <f aca="false">IF($A576="","",IFERROR(F576/E576,0))</f>
        <v/>
      </c>
      <c r="H576" s="19" t="str">
        <f aca="false">IF($A576="","",C576*Settings!$B$11)</f>
        <v/>
      </c>
      <c r="I576" s="20" t="str">
        <f aca="false">IF($A576="","",IF(N(H576)=0,"",RANK(H576,$H$5:$H$2004)))</f>
        <v/>
      </c>
      <c r="J576" s="21" t="str">
        <f aca="false">IF($A576="","",IF(B576=0,"No COD orders",IF(B576&lt;Settings!$B$8,"Too few orders",IF(D576&gt;=Settings!$B$9,"Restrict COD or verify","Keep COD"))))</f>
        <v/>
      </c>
    </row>
    <row r="577" customFormat="false" ht="15" hidden="false" customHeight="false" outlineLevel="0" collapsed="false">
      <c r="A577" s="27"/>
      <c r="B577" s="17" t="str">
        <f aca="false">IF($A577="","",COUNTIFS(Orders!$C$2:$C$20001,$A577,Orders!$E$2:$E$20001,"COD",Orders!$F$2:$F$20001,"Delivered")+COUNTIFS(Orders!$C$2:$C$20001,$A577,Orders!$E$2:$E$20001,"COD",Orders!$F$2:$F$20001,"RTO"))</f>
        <v/>
      </c>
      <c r="C577" s="17" t="str">
        <f aca="false">IF($A577="","",COUNTIFS(Orders!$C$2:$C$20001,$A577,Orders!$E$2:$E$20001,"COD",Orders!$F$2:$F$20001,"RTO"))</f>
        <v/>
      </c>
      <c r="D577" s="18" t="str">
        <f aca="false">IF($A577="","",IFERROR(C577/B577,0))</f>
        <v/>
      </c>
      <c r="E577" s="17" t="str">
        <f aca="false">IF($A577="","",COUNTIFS(Orders!$C$2:$C$20001,$A577,Orders!$E$2:$E$20001,"Prepaid",Orders!$F$2:$F$20001,"Delivered")+COUNTIFS(Orders!$C$2:$C$20001,$A577,Orders!$E$2:$E$20001,"Prepaid",Orders!$F$2:$F$20001,"RTO"))</f>
        <v/>
      </c>
      <c r="F577" s="17" t="str">
        <f aca="false">IF($A577="","",COUNTIFS(Orders!$C$2:$C$20001,$A577,Orders!$E$2:$E$20001,"Prepaid",Orders!$F$2:$F$20001,"RTO"))</f>
        <v/>
      </c>
      <c r="G577" s="18" t="str">
        <f aca="false">IF($A577="","",IFERROR(F577/E577,0))</f>
        <v/>
      </c>
      <c r="H577" s="19" t="str">
        <f aca="false">IF($A577="","",C577*Settings!$B$11)</f>
        <v/>
      </c>
      <c r="I577" s="20" t="str">
        <f aca="false">IF($A577="","",IF(N(H577)=0,"",RANK(H577,$H$5:$H$2004)))</f>
        <v/>
      </c>
      <c r="J577" s="21" t="str">
        <f aca="false">IF($A577="","",IF(B577=0,"No COD orders",IF(B577&lt;Settings!$B$8,"Too few orders",IF(D577&gt;=Settings!$B$9,"Restrict COD or verify","Keep COD"))))</f>
        <v/>
      </c>
    </row>
    <row r="578" customFormat="false" ht="15" hidden="false" customHeight="false" outlineLevel="0" collapsed="false">
      <c r="A578" s="27"/>
      <c r="B578" s="17" t="str">
        <f aca="false">IF($A578="","",COUNTIFS(Orders!$C$2:$C$20001,$A578,Orders!$E$2:$E$20001,"COD",Orders!$F$2:$F$20001,"Delivered")+COUNTIFS(Orders!$C$2:$C$20001,$A578,Orders!$E$2:$E$20001,"COD",Orders!$F$2:$F$20001,"RTO"))</f>
        <v/>
      </c>
      <c r="C578" s="17" t="str">
        <f aca="false">IF($A578="","",COUNTIFS(Orders!$C$2:$C$20001,$A578,Orders!$E$2:$E$20001,"COD",Orders!$F$2:$F$20001,"RTO"))</f>
        <v/>
      </c>
      <c r="D578" s="18" t="str">
        <f aca="false">IF($A578="","",IFERROR(C578/B578,0))</f>
        <v/>
      </c>
      <c r="E578" s="17" t="str">
        <f aca="false">IF($A578="","",COUNTIFS(Orders!$C$2:$C$20001,$A578,Orders!$E$2:$E$20001,"Prepaid",Orders!$F$2:$F$20001,"Delivered")+COUNTIFS(Orders!$C$2:$C$20001,$A578,Orders!$E$2:$E$20001,"Prepaid",Orders!$F$2:$F$20001,"RTO"))</f>
        <v/>
      </c>
      <c r="F578" s="17" t="str">
        <f aca="false">IF($A578="","",COUNTIFS(Orders!$C$2:$C$20001,$A578,Orders!$E$2:$E$20001,"Prepaid",Orders!$F$2:$F$20001,"RTO"))</f>
        <v/>
      </c>
      <c r="G578" s="18" t="str">
        <f aca="false">IF($A578="","",IFERROR(F578/E578,0))</f>
        <v/>
      </c>
      <c r="H578" s="19" t="str">
        <f aca="false">IF($A578="","",C578*Settings!$B$11)</f>
        <v/>
      </c>
      <c r="I578" s="20" t="str">
        <f aca="false">IF($A578="","",IF(N(H578)=0,"",RANK(H578,$H$5:$H$2004)))</f>
        <v/>
      </c>
      <c r="J578" s="21" t="str">
        <f aca="false">IF($A578="","",IF(B578=0,"No COD orders",IF(B578&lt;Settings!$B$8,"Too few orders",IF(D578&gt;=Settings!$B$9,"Restrict COD or verify","Keep COD"))))</f>
        <v/>
      </c>
    </row>
    <row r="579" customFormat="false" ht="15" hidden="false" customHeight="false" outlineLevel="0" collapsed="false">
      <c r="A579" s="27"/>
      <c r="B579" s="17" t="str">
        <f aca="false">IF($A579="","",COUNTIFS(Orders!$C$2:$C$20001,$A579,Orders!$E$2:$E$20001,"COD",Orders!$F$2:$F$20001,"Delivered")+COUNTIFS(Orders!$C$2:$C$20001,$A579,Orders!$E$2:$E$20001,"COD",Orders!$F$2:$F$20001,"RTO"))</f>
        <v/>
      </c>
      <c r="C579" s="17" t="str">
        <f aca="false">IF($A579="","",COUNTIFS(Orders!$C$2:$C$20001,$A579,Orders!$E$2:$E$20001,"COD",Orders!$F$2:$F$20001,"RTO"))</f>
        <v/>
      </c>
      <c r="D579" s="18" t="str">
        <f aca="false">IF($A579="","",IFERROR(C579/B579,0))</f>
        <v/>
      </c>
      <c r="E579" s="17" t="str">
        <f aca="false">IF($A579="","",COUNTIFS(Orders!$C$2:$C$20001,$A579,Orders!$E$2:$E$20001,"Prepaid",Orders!$F$2:$F$20001,"Delivered")+COUNTIFS(Orders!$C$2:$C$20001,$A579,Orders!$E$2:$E$20001,"Prepaid",Orders!$F$2:$F$20001,"RTO"))</f>
        <v/>
      </c>
      <c r="F579" s="17" t="str">
        <f aca="false">IF($A579="","",COUNTIFS(Orders!$C$2:$C$20001,$A579,Orders!$E$2:$E$20001,"Prepaid",Orders!$F$2:$F$20001,"RTO"))</f>
        <v/>
      </c>
      <c r="G579" s="18" t="str">
        <f aca="false">IF($A579="","",IFERROR(F579/E579,0))</f>
        <v/>
      </c>
      <c r="H579" s="19" t="str">
        <f aca="false">IF($A579="","",C579*Settings!$B$11)</f>
        <v/>
      </c>
      <c r="I579" s="20" t="str">
        <f aca="false">IF($A579="","",IF(N(H579)=0,"",RANK(H579,$H$5:$H$2004)))</f>
        <v/>
      </c>
      <c r="J579" s="21" t="str">
        <f aca="false">IF($A579="","",IF(B579=0,"No COD orders",IF(B579&lt;Settings!$B$8,"Too few orders",IF(D579&gt;=Settings!$B$9,"Restrict COD or verify","Keep COD"))))</f>
        <v/>
      </c>
    </row>
    <row r="580" customFormat="false" ht="15" hidden="false" customHeight="false" outlineLevel="0" collapsed="false">
      <c r="A580" s="27"/>
      <c r="B580" s="17" t="str">
        <f aca="false">IF($A580="","",COUNTIFS(Orders!$C$2:$C$20001,$A580,Orders!$E$2:$E$20001,"COD",Orders!$F$2:$F$20001,"Delivered")+COUNTIFS(Orders!$C$2:$C$20001,$A580,Orders!$E$2:$E$20001,"COD",Orders!$F$2:$F$20001,"RTO"))</f>
        <v/>
      </c>
      <c r="C580" s="17" t="str">
        <f aca="false">IF($A580="","",COUNTIFS(Orders!$C$2:$C$20001,$A580,Orders!$E$2:$E$20001,"COD",Orders!$F$2:$F$20001,"RTO"))</f>
        <v/>
      </c>
      <c r="D580" s="18" t="str">
        <f aca="false">IF($A580="","",IFERROR(C580/B580,0))</f>
        <v/>
      </c>
      <c r="E580" s="17" t="str">
        <f aca="false">IF($A580="","",COUNTIFS(Orders!$C$2:$C$20001,$A580,Orders!$E$2:$E$20001,"Prepaid",Orders!$F$2:$F$20001,"Delivered")+COUNTIFS(Orders!$C$2:$C$20001,$A580,Orders!$E$2:$E$20001,"Prepaid",Orders!$F$2:$F$20001,"RTO"))</f>
        <v/>
      </c>
      <c r="F580" s="17" t="str">
        <f aca="false">IF($A580="","",COUNTIFS(Orders!$C$2:$C$20001,$A580,Orders!$E$2:$E$20001,"Prepaid",Orders!$F$2:$F$20001,"RTO"))</f>
        <v/>
      </c>
      <c r="G580" s="18" t="str">
        <f aca="false">IF($A580="","",IFERROR(F580/E580,0))</f>
        <v/>
      </c>
      <c r="H580" s="19" t="str">
        <f aca="false">IF($A580="","",C580*Settings!$B$11)</f>
        <v/>
      </c>
      <c r="I580" s="20" t="str">
        <f aca="false">IF($A580="","",IF(N(H580)=0,"",RANK(H580,$H$5:$H$2004)))</f>
        <v/>
      </c>
      <c r="J580" s="21" t="str">
        <f aca="false">IF($A580="","",IF(B580=0,"No COD orders",IF(B580&lt;Settings!$B$8,"Too few orders",IF(D580&gt;=Settings!$B$9,"Restrict COD or verify","Keep COD"))))</f>
        <v/>
      </c>
    </row>
    <row r="581" customFormat="false" ht="15" hidden="false" customHeight="false" outlineLevel="0" collapsed="false">
      <c r="A581" s="27"/>
      <c r="B581" s="17" t="str">
        <f aca="false">IF($A581="","",COUNTIFS(Orders!$C$2:$C$20001,$A581,Orders!$E$2:$E$20001,"COD",Orders!$F$2:$F$20001,"Delivered")+COUNTIFS(Orders!$C$2:$C$20001,$A581,Orders!$E$2:$E$20001,"COD",Orders!$F$2:$F$20001,"RTO"))</f>
        <v/>
      </c>
      <c r="C581" s="17" t="str">
        <f aca="false">IF($A581="","",COUNTIFS(Orders!$C$2:$C$20001,$A581,Orders!$E$2:$E$20001,"COD",Orders!$F$2:$F$20001,"RTO"))</f>
        <v/>
      </c>
      <c r="D581" s="18" t="str">
        <f aca="false">IF($A581="","",IFERROR(C581/B581,0))</f>
        <v/>
      </c>
      <c r="E581" s="17" t="str">
        <f aca="false">IF($A581="","",COUNTIFS(Orders!$C$2:$C$20001,$A581,Orders!$E$2:$E$20001,"Prepaid",Orders!$F$2:$F$20001,"Delivered")+COUNTIFS(Orders!$C$2:$C$20001,$A581,Orders!$E$2:$E$20001,"Prepaid",Orders!$F$2:$F$20001,"RTO"))</f>
        <v/>
      </c>
      <c r="F581" s="17" t="str">
        <f aca="false">IF($A581="","",COUNTIFS(Orders!$C$2:$C$20001,$A581,Orders!$E$2:$E$20001,"Prepaid",Orders!$F$2:$F$20001,"RTO"))</f>
        <v/>
      </c>
      <c r="G581" s="18" t="str">
        <f aca="false">IF($A581="","",IFERROR(F581/E581,0))</f>
        <v/>
      </c>
      <c r="H581" s="19" t="str">
        <f aca="false">IF($A581="","",C581*Settings!$B$11)</f>
        <v/>
      </c>
      <c r="I581" s="20" t="str">
        <f aca="false">IF($A581="","",IF(N(H581)=0,"",RANK(H581,$H$5:$H$2004)))</f>
        <v/>
      </c>
      <c r="J581" s="21" t="str">
        <f aca="false">IF($A581="","",IF(B581=0,"No COD orders",IF(B581&lt;Settings!$B$8,"Too few orders",IF(D581&gt;=Settings!$B$9,"Restrict COD or verify","Keep COD"))))</f>
        <v/>
      </c>
    </row>
    <row r="582" customFormat="false" ht="15" hidden="false" customHeight="false" outlineLevel="0" collapsed="false">
      <c r="A582" s="27"/>
      <c r="B582" s="17" t="str">
        <f aca="false">IF($A582="","",COUNTIFS(Orders!$C$2:$C$20001,$A582,Orders!$E$2:$E$20001,"COD",Orders!$F$2:$F$20001,"Delivered")+COUNTIFS(Orders!$C$2:$C$20001,$A582,Orders!$E$2:$E$20001,"COD",Orders!$F$2:$F$20001,"RTO"))</f>
        <v/>
      </c>
      <c r="C582" s="17" t="str">
        <f aca="false">IF($A582="","",COUNTIFS(Orders!$C$2:$C$20001,$A582,Orders!$E$2:$E$20001,"COD",Orders!$F$2:$F$20001,"RTO"))</f>
        <v/>
      </c>
      <c r="D582" s="18" t="str">
        <f aca="false">IF($A582="","",IFERROR(C582/B582,0))</f>
        <v/>
      </c>
      <c r="E582" s="17" t="str">
        <f aca="false">IF($A582="","",COUNTIFS(Orders!$C$2:$C$20001,$A582,Orders!$E$2:$E$20001,"Prepaid",Orders!$F$2:$F$20001,"Delivered")+COUNTIFS(Orders!$C$2:$C$20001,$A582,Orders!$E$2:$E$20001,"Prepaid",Orders!$F$2:$F$20001,"RTO"))</f>
        <v/>
      </c>
      <c r="F582" s="17" t="str">
        <f aca="false">IF($A582="","",COUNTIFS(Orders!$C$2:$C$20001,$A582,Orders!$E$2:$E$20001,"Prepaid",Orders!$F$2:$F$20001,"RTO"))</f>
        <v/>
      </c>
      <c r="G582" s="18" t="str">
        <f aca="false">IF($A582="","",IFERROR(F582/E582,0))</f>
        <v/>
      </c>
      <c r="H582" s="19" t="str">
        <f aca="false">IF($A582="","",C582*Settings!$B$11)</f>
        <v/>
      </c>
      <c r="I582" s="20" t="str">
        <f aca="false">IF($A582="","",IF(N(H582)=0,"",RANK(H582,$H$5:$H$2004)))</f>
        <v/>
      </c>
      <c r="J582" s="21" t="str">
        <f aca="false">IF($A582="","",IF(B582=0,"No COD orders",IF(B582&lt;Settings!$B$8,"Too few orders",IF(D582&gt;=Settings!$B$9,"Restrict COD or verify","Keep COD"))))</f>
        <v/>
      </c>
    </row>
    <row r="583" customFormat="false" ht="15" hidden="false" customHeight="false" outlineLevel="0" collapsed="false">
      <c r="A583" s="27"/>
      <c r="B583" s="17" t="str">
        <f aca="false">IF($A583="","",COUNTIFS(Orders!$C$2:$C$20001,$A583,Orders!$E$2:$E$20001,"COD",Orders!$F$2:$F$20001,"Delivered")+COUNTIFS(Orders!$C$2:$C$20001,$A583,Orders!$E$2:$E$20001,"COD",Orders!$F$2:$F$20001,"RTO"))</f>
        <v/>
      </c>
      <c r="C583" s="17" t="str">
        <f aca="false">IF($A583="","",COUNTIFS(Orders!$C$2:$C$20001,$A583,Orders!$E$2:$E$20001,"COD",Orders!$F$2:$F$20001,"RTO"))</f>
        <v/>
      </c>
      <c r="D583" s="18" t="str">
        <f aca="false">IF($A583="","",IFERROR(C583/B583,0))</f>
        <v/>
      </c>
      <c r="E583" s="17" t="str">
        <f aca="false">IF($A583="","",COUNTIFS(Orders!$C$2:$C$20001,$A583,Orders!$E$2:$E$20001,"Prepaid",Orders!$F$2:$F$20001,"Delivered")+COUNTIFS(Orders!$C$2:$C$20001,$A583,Orders!$E$2:$E$20001,"Prepaid",Orders!$F$2:$F$20001,"RTO"))</f>
        <v/>
      </c>
      <c r="F583" s="17" t="str">
        <f aca="false">IF($A583="","",COUNTIFS(Orders!$C$2:$C$20001,$A583,Orders!$E$2:$E$20001,"Prepaid",Orders!$F$2:$F$20001,"RTO"))</f>
        <v/>
      </c>
      <c r="G583" s="18" t="str">
        <f aca="false">IF($A583="","",IFERROR(F583/E583,0))</f>
        <v/>
      </c>
      <c r="H583" s="19" t="str">
        <f aca="false">IF($A583="","",C583*Settings!$B$11)</f>
        <v/>
      </c>
      <c r="I583" s="20" t="str">
        <f aca="false">IF($A583="","",IF(N(H583)=0,"",RANK(H583,$H$5:$H$2004)))</f>
        <v/>
      </c>
      <c r="J583" s="21" t="str">
        <f aca="false">IF($A583="","",IF(B583=0,"No COD orders",IF(B583&lt;Settings!$B$8,"Too few orders",IF(D583&gt;=Settings!$B$9,"Restrict COD or verify","Keep COD"))))</f>
        <v/>
      </c>
    </row>
    <row r="584" customFormat="false" ht="15" hidden="false" customHeight="false" outlineLevel="0" collapsed="false">
      <c r="A584" s="27"/>
      <c r="B584" s="17" t="str">
        <f aca="false">IF($A584="","",COUNTIFS(Orders!$C$2:$C$20001,$A584,Orders!$E$2:$E$20001,"COD",Orders!$F$2:$F$20001,"Delivered")+COUNTIFS(Orders!$C$2:$C$20001,$A584,Orders!$E$2:$E$20001,"COD",Orders!$F$2:$F$20001,"RTO"))</f>
        <v/>
      </c>
      <c r="C584" s="17" t="str">
        <f aca="false">IF($A584="","",COUNTIFS(Orders!$C$2:$C$20001,$A584,Orders!$E$2:$E$20001,"COD",Orders!$F$2:$F$20001,"RTO"))</f>
        <v/>
      </c>
      <c r="D584" s="18" t="str">
        <f aca="false">IF($A584="","",IFERROR(C584/B584,0))</f>
        <v/>
      </c>
      <c r="E584" s="17" t="str">
        <f aca="false">IF($A584="","",COUNTIFS(Orders!$C$2:$C$20001,$A584,Orders!$E$2:$E$20001,"Prepaid",Orders!$F$2:$F$20001,"Delivered")+COUNTIFS(Orders!$C$2:$C$20001,$A584,Orders!$E$2:$E$20001,"Prepaid",Orders!$F$2:$F$20001,"RTO"))</f>
        <v/>
      </c>
      <c r="F584" s="17" t="str">
        <f aca="false">IF($A584="","",COUNTIFS(Orders!$C$2:$C$20001,$A584,Orders!$E$2:$E$20001,"Prepaid",Orders!$F$2:$F$20001,"RTO"))</f>
        <v/>
      </c>
      <c r="G584" s="18" t="str">
        <f aca="false">IF($A584="","",IFERROR(F584/E584,0))</f>
        <v/>
      </c>
      <c r="H584" s="19" t="str">
        <f aca="false">IF($A584="","",C584*Settings!$B$11)</f>
        <v/>
      </c>
      <c r="I584" s="20" t="str">
        <f aca="false">IF($A584="","",IF(N(H584)=0,"",RANK(H584,$H$5:$H$2004)))</f>
        <v/>
      </c>
      <c r="J584" s="21" t="str">
        <f aca="false">IF($A584="","",IF(B584=0,"No COD orders",IF(B584&lt;Settings!$B$8,"Too few orders",IF(D584&gt;=Settings!$B$9,"Restrict COD or verify","Keep COD"))))</f>
        <v/>
      </c>
    </row>
    <row r="585" customFormat="false" ht="15" hidden="false" customHeight="false" outlineLevel="0" collapsed="false">
      <c r="A585" s="27"/>
      <c r="B585" s="17" t="str">
        <f aca="false">IF($A585="","",COUNTIFS(Orders!$C$2:$C$20001,$A585,Orders!$E$2:$E$20001,"COD",Orders!$F$2:$F$20001,"Delivered")+COUNTIFS(Orders!$C$2:$C$20001,$A585,Orders!$E$2:$E$20001,"COD",Orders!$F$2:$F$20001,"RTO"))</f>
        <v/>
      </c>
      <c r="C585" s="17" t="str">
        <f aca="false">IF($A585="","",COUNTIFS(Orders!$C$2:$C$20001,$A585,Orders!$E$2:$E$20001,"COD",Orders!$F$2:$F$20001,"RTO"))</f>
        <v/>
      </c>
      <c r="D585" s="18" t="str">
        <f aca="false">IF($A585="","",IFERROR(C585/B585,0))</f>
        <v/>
      </c>
      <c r="E585" s="17" t="str">
        <f aca="false">IF($A585="","",COUNTIFS(Orders!$C$2:$C$20001,$A585,Orders!$E$2:$E$20001,"Prepaid",Orders!$F$2:$F$20001,"Delivered")+COUNTIFS(Orders!$C$2:$C$20001,$A585,Orders!$E$2:$E$20001,"Prepaid",Orders!$F$2:$F$20001,"RTO"))</f>
        <v/>
      </c>
      <c r="F585" s="17" t="str">
        <f aca="false">IF($A585="","",COUNTIFS(Orders!$C$2:$C$20001,$A585,Orders!$E$2:$E$20001,"Prepaid",Orders!$F$2:$F$20001,"RTO"))</f>
        <v/>
      </c>
      <c r="G585" s="18" t="str">
        <f aca="false">IF($A585="","",IFERROR(F585/E585,0))</f>
        <v/>
      </c>
      <c r="H585" s="19" t="str">
        <f aca="false">IF($A585="","",C585*Settings!$B$11)</f>
        <v/>
      </c>
      <c r="I585" s="20" t="str">
        <f aca="false">IF($A585="","",IF(N(H585)=0,"",RANK(H585,$H$5:$H$2004)))</f>
        <v/>
      </c>
      <c r="J585" s="21" t="str">
        <f aca="false">IF($A585="","",IF(B585=0,"No COD orders",IF(B585&lt;Settings!$B$8,"Too few orders",IF(D585&gt;=Settings!$B$9,"Restrict COD or verify","Keep COD"))))</f>
        <v/>
      </c>
    </row>
    <row r="586" customFormat="false" ht="15" hidden="false" customHeight="false" outlineLevel="0" collapsed="false">
      <c r="A586" s="27"/>
      <c r="B586" s="17" t="str">
        <f aca="false">IF($A586="","",COUNTIFS(Orders!$C$2:$C$20001,$A586,Orders!$E$2:$E$20001,"COD",Orders!$F$2:$F$20001,"Delivered")+COUNTIFS(Orders!$C$2:$C$20001,$A586,Orders!$E$2:$E$20001,"COD",Orders!$F$2:$F$20001,"RTO"))</f>
        <v/>
      </c>
      <c r="C586" s="17" t="str">
        <f aca="false">IF($A586="","",COUNTIFS(Orders!$C$2:$C$20001,$A586,Orders!$E$2:$E$20001,"COD",Orders!$F$2:$F$20001,"RTO"))</f>
        <v/>
      </c>
      <c r="D586" s="18" t="str">
        <f aca="false">IF($A586="","",IFERROR(C586/B586,0))</f>
        <v/>
      </c>
      <c r="E586" s="17" t="str">
        <f aca="false">IF($A586="","",COUNTIFS(Orders!$C$2:$C$20001,$A586,Orders!$E$2:$E$20001,"Prepaid",Orders!$F$2:$F$20001,"Delivered")+COUNTIFS(Orders!$C$2:$C$20001,$A586,Orders!$E$2:$E$20001,"Prepaid",Orders!$F$2:$F$20001,"RTO"))</f>
        <v/>
      </c>
      <c r="F586" s="17" t="str">
        <f aca="false">IF($A586="","",COUNTIFS(Orders!$C$2:$C$20001,$A586,Orders!$E$2:$E$20001,"Prepaid",Orders!$F$2:$F$20001,"RTO"))</f>
        <v/>
      </c>
      <c r="G586" s="18" t="str">
        <f aca="false">IF($A586="","",IFERROR(F586/E586,0))</f>
        <v/>
      </c>
      <c r="H586" s="19" t="str">
        <f aca="false">IF($A586="","",C586*Settings!$B$11)</f>
        <v/>
      </c>
      <c r="I586" s="20" t="str">
        <f aca="false">IF($A586="","",IF(N(H586)=0,"",RANK(H586,$H$5:$H$2004)))</f>
        <v/>
      </c>
      <c r="J586" s="21" t="str">
        <f aca="false">IF($A586="","",IF(B586=0,"No COD orders",IF(B586&lt;Settings!$B$8,"Too few orders",IF(D586&gt;=Settings!$B$9,"Restrict COD or verify","Keep COD"))))</f>
        <v/>
      </c>
    </row>
    <row r="587" customFormat="false" ht="15" hidden="false" customHeight="false" outlineLevel="0" collapsed="false">
      <c r="A587" s="27"/>
      <c r="B587" s="17" t="str">
        <f aca="false">IF($A587="","",COUNTIFS(Orders!$C$2:$C$20001,$A587,Orders!$E$2:$E$20001,"COD",Orders!$F$2:$F$20001,"Delivered")+COUNTIFS(Orders!$C$2:$C$20001,$A587,Orders!$E$2:$E$20001,"COD",Orders!$F$2:$F$20001,"RTO"))</f>
        <v/>
      </c>
      <c r="C587" s="17" t="str">
        <f aca="false">IF($A587="","",COUNTIFS(Orders!$C$2:$C$20001,$A587,Orders!$E$2:$E$20001,"COD",Orders!$F$2:$F$20001,"RTO"))</f>
        <v/>
      </c>
      <c r="D587" s="18" t="str">
        <f aca="false">IF($A587="","",IFERROR(C587/B587,0))</f>
        <v/>
      </c>
      <c r="E587" s="17" t="str">
        <f aca="false">IF($A587="","",COUNTIFS(Orders!$C$2:$C$20001,$A587,Orders!$E$2:$E$20001,"Prepaid",Orders!$F$2:$F$20001,"Delivered")+COUNTIFS(Orders!$C$2:$C$20001,$A587,Orders!$E$2:$E$20001,"Prepaid",Orders!$F$2:$F$20001,"RTO"))</f>
        <v/>
      </c>
      <c r="F587" s="17" t="str">
        <f aca="false">IF($A587="","",COUNTIFS(Orders!$C$2:$C$20001,$A587,Orders!$E$2:$E$20001,"Prepaid",Orders!$F$2:$F$20001,"RTO"))</f>
        <v/>
      </c>
      <c r="G587" s="18" t="str">
        <f aca="false">IF($A587="","",IFERROR(F587/E587,0))</f>
        <v/>
      </c>
      <c r="H587" s="19" t="str">
        <f aca="false">IF($A587="","",C587*Settings!$B$11)</f>
        <v/>
      </c>
      <c r="I587" s="20" t="str">
        <f aca="false">IF($A587="","",IF(N(H587)=0,"",RANK(H587,$H$5:$H$2004)))</f>
        <v/>
      </c>
      <c r="J587" s="21" t="str">
        <f aca="false">IF($A587="","",IF(B587=0,"No COD orders",IF(B587&lt;Settings!$B$8,"Too few orders",IF(D587&gt;=Settings!$B$9,"Restrict COD or verify","Keep COD"))))</f>
        <v/>
      </c>
    </row>
    <row r="588" customFormat="false" ht="15" hidden="false" customHeight="false" outlineLevel="0" collapsed="false">
      <c r="A588" s="27"/>
      <c r="B588" s="17" t="str">
        <f aca="false">IF($A588="","",COUNTIFS(Orders!$C$2:$C$20001,$A588,Orders!$E$2:$E$20001,"COD",Orders!$F$2:$F$20001,"Delivered")+COUNTIFS(Orders!$C$2:$C$20001,$A588,Orders!$E$2:$E$20001,"COD",Orders!$F$2:$F$20001,"RTO"))</f>
        <v/>
      </c>
      <c r="C588" s="17" t="str">
        <f aca="false">IF($A588="","",COUNTIFS(Orders!$C$2:$C$20001,$A588,Orders!$E$2:$E$20001,"COD",Orders!$F$2:$F$20001,"RTO"))</f>
        <v/>
      </c>
      <c r="D588" s="18" t="str">
        <f aca="false">IF($A588="","",IFERROR(C588/B588,0))</f>
        <v/>
      </c>
      <c r="E588" s="17" t="str">
        <f aca="false">IF($A588="","",COUNTIFS(Orders!$C$2:$C$20001,$A588,Orders!$E$2:$E$20001,"Prepaid",Orders!$F$2:$F$20001,"Delivered")+COUNTIFS(Orders!$C$2:$C$20001,$A588,Orders!$E$2:$E$20001,"Prepaid",Orders!$F$2:$F$20001,"RTO"))</f>
        <v/>
      </c>
      <c r="F588" s="17" t="str">
        <f aca="false">IF($A588="","",COUNTIFS(Orders!$C$2:$C$20001,$A588,Orders!$E$2:$E$20001,"Prepaid",Orders!$F$2:$F$20001,"RTO"))</f>
        <v/>
      </c>
      <c r="G588" s="18" t="str">
        <f aca="false">IF($A588="","",IFERROR(F588/E588,0))</f>
        <v/>
      </c>
      <c r="H588" s="19" t="str">
        <f aca="false">IF($A588="","",C588*Settings!$B$11)</f>
        <v/>
      </c>
      <c r="I588" s="20" t="str">
        <f aca="false">IF($A588="","",IF(N(H588)=0,"",RANK(H588,$H$5:$H$2004)))</f>
        <v/>
      </c>
      <c r="J588" s="21" t="str">
        <f aca="false">IF($A588="","",IF(B588=0,"No COD orders",IF(B588&lt;Settings!$B$8,"Too few orders",IF(D588&gt;=Settings!$B$9,"Restrict COD or verify","Keep COD"))))</f>
        <v/>
      </c>
    </row>
    <row r="589" customFormat="false" ht="15" hidden="false" customHeight="false" outlineLevel="0" collapsed="false">
      <c r="A589" s="27"/>
      <c r="B589" s="17" t="str">
        <f aca="false">IF($A589="","",COUNTIFS(Orders!$C$2:$C$20001,$A589,Orders!$E$2:$E$20001,"COD",Orders!$F$2:$F$20001,"Delivered")+COUNTIFS(Orders!$C$2:$C$20001,$A589,Orders!$E$2:$E$20001,"COD",Orders!$F$2:$F$20001,"RTO"))</f>
        <v/>
      </c>
      <c r="C589" s="17" t="str">
        <f aca="false">IF($A589="","",COUNTIFS(Orders!$C$2:$C$20001,$A589,Orders!$E$2:$E$20001,"COD",Orders!$F$2:$F$20001,"RTO"))</f>
        <v/>
      </c>
      <c r="D589" s="18" t="str">
        <f aca="false">IF($A589="","",IFERROR(C589/B589,0))</f>
        <v/>
      </c>
      <c r="E589" s="17" t="str">
        <f aca="false">IF($A589="","",COUNTIFS(Orders!$C$2:$C$20001,$A589,Orders!$E$2:$E$20001,"Prepaid",Orders!$F$2:$F$20001,"Delivered")+COUNTIFS(Orders!$C$2:$C$20001,$A589,Orders!$E$2:$E$20001,"Prepaid",Orders!$F$2:$F$20001,"RTO"))</f>
        <v/>
      </c>
      <c r="F589" s="17" t="str">
        <f aca="false">IF($A589="","",COUNTIFS(Orders!$C$2:$C$20001,$A589,Orders!$E$2:$E$20001,"Prepaid",Orders!$F$2:$F$20001,"RTO"))</f>
        <v/>
      </c>
      <c r="G589" s="18" t="str">
        <f aca="false">IF($A589="","",IFERROR(F589/E589,0))</f>
        <v/>
      </c>
      <c r="H589" s="19" t="str">
        <f aca="false">IF($A589="","",C589*Settings!$B$11)</f>
        <v/>
      </c>
      <c r="I589" s="20" t="str">
        <f aca="false">IF($A589="","",IF(N(H589)=0,"",RANK(H589,$H$5:$H$2004)))</f>
        <v/>
      </c>
      <c r="J589" s="21" t="str">
        <f aca="false">IF($A589="","",IF(B589=0,"No COD orders",IF(B589&lt;Settings!$B$8,"Too few orders",IF(D589&gt;=Settings!$B$9,"Restrict COD or verify","Keep COD"))))</f>
        <v/>
      </c>
    </row>
    <row r="590" customFormat="false" ht="15" hidden="false" customHeight="false" outlineLevel="0" collapsed="false">
      <c r="A590" s="27"/>
      <c r="B590" s="17" t="str">
        <f aca="false">IF($A590="","",COUNTIFS(Orders!$C$2:$C$20001,$A590,Orders!$E$2:$E$20001,"COD",Orders!$F$2:$F$20001,"Delivered")+COUNTIFS(Orders!$C$2:$C$20001,$A590,Orders!$E$2:$E$20001,"COD",Orders!$F$2:$F$20001,"RTO"))</f>
        <v/>
      </c>
      <c r="C590" s="17" t="str">
        <f aca="false">IF($A590="","",COUNTIFS(Orders!$C$2:$C$20001,$A590,Orders!$E$2:$E$20001,"COD",Orders!$F$2:$F$20001,"RTO"))</f>
        <v/>
      </c>
      <c r="D590" s="18" t="str">
        <f aca="false">IF($A590="","",IFERROR(C590/B590,0))</f>
        <v/>
      </c>
      <c r="E590" s="17" t="str">
        <f aca="false">IF($A590="","",COUNTIFS(Orders!$C$2:$C$20001,$A590,Orders!$E$2:$E$20001,"Prepaid",Orders!$F$2:$F$20001,"Delivered")+COUNTIFS(Orders!$C$2:$C$20001,$A590,Orders!$E$2:$E$20001,"Prepaid",Orders!$F$2:$F$20001,"RTO"))</f>
        <v/>
      </c>
      <c r="F590" s="17" t="str">
        <f aca="false">IF($A590="","",COUNTIFS(Orders!$C$2:$C$20001,$A590,Orders!$E$2:$E$20001,"Prepaid",Orders!$F$2:$F$20001,"RTO"))</f>
        <v/>
      </c>
      <c r="G590" s="18" t="str">
        <f aca="false">IF($A590="","",IFERROR(F590/E590,0))</f>
        <v/>
      </c>
      <c r="H590" s="19" t="str">
        <f aca="false">IF($A590="","",C590*Settings!$B$11)</f>
        <v/>
      </c>
      <c r="I590" s="20" t="str">
        <f aca="false">IF($A590="","",IF(N(H590)=0,"",RANK(H590,$H$5:$H$2004)))</f>
        <v/>
      </c>
      <c r="J590" s="21" t="str">
        <f aca="false">IF($A590="","",IF(B590=0,"No COD orders",IF(B590&lt;Settings!$B$8,"Too few orders",IF(D590&gt;=Settings!$B$9,"Restrict COD or verify","Keep COD"))))</f>
        <v/>
      </c>
    </row>
    <row r="591" customFormat="false" ht="15" hidden="false" customHeight="false" outlineLevel="0" collapsed="false">
      <c r="A591" s="27"/>
      <c r="B591" s="17" t="str">
        <f aca="false">IF($A591="","",COUNTIFS(Orders!$C$2:$C$20001,$A591,Orders!$E$2:$E$20001,"COD",Orders!$F$2:$F$20001,"Delivered")+COUNTIFS(Orders!$C$2:$C$20001,$A591,Orders!$E$2:$E$20001,"COD",Orders!$F$2:$F$20001,"RTO"))</f>
        <v/>
      </c>
      <c r="C591" s="17" t="str">
        <f aca="false">IF($A591="","",COUNTIFS(Orders!$C$2:$C$20001,$A591,Orders!$E$2:$E$20001,"COD",Orders!$F$2:$F$20001,"RTO"))</f>
        <v/>
      </c>
      <c r="D591" s="18" t="str">
        <f aca="false">IF($A591="","",IFERROR(C591/B591,0))</f>
        <v/>
      </c>
      <c r="E591" s="17" t="str">
        <f aca="false">IF($A591="","",COUNTIFS(Orders!$C$2:$C$20001,$A591,Orders!$E$2:$E$20001,"Prepaid",Orders!$F$2:$F$20001,"Delivered")+COUNTIFS(Orders!$C$2:$C$20001,$A591,Orders!$E$2:$E$20001,"Prepaid",Orders!$F$2:$F$20001,"RTO"))</f>
        <v/>
      </c>
      <c r="F591" s="17" t="str">
        <f aca="false">IF($A591="","",COUNTIFS(Orders!$C$2:$C$20001,$A591,Orders!$E$2:$E$20001,"Prepaid",Orders!$F$2:$F$20001,"RTO"))</f>
        <v/>
      </c>
      <c r="G591" s="18" t="str">
        <f aca="false">IF($A591="","",IFERROR(F591/E591,0))</f>
        <v/>
      </c>
      <c r="H591" s="19" t="str">
        <f aca="false">IF($A591="","",C591*Settings!$B$11)</f>
        <v/>
      </c>
      <c r="I591" s="20" t="str">
        <f aca="false">IF($A591="","",IF(N(H591)=0,"",RANK(H591,$H$5:$H$2004)))</f>
        <v/>
      </c>
      <c r="J591" s="21" t="str">
        <f aca="false">IF($A591="","",IF(B591=0,"No COD orders",IF(B591&lt;Settings!$B$8,"Too few orders",IF(D591&gt;=Settings!$B$9,"Restrict COD or verify","Keep COD"))))</f>
        <v/>
      </c>
    </row>
    <row r="592" customFormat="false" ht="15" hidden="false" customHeight="false" outlineLevel="0" collapsed="false">
      <c r="A592" s="27"/>
      <c r="B592" s="17" t="str">
        <f aca="false">IF($A592="","",COUNTIFS(Orders!$C$2:$C$20001,$A592,Orders!$E$2:$E$20001,"COD",Orders!$F$2:$F$20001,"Delivered")+COUNTIFS(Orders!$C$2:$C$20001,$A592,Orders!$E$2:$E$20001,"COD",Orders!$F$2:$F$20001,"RTO"))</f>
        <v/>
      </c>
      <c r="C592" s="17" t="str">
        <f aca="false">IF($A592="","",COUNTIFS(Orders!$C$2:$C$20001,$A592,Orders!$E$2:$E$20001,"COD",Orders!$F$2:$F$20001,"RTO"))</f>
        <v/>
      </c>
      <c r="D592" s="18" t="str">
        <f aca="false">IF($A592="","",IFERROR(C592/B592,0))</f>
        <v/>
      </c>
      <c r="E592" s="17" t="str">
        <f aca="false">IF($A592="","",COUNTIFS(Orders!$C$2:$C$20001,$A592,Orders!$E$2:$E$20001,"Prepaid",Orders!$F$2:$F$20001,"Delivered")+COUNTIFS(Orders!$C$2:$C$20001,$A592,Orders!$E$2:$E$20001,"Prepaid",Orders!$F$2:$F$20001,"RTO"))</f>
        <v/>
      </c>
      <c r="F592" s="17" t="str">
        <f aca="false">IF($A592="","",COUNTIFS(Orders!$C$2:$C$20001,$A592,Orders!$E$2:$E$20001,"Prepaid",Orders!$F$2:$F$20001,"RTO"))</f>
        <v/>
      </c>
      <c r="G592" s="18" t="str">
        <f aca="false">IF($A592="","",IFERROR(F592/E592,0))</f>
        <v/>
      </c>
      <c r="H592" s="19" t="str">
        <f aca="false">IF($A592="","",C592*Settings!$B$11)</f>
        <v/>
      </c>
      <c r="I592" s="20" t="str">
        <f aca="false">IF($A592="","",IF(N(H592)=0,"",RANK(H592,$H$5:$H$2004)))</f>
        <v/>
      </c>
      <c r="J592" s="21" t="str">
        <f aca="false">IF($A592="","",IF(B592=0,"No COD orders",IF(B592&lt;Settings!$B$8,"Too few orders",IF(D592&gt;=Settings!$B$9,"Restrict COD or verify","Keep COD"))))</f>
        <v/>
      </c>
    </row>
    <row r="593" customFormat="false" ht="15" hidden="false" customHeight="false" outlineLevel="0" collapsed="false">
      <c r="A593" s="27"/>
      <c r="B593" s="17" t="str">
        <f aca="false">IF($A593="","",COUNTIFS(Orders!$C$2:$C$20001,$A593,Orders!$E$2:$E$20001,"COD",Orders!$F$2:$F$20001,"Delivered")+COUNTIFS(Orders!$C$2:$C$20001,$A593,Orders!$E$2:$E$20001,"COD",Orders!$F$2:$F$20001,"RTO"))</f>
        <v/>
      </c>
      <c r="C593" s="17" t="str">
        <f aca="false">IF($A593="","",COUNTIFS(Orders!$C$2:$C$20001,$A593,Orders!$E$2:$E$20001,"COD",Orders!$F$2:$F$20001,"RTO"))</f>
        <v/>
      </c>
      <c r="D593" s="18" t="str">
        <f aca="false">IF($A593="","",IFERROR(C593/B593,0))</f>
        <v/>
      </c>
      <c r="E593" s="17" t="str">
        <f aca="false">IF($A593="","",COUNTIFS(Orders!$C$2:$C$20001,$A593,Orders!$E$2:$E$20001,"Prepaid",Orders!$F$2:$F$20001,"Delivered")+COUNTIFS(Orders!$C$2:$C$20001,$A593,Orders!$E$2:$E$20001,"Prepaid",Orders!$F$2:$F$20001,"RTO"))</f>
        <v/>
      </c>
      <c r="F593" s="17" t="str">
        <f aca="false">IF($A593="","",COUNTIFS(Orders!$C$2:$C$20001,$A593,Orders!$E$2:$E$20001,"Prepaid",Orders!$F$2:$F$20001,"RTO"))</f>
        <v/>
      </c>
      <c r="G593" s="18" t="str">
        <f aca="false">IF($A593="","",IFERROR(F593/E593,0))</f>
        <v/>
      </c>
      <c r="H593" s="19" t="str">
        <f aca="false">IF($A593="","",C593*Settings!$B$11)</f>
        <v/>
      </c>
      <c r="I593" s="20" t="str">
        <f aca="false">IF($A593="","",IF(N(H593)=0,"",RANK(H593,$H$5:$H$2004)))</f>
        <v/>
      </c>
      <c r="J593" s="21" t="str">
        <f aca="false">IF($A593="","",IF(B593=0,"No COD orders",IF(B593&lt;Settings!$B$8,"Too few orders",IF(D593&gt;=Settings!$B$9,"Restrict COD or verify","Keep COD"))))</f>
        <v/>
      </c>
    </row>
    <row r="594" customFormat="false" ht="15" hidden="false" customHeight="false" outlineLevel="0" collapsed="false">
      <c r="A594" s="27"/>
      <c r="B594" s="17" t="str">
        <f aca="false">IF($A594="","",COUNTIFS(Orders!$C$2:$C$20001,$A594,Orders!$E$2:$E$20001,"COD",Orders!$F$2:$F$20001,"Delivered")+COUNTIFS(Orders!$C$2:$C$20001,$A594,Orders!$E$2:$E$20001,"COD",Orders!$F$2:$F$20001,"RTO"))</f>
        <v/>
      </c>
      <c r="C594" s="17" t="str">
        <f aca="false">IF($A594="","",COUNTIFS(Orders!$C$2:$C$20001,$A594,Orders!$E$2:$E$20001,"COD",Orders!$F$2:$F$20001,"RTO"))</f>
        <v/>
      </c>
      <c r="D594" s="18" t="str">
        <f aca="false">IF($A594="","",IFERROR(C594/B594,0))</f>
        <v/>
      </c>
      <c r="E594" s="17" t="str">
        <f aca="false">IF($A594="","",COUNTIFS(Orders!$C$2:$C$20001,$A594,Orders!$E$2:$E$20001,"Prepaid",Orders!$F$2:$F$20001,"Delivered")+COUNTIFS(Orders!$C$2:$C$20001,$A594,Orders!$E$2:$E$20001,"Prepaid",Orders!$F$2:$F$20001,"RTO"))</f>
        <v/>
      </c>
      <c r="F594" s="17" t="str">
        <f aca="false">IF($A594="","",COUNTIFS(Orders!$C$2:$C$20001,$A594,Orders!$E$2:$E$20001,"Prepaid",Orders!$F$2:$F$20001,"RTO"))</f>
        <v/>
      </c>
      <c r="G594" s="18" t="str">
        <f aca="false">IF($A594="","",IFERROR(F594/E594,0))</f>
        <v/>
      </c>
      <c r="H594" s="19" t="str">
        <f aca="false">IF($A594="","",C594*Settings!$B$11)</f>
        <v/>
      </c>
      <c r="I594" s="20" t="str">
        <f aca="false">IF($A594="","",IF(N(H594)=0,"",RANK(H594,$H$5:$H$2004)))</f>
        <v/>
      </c>
      <c r="J594" s="21" t="str">
        <f aca="false">IF($A594="","",IF(B594=0,"No COD orders",IF(B594&lt;Settings!$B$8,"Too few orders",IF(D594&gt;=Settings!$B$9,"Restrict COD or verify","Keep COD"))))</f>
        <v/>
      </c>
    </row>
    <row r="595" customFormat="false" ht="15" hidden="false" customHeight="false" outlineLevel="0" collapsed="false">
      <c r="A595" s="27"/>
      <c r="B595" s="17" t="str">
        <f aca="false">IF($A595="","",COUNTIFS(Orders!$C$2:$C$20001,$A595,Orders!$E$2:$E$20001,"COD",Orders!$F$2:$F$20001,"Delivered")+COUNTIFS(Orders!$C$2:$C$20001,$A595,Orders!$E$2:$E$20001,"COD",Orders!$F$2:$F$20001,"RTO"))</f>
        <v/>
      </c>
      <c r="C595" s="17" t="str">
        <f aca="false">IF($A595="","",COUNTIFS(Orders!$C$2:$C$20001,$A595,Orders!$E$2:$E$20001,"COD",Orders!$F$2:$F$20001,"RTO"))</f>
        <v/>
      </c>
      <c r="D595" s="18" t="str">
        <f aca="false">IF($A595="","",IFERROR(C595/B595,0))</f>
        <v/>
      </c>
      <c r="E595" s="17" t="str">
        <f aca="false">IF($A595="","",COUNTIFS(Orders!$C$2:$C$20001,$A595,Orders!$E$2:$E$20001,"Prepaid",Orders!$F$2:$F$20001,"Delivered")+COUNTIFS(Orders!$C$2:$C$20001,$A595,Orders!$E$2:$E$20001,"Prepaid",Orders!$F$2:$F$20001,"RTO"))</f>
        <v/>
      </c>
      <c r="F595" s="17" t="str">
        <f aca="false">IF($A595="","",COUNTIFS(Orders!$C$2:$C$20001,$A595,Orders!$E$2:$E$20001,"Prepaid",Orders!$F$2:$F$20001,"RTO"))</f>
        <v/>
      </c>
      <c r="G595" s="18" t="str">
        <f aca="false">IF($A595="","",IFERROR(F595/E595,0))</f>
        <v/>
      </c>
      <c r="H595" s="19" t="str">
        <f aca="false">IF($A595="","",C595*Settings!$B$11)</f>
        <v/>
      </c>
      <c r="I595" s="20" t="str">
        <f aca="false">IF($A595="","",IF(N(H595)=0,"",RANK(H595,$H$5:$H$2004)))</f>
        <v/>
      </c>
      <c r="J595" s="21" t="str">
        <f aca="false">IF($A595="","",IF(B595=0,"No COD orders",IF(B595&lt;Settings!$B$8,"Too few orders",IF(D595&gt;=Settings!$B$9,"Restrict COD or verify","Keep COD"))))</f>
        <v/>
      </c>
    </row>
    <row r="596" customFormat="false" ht="15" hidden="false" customHeight="false" outlineLevel="0" collapsed="false">
      <c r="A596" s="27"/>
      <c r="B596" s="17" t="str">
        <f aca="false">IF($A596="","",COUNTIFS(Orders!$C$2:$C$20001,$A596,Orders!$E$2:$E$20001,"COD",Orders!$F$2:$F$20001,"Delivered")+COUNTIFS(Orders!$C$2:$C$20001,$A596,Orders!$E$2:$E$20001,"COD",Orders!$F$2:$F$20001,"RTO"))</f>
        <v/>
      </c>
      <c r="C596" s="17" t="str">
        <f aca="false">IF($A596="","",COUNTIFS(Orders!$C$2:$C$20001,$A596,Orders!$E$2:$E$20001,"COD",Orders!$F$2:$F$20001,"RTO"))</f>
        <v/>
      </c>
      <c r="D596" s="18" t="str">
        <f aca="false">IF($A596="","",IFERROR(C596/B596,0))</f>
        <v/>
      </c>
      <c r="E596" s="17" t="str">
        <f aca="false">IF($A596="","",COUNTIFS(Orders!$C$2:$C$20001,$A596,Orders!$E$2:$E$20001,"Prepaid",Orders!$F$2:$F$20001,"Delivered")+COUNTIFS(Orders!$C$2:$C$20001,$A596,Orders!$E$2:$E$20001,"Prepaid",Orders!$F$2:$F$20001,"RTO"))</f>
        <v/>
      </c>
      <c r="F596" s="17" t="str">
        <f aca="false">IF($A596="","",COUNTIFS(Orders!$C$2:$C$20001,$A596,Orders!$E$2:$E$20001,"Prepaid",Orders!$F$2:$F$20001,"RTO"))</f>
        <v/>
      </c>
      <c r="G596" s="18" t="str">
        <f aca="false">IF($A596="","",IFERROR(F596/E596,0))</f>
        <v/>
      </c>
      <c r="H596" s="19" t="str">
        <f aca="false">IF($A596="","",C596*Settings!$B$11)</f>
        <v/>
      </c>
      <c r="I596" s="20" t="str">
        <f aca="false">IF($A596="","",IF(N(H596)=0,"",RANK(H596,$H$5:$H$2004)))</f>
        <v/>
      </c>
      <c r="J596" s="21" t="str">
        <f aca="false">IF($A596="","",IF(B596=0,"No COD orders",IF(B596&lt;Settings!$B$8,"Too few orders",IF(D596&gt;=Settings!$B$9,"Restrict COD or verify","Keep COD"))))</f>
        <v/>
      </c>
    </row>
    <row r="597" customFormat="false" ht="15" hidden="false" customHeight="false" outlineLevel="0" collapsed="false">
      <c r="A597" s="27"/>
      <c r="B597" s="17" t="str">
        <f aca="false">IF($A597="","",COUNTIFS(Orders!$C$2:$C$20001,$A597,Orders!$E$2:$E$20001,"COD",Orders!$F$2:$F$20001,"Delivered")+COUNTIFS(Orders!$C$2:$C$20001,$A597,Orders!$E$2:$E$20001,"COD",Orders!$F$2:$F$20001,"RTO"))</f>
        <v/>
      </c>
      <c r="C597" s="17" t="str">
        <f aca="false">IF($A597="","",COUNTIFS(Orders!$C$2:$C$20001,$A597,Orders!$E$2:$E$20001,"COD",Orders!$F$2:$F$20001,"RTO"))</f>
        <v/>
      </c>
      <c r="D597" s="18" t="str">
        <f aca="false">IF($A597="","",IFERROR(C597/B597,0))</f>
        <v/>
      </c>
      <c r="E597" s="17" t="str">
        <f aca="false">IF($A597="","",COUNTIFS(Orders!$C$2:$C$20001,$A597,Orders!$E$2:$E$20001,"Prepaid",Orders!$F$2:$F$20001,"Delivered")+COUNTIFS(Orders!$C$2:$C$20001,$A597,Orders!$E$2:$E$20001,"Prepaid",Orders!$F$2:$F$20001,"RTO"))</f>
        <v/>
      </c>
      <c r="F597" s="17" t="str">
        <f aca="false">IF($A597="","",COUNTIFS(Orders!$C$2:$C$20001,$A597,Orders!$E$2:$E$20001,"Prepaid",Orders!$F$2:$F$20001,"RTO"))</f>
        <v/>
      </c>
      <c r="G597" s="18" t="str">
        <f aca="false">IF($A597="","",IFERROR(F597/E597,0))</f>
        <v/>
      </c>
      <c r="H597" s="19" t="str">
        <f aca="false">IF($A597="","",C597*Settings!$B$11)</f>
        <v/>
      </c>
      <c r="I597" s="20" t="str">
        <f aca="false">IF($A597="","",IF(N(H597)=0,"",RANK(H597,$H$5:$H$2004)))</f>
        <v/>
      </c>
      <c r="J597" s="21" t="str">
        <f aca="false">IF($A597="","",IF(B597=0,"No COD orders",IF(B597&lt;Settings!$B$8,"Too few orders",IF(D597&gt;=Settings!$B$9,"Restrict COD or verify","Keep COD"))))</f>
        <v/>
      </c>
    </row>
    <row r="598" customFormat="false" ht="15" hidden="false" customHeight="false" outlineLevel="0" collapsed="false">
      <c r="A598" s="27"/>
      <c r="B598" s="17" t="str">
        <f aca="false">IF($A598="","",COUNTIFS(Orders!$C$2:$C$20001,$A598,Orders!$E$2:$E$20001,"COD",Orders!$F$2:$F$20001,"Delivered")+COUNTIFS(Orders!$C$2:$C$20001,$A598,Orders!$E$2:$E$20001,"COD",Orders!$F$2:$F$20001,"RTO"))</f>
        <v/>
      </c>
      <c r="C598" s="17" t="str">
        <f aca="false">IF($A598="","",COUNTIFS(Orders!$C$2:$C$20001,$A598,Orders!$E$2:$E$20001,"COD",Orders!$F$2:$F$20001,"RTO"))</f>
        <v/>
      </c>
      <c r="D598" s="18" t="str">
        <f aca="false">IF($A598="","",IFERROR(C598/B598,0))</f>
        <v/>
      </c>
      <c r="E598" s="17" t="str">
        <f aca="false">IF($A598="","",COUNTIFS(Orders!$C$2:$C$20001,$A598,Orders!$E$2:$E$20001,"Prepaid",Orders!$F$2:$F$20001,"Delivered")+COUNTIFS(Orders!$C$2:$C$20001,$A598,Orders!$E$2:$E$20001,"Prepaid",Orders!$F$2:$F$20001,"RTO"))</f>
        <v/>
      </c>
      <c r="F598" s="17" t="str">
        <f aca="false">IF($A598="","",COUNTIFS(Orders!$C$2:$C$20001,$A598,Orders!$E$2:$E$20001,"Prepaid",Orders!$F$2:$F$20001,"RTO"))</f>
        <v/>
      </c>
      <c r="G598" s="18" t="str">
        <f aca="false">IF($A598="","",IFERROR(F598/E598,0))</f>
        <v/>
      </c>
      <c r="H598" s="19" t="str">
        <f aca="false">IF($A598="","",C598*Settings!$B$11)</f>
        <v/>
      </c>
      <c r="I598" s="20" t="str">
        <f aca="false">IF($A598="","",IF(N(H598)=0,"",RANK(H598,$H$5:$H$2004)))</f>
        <v/>
      </c>
      <c r="J598" s="21" t="str">
        <f aca="false">IF($A598="","",IF(B598=0,"No COD orders",IF(B598&lt;Settings!$B$8,"Too few orders",IF(D598&gt;=Settings!$B$9,"Restrict COD or verify","Keep COD"))))</f>
        <v/>
      </c>
    </row>
    <row r="599" customFormat="false" ht="15" hidden="false" customHeight="false" outlineLevel="0" collapsed="false">
      <c r="A599" s="27"/>
      <c r="B599" s="17" t="str">
        <f aca="false">IF($A599="","",COUNTIFS(Orders!$C$2:$C$20001,$A599,Orders!$E$2:$E$20001,"COD",Orders!$F$2:$F$20001,"Delivered")+COUNTIFS(Orders!$C$2:$C$20001,$A599,Orders!$E$2:$E$20001,"COD",Orders!$F$2:$F$20001,"RTO"))</f>
        <v/>
      </c>
      <c r="C599" s="17" t="str">
        <f aca="false">IF($A599="","",COUNTIFS(Orders!$C$2:$C$20001,$A599,Orders!$E$2:$E$20001,"COD",Orders!$F$2:$F$20001,"RTO"))</f>
        <v/>
      </c>
      <c r="D599" s="18" t="str">
        <f aca="false">IF($A599="","",IFERROR(C599/B599,0))</f>
        <v/>
      </c>
      <c r="E599" s="17" t="str">
        <f aca="false">IF($A599="","",COUNTIFS(Orders!$C$2:$C$20001,$A599,Orders!$E$2:$E$20001,"Prepaid",Orders!$F$2:$F$20001,"Delivered")+COUNTIFS(Orders!$C$2:$C$20001,$A599,Orders!$E$2:$E$20001,"Prepaid",Orders!$F$2:$F$20001,"RTO"))</f>
        <v/>
      </c>
      <c r="F599" s="17" t="str">
        <f aca="false">IF($A599="","",COUNTIFS(Orders!$C$2:$C$20001,$A599,Orders!$E$2:$E$20001,"Prepaid",Orders!$F$2:$F$20001,"RTO"))</f>
        <v/>
      </c>
      <c r="G599" s="18" t="str">
        <f aca="false">IF($A599="","",IFERROR(F599/E599,0))</f>
        <v/>
      </c>
      <c r="H599" s="19" t="str">
        <f aca="false">IF($A599="","",C599*Settings!$B$11)</f>
        <v/>
      </c>
      <c r="I599" s="20" t="str">
        <f aca="false">IF($A599="","",IF(N(H599)=0,"",RANK(H599,$H$5:$H$2004)))</f>
        <v/>
      </c>
      <c r="J599" s="21" t="str">
        <f aca="false">IF($A599="","",IF(B599=0,"No COD orders",IF(B599&lt;Settings!$B$8,"Too few orders",IF(D599&gt;=Settings!$B$9,"Restrict COD or verify","Keep COD"))))</f>
        <v/>
      </c>
    </row>
    <row r="600" customFormat="false" ht="15" hidden="false" customHeight="false" outlineLevel="0" collapsed="false">
      <c r="A600" s="27"/>
      <c r="B600" s="17" t="str">
        <f aca="false">IF($A600="","",COUNTIFS(Orders!$C$2:$C$20001,$A600,Orders!$E$2:$E$20001,"COD",Orders!$F$2:$F$20001,"Delivered")+COUNTIFS(Orders!$C$2:$C$20001,$A600,Orders!$E$2:$E$20001,"COD",Orders!$F$2:$F$20001,"RTO"))</f>
        <v/>
      </c>
      <c r="C600" s="17" t="str">
        <f aca="false">IF($A600="","",COUNTIFS(Orders!$C$2:$C$20001,$A600,Orders!$E$2:$E$20001,"COD",Orders!$F$2:$F$20001,"RTO"))</f>
        <v/>
      </c>
      <c r="D600" s="18" t="str">
        <f aca="false">IF($A600="","",IFERROR(C600/B600,0))</f>
        <v/>
      </c>
      <c r="E600" s="17" t="str">
        <f aca="false">IF($A600="","",COUNTIFS(Orders!$C$2:$C$20001,$A600,Orders!$E$2:$E$20001,"Prepaid",Orders!$F$2:$F$20001,"Delivered")+COUNTIFS(Orders!$C$2:$C$20001,$A600,Orders!$E$2:$E$20001,"Prepaid",Orders!$F$2:$F$20001,"RTO"))</f>
        <v/>
      </c>
      <c r="F600" s="17" t="str">
        <f aca="false">IF($A600="","",COUNTIFS(Orders!$C$2:$C$20001,$A600,Orders!$E$2:$E$20001,"Prepaid",Orders!$F$2:$F$20001,"RTO"))</f>
        <v/>
      </c>
      <c r="G600" s="18" t="str">
        <f aca="false">IF($A600="","",IFERROR(F600/E600,0))</f>
        <v/>
      </c>
      <c r="H600" s="19" t="str">
        <f aca="false">IF($A600="","",C600*Settings!$B$11)</f>
        <v/>
      </c>
      <c r="I600" s="20" t="str">
        <f aca="false">IF($A600="","",IF(N(H600)=0,"",RANK(H600,$H$5:$H$2004)))</f>
        <v/>
      </c>
      <c r="J600" s="21" t="str">
        <f aca="false">IF($A600="","",IF(B600=0,"No COD orders",IF(B600&lt;Settings!$B$8,"Too few orders",IF(D600&gt;=Settings!$B$9,"Restrict COD or verify","Keep COD"))))</f>
        <v/>
      </c>
    </row>
    <row r="601" customFormat="false" ht="15" hidden="false" customHeight="false" outlineLevel="0" collapsed="false">
      <c r="A601" s="27"/>
      <c r="B601" s="17" t="str">
        <f aca="false">IF($A601="","",COUNTIFS(Orders!$C$2:$C$20001,$A601,Orders!$E$2:$E$20001,"COD",Orders!$F$2:$F$20001,"Delivered")+COUNTIFS(Orders!$C$2:$C$20001,$A601,Orders!$E$2:$E$20001,"COD",Orders!$F$2:$F$20001,"RTO"))</f>
        <v/>
      </c>
      <c r="C601" s="17" t="str">
        <f aca="false">IF($A601="","",COUNTIFS(Orders!$C$2:$C$20001,$A601,Orders!$E$2:$E$20001,"COD",Orders!$F$2:$F$20001,"RTO"))</f>
        <v/>
      </c>
      <c r="D601" s="18" t="str">
        <f aca="false">IF($A601="","",IFERROR(C601/B601,0))</f>
        <v/>
      </c>
      <c r="E601" s="17" t="str">
        <f aca="false">IF($A601="","",COUNTIFS(Orders!$C$2:$C$20001,$A601,Orders!$E$2:$E$20001,"Prepaid",Orders!$F$2:$F$20001,"Delivered")+COUNTIFS(Orders!$C$2:$C$20001,$A601,Orders!$E$2:$E$20001,"Prepaid",Orders!$F$2:$F$20001,"RTO"))</f>
        <v/>
      </c>
      <c r="F601" s="17" t="str">
        <f aca="false">IF($A601="","",COUNTIFS(Orders!$C$2:$C$20001,$A601,Orders!$E$2:$E$20001,"Prepaid",Orders!$F$2:$F$20001,"RTO"))</f>
        <v/>
      </c>
      <c r="G601" s="18" t="str">
        <f aca="false">IF($A601="","",IFERROR(F601/E601,0))</f>
        <v/>
      </c>
      <c r="H601" s="19" t="str">
        <f aca="false">IF($A601="","",C601*Settings!$B$11)</f>
        <v/>
      </c>
      <c r="I601" s="20" t="str">
        <f aca="false">IF($A601="","",IF(N(H601)=0,"",RANK(H601,$H$5:$H$2004)))</f>
        <v/>
      </c>
      <c r="J601" s="21" t="str">
        <f aca="false">IF($A601="","",IF(B601=0,"No COD orders",IF(B601&lt;Settings!$B$8,"Too few orders",IF(D601&gt;=Settings!$B$9,"Restrict COD or verify","Keep COD"))))</f>
        <v/>
      </c>
    </row>
    <row r="602" customFormat="false" ht="15" hidden="false" customHeight="false" outlineLevel="0" collapsed="false">
      <c r="A602" s="27"/>
      <c r="B602" s="17" t="str">
        <f aca="false">IF($A602="","",COUNTIFS(Orders!$C$2:$C$20001,$A602,Orders!$E$2:$E$20001,"COD",Orders!$F$2:$F$20001,"Delivered")+COUNTIFS(Orders!$C$2:$C$20001,$A602,Orders!$E$2:$E$20001,"COD",Orders!$F$2:$F$20001,"RTO"))</f>
        <v/>
      </c>
      <c r="C602" s="17" t="str">
        <f aca="false">IF($A602="","",COUNTIFS(Orders!$C$2:$C$20001,$A602,Orders!$E$2:$E$20001,"COD",Orders!$F$2:$F$20001,"RTO"))</f>
        <v/>
      </c>
      <c r="D602" s="18" t="str">
        <f aca="false">IF($A602="","",IFERROR(C602/B602,0))</f>
        <v/>
      </c>
      <c r="E602" s="17" t="str">
        <f aca="false">IF($A602="","",COUNTIFS(Orders!$C$2:$C$20001,$A602,Orders!$E$2:$E$20001,"Prepaid",Orders!$F$2:$F$20001,"Delivered")+COUNTIFS(Orders!$C$2:$C$20001,$A602,Orders!$E$2:$E$20001,"Prepaid",Orders!$F$2:$F$20001,"RTO"))</f>
        <v/>
      </c>
      <c r="F602" s="17" t="str">
        <f aca="false">IF($A602="","",COUNTIFS(Orders!$C$2:$C$20001,$A602,Orders!$E$2:$E$20001,"Prepaid",Orders!$F$2:$F$20001,"RTO"))</f>
        <v/>
      </c>
      <c r="G602" s="18" t="str">
        <f aca="false">IF($A602="","",IFERROR(F602/E602,0))</f>
        <v/>
      </c>
      <c r="H602" s="19" t="str">
        <f aca="false">IF($A602="","",C602*Settings!$B$11)</f>
        <v/>
      </c>
      <c r="I602" s="20" t="str">
        <f aca="false">IF($A602="","",IF(N(H602)=0,"",RANK(H602,$H$5:$H$2004)))</f>
        <v/>
      </c>
      <c r="J602" s="21" t="str">
        <f aca="false">IF($A602="","",IF(B602=0,"No COD orders",IF(B602&lt;Settings!$B$8,"Too few orders",IF(D602&gt;=Settings!$B$9,"Restrict COD or verify","Keep COD"))))</f>
        <v/>
      </c>
    </row>
    <row r="603" customFormat="false" ht="15" hidden="false" customHeight="false" outlineLevel="0" collapsed="false">
      <c r="A603" s="27"/>
      <c r="B603" s="17" t="str">
        <f aca="false">IF($A603="","",COUNTIFS(Orders!$C$2:$C$20001,$A603,Orders!$E$2:$E$20001,"COD",Orders!$F$2:$F$20001,"Delivered")+COUNTIFS(Orders!$C$2:$C$20001,$A603,Orders!$E$2:$E$20001,"COD",Orders!$F$2:$F$20001,"RTO"))</f>
        <v/>
      </c>
      <c r="C603" s="17" t="str">
        <f aca="false">IF($A603="","",COUNTIFS(Orders!$C$2:$C$20001,$A603,Orders!$E$2:$E$20001,"COD",Orders!$F$2:$F$20001,"RTO"))</f>
        <v/>
      </c>
      <c r="D603" s="18" t="str">
        <f aca="false">IF($A603="","",IFERROR(C603/B603,0))</f>
        <v/>
      </c>
      <c r="E603" s="17" t="str">
        <f aca="false">IF($A603="","",COUNTIFS(Orders!$C$2:$C$20001,$A603,Orders!$E$2:$E$20001,"Prepaid",Orders!$F$2:$F$20001,"Delivered")+COUNTIFS(Orders!$C$2:$C$20001,$A603,Orders!$E$2:$E$20001,"Prepaid",Orders!$F$2:$F$20001,"RTO"))</f>
        <v/>
      </c>
      <c r="F603" s="17" t="str">
        <f aca="false">IF($A603="","",COUNTIFS(Orders!$C$2:$C$20001,$A603,Orders!$E$2:$E$20001,"Prepaid",Orders!$F$2:$F$20001,"RTO"))</f>
        <v/>
      </c>
      <c r="G603" s="18" t="str">
        <f aca="false">IF($A603="","",IFERROR(F603/E603,0))</f>
        <v/>
      </c>
      <c r="H603" s="19" t="str">
        <f aca="false">IF($A603="","",C603*Settings!$B$11)</f>
        <v/>
      </c>
      <c r="I603" s="20" t="str">
        <f aca="false">IF($A603="","",IF(N(H603)=0,"",RANK(H603,$H$5:$H$2004)))</f>
        <v/>
      </c>
      <c r="J603" s="21" t="str">
        <f aca="false">IF($A603="","",IF(B603=0,"No COD orders",IF(B603&lt;Settings!$B$8,"Too few orders",IF(D603&gt;=Settings!$B$9,"Restrict COD or verify","Keep COD"))))</f>
        <v/>
      </c>
    </row>
    <row r="604" customFormat="false" ht="15" hidden="false" customHeight="false" outlineLevel="0" collapsed="false">
      <c r="A604" s="27"/>
      <c r="B604" s="17" t="str">
        <f aca="false">IF($A604="","",COUNTIFS(Orders!$C$2:$C$20001,$A604,Orders!$E$2:$E$20001,"COD",Orders!$F$2:$F$20001,"Delivered")+COUNTIFS(Orders!$C$2:$C$20001,$A604,Orders!$E$2:$E$20001,"COD",Orders!$F$2:$F$20001,"RTO"))</f>
        <v/>
      </c>
      <c r="C604" s="17" t="str">
        <f aca="false">IF($A604="","",COUNTIFS(Orders!$C$2:$C$20001,$A604,Orders!$E$2:$E$20001,"COD",Orders!$F$2:$F$20001,"RTO"))</f>
        <v/>
      </c>
      <c r="D604" s="18" t="str">
        <f aca="false">IF($A604="","",IFERROR(C604/B604,0))</f>
        <v/>
      </c>
      <c r="E604" s="17" t="str">
        <f aca="false">IF($A604="","",COUNTIFS(Orders!$C$2:$C$20001,$A604,Orders!$E$2:$E$20001,"Prepaid",Orders!$F$2:$F$20001,"Delivered")+COUNTIFS(Orders!$C$2:$C$20001,$A604,Orders!$E$2:$E$20001,"Prepaid",Orders!$F$2:$F$20001,"RTO"))</f>
        <v/>
      </c>
      <c r="F604" s="17" t="str">
        <f aca="false">IF($A604="","",COUNTIFS(Orders!$C$2:$C$20001,$A604,Orders!$E$2:$E$20001,"Prepaid",Orders!$F$2:$F$20001,"RTO"))</f>
        <v/>
      </c>
      <c r="G604" s="18" t="str">
        <f aca="false">IF($A604="","",IFERROR(F604/E604,0))</f>
        <v/>
      </c>
      <c r="H604" s="19" t="str">
        <f aca="false">IF($A604="","",C604*Settings!$B$11)</f>
        <v/>
      </c>
      <c r="I604" s="20" t="str">
        <f aca="false">IF($A604="","",IF(N(H604)=0,"",RANK(H604,$H$5:$H$2004)))</f>
        <v/>
      </c>
      <c r="J604" s="21" t="str">
        <f aca="false">IF($A604="","",IF(B604=0,"No COD orders",IF(B604&lt;Settings!$B$8,"Too few orders",IF(D604&gt;=Settings!$B$9,"Restrict COD or verify","Keep COD"))))</f>
        <v/>
      </c>
    </row>
    <row r="605" customFormat="false" ht="15" hidden="false" customHeight="false" outlineLevel="0" collapsed="false">
      <c r="A605" s="27"/>
      <c r="B605" s="17" t="str">
        <f aca="false">IF($A605="","",COUNTIFS(Orders!$C$2:$C$20001,$A605,Orders!$E$2:$E$20001,"COD",Orders!$F$2:$F$20001,"Delivered")+COUNTIFS(Orders!$C$2:$C$20001,$A605,Orders!$E$2:$E$20001,"COD",Orders!$F$2:$F$20001,"RTO"))</f>
        <v/>
      </c>
      <c r="C605" s="17" t="str">
        <f aca="false">IF($A605="","",COUNTIFS(Orders!$C$2:$C$20001,$A605,Orders!$E$2:$E$20001,"COD",Orders!$F$2:$F$20001,"RTO"))</f>
        <v/>
      </c>
      <c r="D605" s="18" t="str">
        <f aca="false">IF($A605="","",IFERROR(C605/B605,0))</f>
        <v/>
      </c>
      <c r="E605" s="17" t="str">
        <f aca="false">IF($A605="","",COUNTIFS(Orders!$C$2:$C$20001,$A605,Orders!$E$2:$E$20001,"Prepaid",Orders!$F$2:$F$20001,"Delivered")+COUNTIFS(Orders!$C$2:$C$20001,$A605,Orders!$E$2:$E$20001,"Prepaid",Orders!$F$2:$F$20001,"RTO"))</f>
        <v/>
      </c>
      <c r="F605" s="17" t="str">
        <f aca="false">IF($A605="","",COUNTIFS(Orders!$C$2:$C$20001,$A605,Orders!$E$2:$E$20001,"Prepaid",Orders!$F$2:$F$20001,"RTO"))</f>
        <v/>
      </c>
      <c r="G605" s="18" t="str">
        <f aca="false">IF($A605="","",IFERROR(F605/E605,0))</f>
        <v/>
      </c>
      <c r="H605" s="19" t="str">
        <f aca="false">IF($A605="","",C605*Settings!$B$11)</f>
        <v/>
      </c>
      <c r="I605" s="20" t="str">
        <f aca="false">IF($A605="","",IF(N(H605)=0,"",RANK(H605,$H$5:$H$2004)))</f>
        <v/>
      </c>
      <c r="J605" s="21" t="str">
        <f aca="false">IF($A605="","",IF(B605=0,"No COD orders",IF(B605&lt;Settings!$B$8,"Too few orders",IF(D605&gt;=Settings!$B$9,"Restrict COD or verify","Keep COD"))))</f>
        <v/>
      </c>
    </row>
    <row r="606" customFormat="false" ht="15" hidden="false" customHeight="false" outlineLevel="0" collapsed="false">
      <c r="A606" s="27"/>
      <c r="B606" s="17" t="str">
        <f aca="false">IF($A606="","",COUNTIFS(Orders!$C$2:$C$20001,$A606,Orders!$E$2:$E$20001,"COD",Orders!$F$2:$F$20001,"Delivered")+COUNTIFS(Orders!$C$2:$C$20001,$A606,Orders!$E$2:$E$20001,"COD",Orders!$F$2:$F$20001,"RTO"))</f>
        <v/>
      </c>
      <c r="C606" s="17" t="str">
        <f aca="false">IF($A606="","",COUNTIFS(Orders!$C$2:$C$20001,$A606,Orders!$E$2:$E$20001,"COD",Orders!$F$2:$F$20001,"RTO"))</f>
        <v/>
      </c>
      <c r="D606" s="18" t="str">
        <f aca="false">IF($A606="","",IFERROR(C606/B606,0))</f>
        <v/>
      </c>
      <c r="E606" s="17" t="str">
        <f aca="false">IF($A606="","",COUNTIFS(Orders!$C$2:$C$20001,$A606,Orders!$E$2:$E$20001,"Prepaid",Orders!$F$2:$F$20001,"Delivered")+COUNTIFS(Orders!$C$2:$C$20001,$A606,Orders!$E$2:$E$20001,"Prepaid",Orders!$F$2:$F$20001,"RTO"))</f>
        <v/>
      </c>
      <c r="F606" s="17" t="str">
        <f aca="false">IF($A606="","",COUNTIFS(Orders!$C$2:$C$20001,$A606,Orders!$E$2:$E$20001,"Prepaid",Orders!$F$2:$F$20001,"RTO"))</f>
        <v/>
      </c>
      <c r="G606" s="18" t="str">
        <f aca="false">IF($A606="","",IFERROR(F606/E606,0))</f>
        <v/>
      </c>
      <c r="H606" s="19" t="str">
        <f aca="false">IF($A606="","",C606*Settings!$B$11)</f>
        <v/>
      </c>
      <c r="I606" s="20" t="str">
        <f aca="false">IF($A606="","",IF(N(H606)=0,"",RANK(H606,$H$5:$H$2004)))</f>
        <v/>
      </c>
      <c r="J606" s="21" t="str">
        <f aca="false">IF($A606="","",IF(B606=0,"No COD orders",IF(B606&lt;Settings!$B$8,"Too few orders",IF(D606&gt;=Settings!$B$9,"Restrict COD or verify","Keep COD"))))</f>
        <v/>
      </c>
    </row>
    <row r="607" customFormat="false" ht="15" hidden="false" customHeight="false" outlineLevel="0" collapsed="false">
      <c r="A607" s="27"/>
      <c r="B607" s="17" t="str">
        <f aca="false">IF($A607="","",COUNTIFS(Orders!$C$2:$C$20001,$A607,Orders!$E$2:$E$20001,"COD",Orders!$F$2:$F$20001,"Delivered")+COUNTIFS(Orders!$C$2:$C$20001,$A607,Orders!$E$2:$E$20001,"COD",Orders!$F$2:$F$20001,"RTO"))</f>
        <v/>
      </c>
      <c r="C607" s="17" t="str">
        <f aca="false">IF($A607="","",COUNTIFS(Orders!$C$2:$C$20001,$A607,Orders!$E$2:$E$20001,"COD",Orders!$F$2:$F$20001,"RTO"))</f>
        <v/>
      </c>
      <c r="D607" s="18" t="str">
        <f aca="false">IF($A607="","",IFERROR(C607/B607,0))</f>
        <v/>
      </c>
      <c r="E607" s="17" t="str">
        <f aca="false">IF($A607="","",COUNTIFS(Orders!$C$2:$C$20001,$A607,Orders!$E$2:$E$20001,"Prepaid",Orders!$F$2:$F$20001,"Delivered")+COUNTIFS(Orders!$C$2:$C$20001,$A607,Orders!$E$2:$E$20001,"Prepaid",Orders!$F$2:$F$20001,"RTO"))</f>
        <v/>
      </c>
      <c r="F607" s="17" t="str">
        <f aca="false">IF($A607="","",COUNTIFS(Orders!$C$2:$C$20001,$A607,Orders!$E$2:$E$20001,"Prepaid",Orders!$F$2:$F$20001,"RTO"))</f>
        <v/>
      </c>
      <c r="G607" s="18" t="str">
        <f aca="false">IF($A607="","",IFERROR(F607/E607,0))</f>
        <v/>
      </c>
      <c r="H607" s="19" t="str">
        <f aca="false">IF($A607="","",C607*Settings!$B$11)</f>
        <v/>
      </c>
      <c r="I607" s="20" t="str">
        <f aca="false">IF($A607="","",IF(N(H607)=0,"",RANK(H607,$H$5:$H$2004)))</f>
        <v/>
      </c>
      <c r="J607" s="21" t="str">
        <f aca="false">IF($A607="","",IF(B607=0,"No COD orders",IF(B607&lt;Settings!$B$8,"Too few orders",IF(D607&gt;=Settings!$B$9,"Restrict COD or verify","Keep COD"))))</f>
        <v/>
      </c>
    </row>
    <row r="608" customFormat="false" ht="15" hidden="false" customHeight="false" outlineLevel="0" collapsed="false">
      <c r="A608" s="27"/>
      <c r="B608" s="17" t="str">
        <f aca="false">IF($A608="","",COUNTIFS(Orders!$C$2:$C$20001,$A608,Orders!$E$2:$E$20001,"COD",Orders!$F$2:$F$20001,"Delivered")+COUNTIFS(Orders!$C$2:$C$20001,$A608,Orders!$E$2:$E$20001,"COD",Orders!$F$2:$F$20001,"RTO"))</f>
        <v/>
      </c>
      <c r="C608" s="17" t="str">
        <f aca="false">IF($A608="","",COUNTIFS(Orders!$C$2:$C$20001,$A608,Orders!$E$2:$E$20001,"COD",Orders!$F$2:$F$20001,"RTO"))</f>
        <v/>
      </c>
      <c r="D608" s="18" t="str">
        <f aca="false">IF($A608="","",IFERROR(C608/B608,0))</f>
        <v/>
      </c>
      <c r="E608" s="17" t="str">
        <f aca="false">IF($A608="","",COUNTIFS(Orders!$C$2:$C$20001,$A608,Orders!$E$2:$E$20001,"Prepaid",Orders!$F$2:$F$20001,"Delivered")+COUNTIFS(Orders!$C$2:$C$20001,$A608,Orders!$E$2:$E$20001,"Prepaid",Orders!$F$2:$F$20001,"RTO"))</f>
        <v/>
      </c>
      <c r="F608" s="17" t="str">
        <f aca="false">IF($A608="","",COUNTIFS(Orders!$C$2:$C$20001,$A608,Orders!$E$2:$E$20001,"Prepaid",Orders!$F$2:$F$20001,"RTO"))</f>
        <v/>
      </c>
      <c r="G608" s="18" t="str">
        <f aca="false">IF($A608="","",IFERROR(F608/E608,0))</f>
        <v/>
      </c>
      <c r="H608" s="19" t="str">
        <f aca="false">IF($A608="","",C608*Settings!$B$11)</f>
        <v/>
      </c>
      <c r="I608" s="20" t="str">
        <f aca="false">IF($A608="","",IF(N(H608)=0,"",RANK(H608,$H$5:$H$2004)))</f>
        <v/>
      </c>
      <c r="J608" s="21" t="str">
        <f aca="false">IF($A608="","",IF(B608=0,"No COD orders",IF(B608&lt;Settings!$B$8,"Too few orders",IF(D608&gt;=Settings!$B$9,"Restrict COD or verify","Keep COD"))))</f>
        <v/>
      </c>
    </row>
    <row r="609" customFormat="false" ht="15" hidden="false" customHeight="false" outlineLevel="0" collapsed="false">
      <c r="A609" s="27"/>
      <c r="B609" s="17" t="str">
        <f aca="false">IF($A609="","",COUNTIFS(Orders!$C$2:$C$20001,$A609,Orders!$E$2:$E$20001,"COD",Orders!$F$2:$F$20001,"Delivered")+COUNTIFS(Orders!$C$2:$C$20001,$A609,Orders!$E$2:$E$20001,"COD",Orders!$F$2:$F$20001,"RTO"))</f>
        <v/>
      </c>
      <c r="C609" s="17" t="str">
        <f aca="false">IF($A609="","",COUNTIFS(Orders!$C$2:$C$20001,$A609,Orders!$E$2:$E$20001,"COD",Orders!$F$2:$F$20001,"RTO"))</f>
        <v/>
      </c>
      <c r="D609" s="18" t="str">
        <f aca="false">IF($A609="","",IFERROR(C609/B609,0))</f>
        <v/>
      </c>
      <c r="E609" s="17" t="str">
        <f aca="false">IF($A609="","",COUNTIFS(Orders!$C$2:$C$20001,$A609,Orders!$E$2:$E$20001,"Prepaid",Orders!$F$2:$F$20001,"Delivered")+COUNTIFS(Orders!$C$2:$C$20001,$A609,Orders!$E$2:$E$20001,"Prepaid",Orders!$F$2:$F$20001,"RTO"))</f>
        <v/>
      </c>
      <c r="F609" s="17" t="str">
        <f aca="false">IF($A609="","",COUNTIFS(Orders!$C$2:$C$20001,$A609,Orders!$E$2:$E$20001,"Prepaid",Orders!$F$2:$F$20001,"RTO"))</f>
        <v/>
      </c>
      <c r="G609" s="18" t="str">
        <f aca="false">IF($A609="","",IFERROR(F609/E609,0))</f>
        <v/>
      </c>
      <c r="H609" s="19" t="str">
        <f aca="false">IF($A609="","",C609*Settings!$B$11)</f>
        <v/>
      </c>
      <c r="I609" s="20" t="str">
        <f aca="false">IF($A609="","",IF(N(H609)=0,"",RANK(H609,$H$5:$H$2004)))</f>
        <v/>
      </c>
      <c r="J609" s="21" t="str">
        <f aca="false">IF($A609="","",IF(B609=0,"No COD orders",IF(B609&lt;Settings!$B$8,"Too few orders",IF(D609&gt;=Settings!$B$9,"Restrict COD or verify","Keep COD"))))</f>
        <v/>
      </c>
    </row>
    <row r="610" customFormat="false" ht="15" hidden="false" customHeight="false" outlineLevel="0" collapsed="false">
      <c r="A610" s="27"/>
      <c r="B610" s="17" t="str">
        <f aca="false">IF($A610="","",COUNTIFS(Orders!$C$2:$C$20001,$A610,Orders!$E$2:$E$20001,"COD",Orders!$F$2:$F$20001,"Delivered")+COUNTIFS(Orders!$C$2:$C$20001,$A610,Orders!$E$2:$E$20001,"COD",Orders!$F$2:$F$20001,"RTO"))</f>
        <v/>
      </c>
      <c r="C610" s="17" t="str">
        <f aca="false">IF($A610="","",COUNTIFS(Orders!$C$2:$C$20001,$A610,Orders!$E$2:$E$20001,"COD",Orders!$F$2:$F$20001,"RTO"))</f>
        <v/>
      </c>
      <c r="D610" s="18" t="str">
        <f aca="false">IF($A610="","",IFERROR(C610/B610,0))</f>
        <v/>
      </c>
      <c r="E610" s="17" t="str">
        <f aca="false">IF($A610="","",COUNTIFS(Orders!$C$2:$C$20001,$A610,Orders!$E$2:$E$20001,"Prepaid",Orders!$F$2:$F$20001,"Delivered")+COUNTIFS(Orders!$C$2:$C$20001,$A610,Orders!$E$2:$E$20001,"Prepaid",Orders!$F$2:$F$20001,"RTO"))</f>
        <v/>
      </c>
      <c r="F610" s="17" t="str">
        <f aca="false">IF($A610="","",COUNTIFS(Orders!$C$2:$C$20001,$A610,Orders!$E$2:$E$20001,"Prepaid",Orders!$F$2:$F$20001,"RTO"))</f>
        <v/>
      </c>
      <c r="G610" s="18" t="str">
        <f aca="false">IF($A610="","",IFERROR(F610/E610,0))</f>
        <v/>
      </c>
      <c r="H610" s="19" t="str">
        <f aca="false">IF($A610="","",C610*Settings!$B$11)</f>
        <v/>
      </c>
      <c r="I610" s="20" t="str">
        <f aca="false">IF($A610="","",IF(N(H610)=0,"",RANK(H610,$H$5:$H$2004)))</f>
        <v/>
      </c>
      <c r="J610" s="21" t="str">
        <f aca="false">IF($A610="","",IF(B610=0,"No COD orders",IF(B610&lt;Settings!$B$8,"Too few orders",IF(D610&gt;=Settings!$B$9,"Restrict COD or verify","Keep COD"))))</f>
        <v/>
      </c>
    </row>
    <row r="611" customFormat="false" ht="15" hidden="false" customHeight="false" outlineLevel="0" collapsed="false">
      <c r="A611" s="27"/>
      <c r="B611" s="17" t="str">
        <f aca="false">IF($A611="","",COUNTIFS(Orders!$C$2:$C$20001,$A611,Orders!$E$2:$E$20001,"COD",Orders!$F$2:$F$20001,"Delivered")+COUNTIFS(Orders!$C$2:$C$20001,$A611,Orders!$E$2:$E$20001,"COD",Orders!$F$2:$F$20001,"RTO"))</f>
        <v/>
      </c>
      <c r="C611" s="17" t="str">
        <f aca="false">IF($A611="","",COUNTIFS(Orders!$C$2:$C$20001,$A611,Orders!$E$2:$E$20001,"COD",Orders!$F$2:$F$20001,"RTO"))</f>
        <v/>
      </c>
      <c r="D611" s="18" t="str">
        <f aca="false">IF($A611="","",IFERROR(C611/B611,0))</f>
        <v/>
      </c>
      <c r="E611" s="17" t="str">
        <f aca="false">IF($A611="","",COUNTIFS(Orders!$C$2:$C$20001,$A611,Orders!$E$2:$E$20001,"Prepaid",Orders!$F$2:$F$20001,"Delivered")+COUNTIFS(Orders!$C$2:$C$20001,$A611,Orders!$E$2:$E$20001,"Prepaid",Orders!$F$2:$F$20001,"RTO"))</f>
        <v/>
      </c>
      <c r="F611" s="17" t="str">
        <f aca="false">IF($A611="","",COUNTIFS(Orders!$C$2:$C$20001,$A611,Orders!$E$2:$E$20001,"Prepaid",Orders!$F$2:$F$20001,"RTO"))</f>
        <v/>
      </c>
      <c r="G611" s="18" t="str">
        <f aca="false">IF($A611="","",IFERROR(F611/E611,0))</f>
        <v/>
      </c>
      <c r="H611" s="19" t="str">
        <f aca="false">IF($A611="","",C611*Settings!$B$11)</f>
        <v/>
      </c>
      <c r="I611" s="20" t="str">
        <f aca="false">IF($A611="","",IF(N(H611)=0,"",RANK(H611,$H$5:$H$2004)))</f>
        <v/>
      </c>
      <c r="J611" s="21" t="str">
        <f aca="false">IF($A611="","",IF(B611=0,"No COD orders",IF(B611&lt;Settings!$B$8,"Too few orders",IF(D611&gt;=Settings!$B$9,"Restrict COD or verify","Keep COD"))))</f>
        <v/>
      </c>
    </row>
    <row r="612" customFormat="false" ht="15" hidden="false" customHeight="false" outlineLevel="0" collapsed="false">
      <c r="A612" s="27"/>
      <c r="B612" s="17" t="str">
        <f aca="false">IF($A612="","",COUNTIFS(Orders!$C$2:$C$20001,$A612,Orders!$E$2:$E$20001,"COD",Orders!$F$2:$F$20001,"Delivered")+COUNTIFS(Orders!$C$2:$C$20001,$A612,Orders!$E$2:$E$20001,"COD",Orders!$F$2:$F$20001,"RTO"))</f>
        <v/>
      </c>
      <c r="C612" s="17" t="str">
        <f aca="false">IF($A612="","",COUNTIFS(Orders!$C$2:$C$20001,$A612,Orders!$E$2:$E$20001,"COD",Orders!$F$2:$F$20001,"RTO"))</f>
        <v/>
      </c>
      <c r="D612" s="18" t="str">
        <f aca="false">IF($A612="","",IFERROR(C612/B612,0))</f>
        <v/>
      </c>
      <c r="E612" s="17" t="str">
        <f aca="false">IF($A612="","",COUNTIFS(Orders!$C$2:$C$20001,$A612,Orders!$E$2:$E$20001,"Prepaid",Orders!$F$2:$F$20001,"Delivered")+COUNTIFS(Orders!$C$2:$C$20001,$A612,Orders!$E$2:$E$20001,"Prepaid",Orders!$F$2:$F$20001,"RTO"))</f>
        <v/>
      </c>
      <c r="F612" s="17" t="str">
        <f aca="false">IF($A612="","",COUNTIFS(Orders!$C$2:$C$20001,$A612,Orders!$E$2:$E$20001,"Prepaid",Orders!$F$2:$F$20001,"RTO"))</f>
        <v/>
      </c>
      <c r="G612" s="18" t="str">
        <f aca="false">IF($A612="","",IFERROR(F612/E612,0))</f>
        <v/>
      </c>
      <c r="H612" s="19" t="str">
        <f aca="false">IF($A612="","",C612*Settings!$B$11)</f>
        <v/>
      </c>
      <c r="I612" s="20" t="str">
        <f aca="false">IF($A612="","",IF(N(H612)=0,"",RANK(H612,$H$5:$H$2004)))</f>
        <v/>
      </c>
      <c r="J612" s="21" t="str">
        <f aca="false">IF($A612="","",IF(B612=0,"No COD orders",IF(B612&lt;Settings!$B$8,"Too few orders",IF(D612&gt;=Settings!$B$9,"Restrict COD or verify","Keep COD"))))</f>
        <v/>
      </c>
    </row>
    <row r="613" customFormat="false" ht="15" hidden="false" customHeight="false" outlineLevel="0" collapsed="false">
      <c r="A613" s="27"/>
      <c r="B613" s="17" t="str">
        <f aca="false">IF($A613="","",COUNTIFS(Orders!$C$2:$C$20001,$A613,Orders!$E$2:$E$20001,"COD",Orders!$F$2:$F$20001,"Delivered")+COUNTIFS(Orders!$C$2:$C$20001,$A613,Orders!$E$2:$E$20001,"COD",Orders!$F$2:$F$20001,"RTO"))</f>
        <v/>
      </c>
      <c r="C613" s="17" t="str">
        <f aca="false">IF($A613="","",COUNTIFS(Orders!$C$2:$C$20001,$A613,Orders!$E$2:$E$20001,"COD",Orders!$F$2:$F$20001,"RTO"))</f>
        <v/>
      </c>
      <c r="D613" s="18" t="str">
        <f aca="false">IF($A613="","",IFERROR(C613/B613,0))</f>
        <v/>
      </c>
      <c r="E613" s="17" t="str">
        <f aca="false">IF($A613="","",COUNTIFS(Orders!$C$2:$C$20001,$A613,Orders!$E$2:$E$20001,"Prepaid",Orders!$F$2:$F$20001,"Delivered")+COUNTIFS(Orders!$C$2:$C$20001,$A613,Orders!$E$2:$E$20001,"Prepaid",Orders!$F$2:$F$20001,"RTO"))</f>
        <v/>
      </c>
      <c r="F613" s="17" t="str">
        <f aca="false">IF($A613="","",COUNTIFS(Orders!$C$2:$C$20001,$A613,Orders!$E$2:$E$20001,"Prepaid",Orders!$F$2:$F$20001,"RTO"))</f>
        <v/>
      </c>
      <c r="G613" s="18" t="str">
        <f aca="false">IF($A613="","",IFERROR(F613/E613,0))</f>
        <v/>
      </c>
      <c r="H613" s="19" t="str">
        <f aca="false">IF($A613="","",C613*Settings!$B$11)</f>
        <v/>
      </c>
      <c r="I613" s="20" t="str">
        <f aca="false">IF($A613="","",IF(N(H613)=0,"",RANK(H613,$H$5:$H$2004)))</f>
        <v/>
      </c>
      <c r="J613" s="21" t="str">
        <f aca="false">IF($A613="","",IF(B613=0,"No COD orders",IF(B613&lt;Settings!$B$8,"Too few orders",IF(D613&gt;=Settings!$B$9,"Restrict COD or verify","Keep COD"))))</f>
        <v/>
      </c>
    </row>
    <row r="614" customFormat="false" ht="15" hidden="false" customHeight="false" outlineLevel="0" collapsed="false">
      <c r="A614" s="27"/>
      <c r="B614" s="17" t="str">
        <f aca="false">IF($A614="","",COUNTIFS(Orders!$C$2:$C$20001,$A614,Orders!$E$2:$E$20001,"COD",Orders!$F$2:$F$20001,"Delivered")+COUNTIFS(Orders!$C$2:$C$20001,$A614,Orders!$E$2:$E$20001,"COD",Orders!$F$2:$F$20001,"RTO"))</f>
        <v/>
      </c>
      <c r="C614" s="17" t="str">
        <f aca="false">IF($A614="","",COUNTIFS(Orders!$C$2:$C$20001,$A614,Orders!$E$2:$E$20001,"COD",Orders!$F$2:$F$20001,"RTO"))</f>
        <v/>
      </c>
      <c r="D614" s="18" t="str">
        <f aca="false">IF($A614="","",IFERROR(C614/B614,0))</f>
        <v/>
      </c>
      <c r="E614" s="17" t="str">
        <f aca="false">IF($A614="","",COUNTIFS(Orders!$C$2:$C$20001,$A614,Orders!$E$2:$E$20001,"Prepaid",Orders!$F$2:$F$20001,"Delivered")+COUNTIFS(Orders!$C$2:$C$20001,$A614,Orders!$E$2:$E$20001,"Prepaid",Orders!$F$2:$F$20001,"RTO"))</f>
        <v/>
      </c>
      <c r="F614" s="17" t="str">
        <f aca="false">IF($A614="","",COUNTIFS(Orders!$C$2:$C$20001,$A614,Orders!$E$2:$E$20001,"Prepaid",Orders!$F$2:$F$20001,"RTO"))</f>
        <v/>
      </c>
      <c r="G614" s="18" t="str">
        <f aca="false">IF($A614="","",IFERROR(F614/E614,0))</f>
        <v/>
      </c>
      <c r="H614" s="19" t="str">
        <f aca="false">IF($A614="","",C614*Settings!$B$11)</f>
        <v/>
      </c>
      <c r="I614" s="20" t="str">
        <f aca="false">IF($A614="","",IF(N(H614)=0,"",RANK(H614,$H$5:$H$2004)))</f>
        <v/>
      </c>
      <c r="J614" s="21" t="str">
        <f aca="false">IF($A614="","",IF(B614=0,"No COD orders",IF(B614&lt;Settings!$B$8,"Too few orders",IF(D614&gt;=Settings!$B$9,"Restrict COD or verify","Keep COD"))))</f>
        <v/>
      </c>
    </row>
    <row r="615" customFormat="false" ht="15" hidden="false" customHeight="false" outlineLevel="0" collapsed="false">
      <c r="A615" s="27"/>
      <c r="B615" s="17" t="str">
        <f aca="false">IF($A615="","",COUNTIFS(Orders!$C$2:$C$20001,$A615,Orders!$E$2:$E$20001,"COD",Orders!$F$2:$F$20001,"Delivered")+COUNTIFS(Orders!$C$2:$C$20001,$A615,Orders!$E$2:$E$20001,"COD",Orders!$F$2:$F$20001,"RTO"))</f>
        <v/>
      </c>
      <c r="C615" s="17" t="str">
        <f aca="false">IF($A615="","",COUNTIFS(Orders!$C$2:$C$20001,$A615,Orders!$E$2:$E$20001,"COD",Orders!$F$2:$F$20001,"RTO"))</f>
        <v/>
      </c>
      <c r="D615" s="18" t="str">
        <f aca="false">IF($A615="","",IFERROR(C615/B615,0))</f>
        <v/>
      </c>
      <c r="E615" s="17" t="str">
        <f aca="false">IF($A615="","",COUNTIFS(Orders!$C$2:$C$20001,$A615,Orders!$E$2:$E$20001,"Prepaid",Orders!$F$2:$F$20001,"Delivered")+COUNTIFS(Orders!$C$2:$C$20001,$A615,Orders!$E$2:$E$20001,"Prepaid",Orders!$F$2:$F$20001,"RTO"))</f>
        <v/>
      </c>
      <c r="F615" s="17" t="str">
        <f aca="false">IF($A615="","",COUNTIFS(Orders!$C$2:$C$20001,$A615,Orders!$E$2:$E$20001,"Prepaid",Orders!$F$2:$F$20001,"RTO"))</f>
        <v/>
      </c>
      <c r="G615" s="18" t="str">
        <f aca="false">IF($A615="","",IFERROR(F615/E615,0))</f>
        <v/>
      </c>
      <c r="H615" s="19" t="str">
        <f aca="false">IF($A615="","",C615*Settings!$B$11)</f>
        <v/>
      </c>
      <c r="I615" s="20" t="str">
        <f aca="false">IF($A615="","",IF(N(H615)=0,"",RANK(H615,$H$5:$H$2004)))</f>
        <v/>
      </c>
      <c r="J615" s="21" t="str">
        <f aca="false">IF($A615="","",IF(B615=0,"No COD orders",IF(B615&lt;Settings!$B$8,"Too few orders",IF(D615&gt;=Settings!$B$9,"Restrict COD or verify","Keep COD"))))</f>
        <v/>
      </c>
    </row>
    <row r="616" customFormat="false" ht="15" hidden="false" customHeight="false" outlineLevel="0" collapsed="false">
      <c r="A616" s="27"/>
      <c r="B616" s="17" t="str">
        <f aca="false">IF($A616="","",COUNTIFS(Orders!$C$2:$C$20001,$A616,Orders!$E$2:$E$20001,"COD",Orders!$F$2:$F$20001,"Delivered")+COUNTIFS(Orders!$C$2:$C$20001,$A616,Orders!$E$2:$E$20001,"COD",Orders!$F$2:$F$20001,"RTO"))</f>
        <v/>
      </c>
      <c r="C616" s="17" t="str">
        <f aca="false">IF($A616="","",COUNTIFS(Orders!$C$2:$C$20001,$A616,Orders!$E$2:$E$20001,"COD",Orders!$F$2:$F$20001,"RTO"))</f>
        <v/>
      </c>
      <c r="D616" s="18" t="str">
        <f aca="false">IF($A616="","",IFERROR(C616/B616,0))</f>
        <v/>
      </c>
      <c r="E616" s="17" t="str">
        <f aca="false">IF($A616="","",COUNTIFS(Orders!$C$2:$C$20001,$A616,Orders!$E$2:$E$20001,"Prepaid",Orders!$F$2:$F$20001,"Delivered")+COUNTIFS(Orders!$C$2:$C$20001,$A616,Orders!$E$2:$E$20001,"Prepaid",Orders!$F$2:$F$20001,"RTO"))</f>
        <v/>
      </c>
      <c r="F616" s="17" t="str">
        <f aca="false">IF($A616="","",COUNTIFS(Orders!$C$2:$C$20001,$A616,Orders!$E$2:$E$20001,"Prepaid",Orders!$F$2:$F$20001,"RTO"))</f>
        <v/>
      </c>
      <c r="G616" s="18" t="str">
        <f aca="false">IF($A616="","",IFERROR(F616/E616,0))</f>
        <v/>
      </c>
      <c r="H616" s="19" t="str">
        <f aca="false">IF($A616="","",C616*Settings!$B$11)</f>
        <v/>
      </c>
      <c r="I616" s="20" t="str">
        <f aca="false">IF($A616="","",IF(N(H616)=0,"",RANK(H616,$H$5:$H$2004)))</f>
        <v/>
      </c>
      <c r="J616" s="21" t="str">
        <f aca="false">IF($A616="","",IF(B616=0,"No COD orders",IF(B616&lt;Settings!$B$8,"Too few orders",IF(D616&gt;=Settings!$B$9,"Restrict COD or verify","Keep COD"))))</f>
        <v/>
      </c>
    </row>
    <row r="617" customFormat="false" ht="15" hidden="false" customHeight="false" outlineLevel="0" collapsed="false">
      <c r="A617" s="27"/>
      <c r="B617" s="17" t="str">
        <f aca="false">IF($A617="","",COUNTIFS(Orders!$C$2:$C$20001,$A617,Orders!$E$2:$E$20001,"COD",Orders!$F$2:$F$20001,"Delivered")+COUNTIFS(Orders!$C$2:$C$20001,$A617,Orders!$E$2:$E$20001,"COD",Orders!$F$2:$F$20001,"RTO"))</f>
        <v/>
      </c>
      <c r="C617" s="17" t="str">
        <f aca="false">IF($A617="","",COUNTIFS(Orders!$C$2:$C$20001,$A617,Orders!$E$2:$E$20001,"COD",Orders!$F$2:$F$20001,"RTO"))</f>
        <v/>
      </c>
      <c r="D617" s="18" t="str">
        <f aca="false">IF($A617="","",IFERROR(C617/B617,0))</f>
        <v/>
      </c>
      <c r="E617" s="17" t="str">
        <f aca="false">IF($A617="","",COUNTIFS(Orders!$C$2:$C$20001,$A617,Orders!$E$2:$E$20001,"Prepaid",Orders!$F$2:$F$20001,"Delivered")+COUNTIFS(Orders!$C$2:$C$20001,$A617,Orders!$E$2:$E$20001,"Prepaid",Orders!$F$2:$F$20001,"RTO"))</f>
        <v/>
      </c>
      <c r="F617" s="17" t="str">
        <f aca="false">IF($A617="","",COUNTIFS(Orders!$C$2:$C$20001,$A617,Orders!$E$2:$E$20001,"Prepaid",Orders!$F$2:$F$20001,"RTO"))</f>
        <v/>
      </c>
      <c r="G617" s="18" t="str">
        <f aca="false">IF($A617="","",IFERROR(F617/E617,0))</f>
        <v/>
      </c>
      <c r="H617" s="19" t="str">
        <f aca="false">IF($A617="","",C617*Settings!$B$11)</f>
        <v/>
      </c>
      <c r="I617" s="20" t="str">
        <f aca="false">IF($A617="","",IF(N(H617)=0,"",RANK(H617,$H$5:$H$2004)))</f>
        <v/>
      </c>
      <c r="J617" s="21" t="str">
        <f aca="false">IF($A617="","",IF(B617=0,"No COD orders",IF(B617&lt;Settings!$B$8,"Too few orders",IF(D617&gt;=Settings!$B$9,"Restrict COD or verify","Keep COD"))))</f>
        <v/>
      </c>
    </row>
    <row r="618" customFormat="false" ht="15" hidden="false" customHeight="false" outlineLevel="0" collapsed="false">
      <c r="A618" s="27"/>
      <c r="B618" s="17" t="str">
        <f aca="false">IF($A618="","",COUNTIFS(Orders!$C$2:$C$20001,$A618,Orders!$E$2:$E$20001,"COD",Orders!$F$2:$F$20001,"Delivered")+COUNTIFS(Orders!$C$2:$C$20001,$A618,Orders!$E$2:$E$20001,"COD",Orders!$F$2:$F$20001,"RTO"))</f>
        <v/>
      </c>
      <c r="C618" s="17" t="str">
        <f aca="false">IF($A618="","",COUNTIFS(Orders!$C$2:$C$20001,$A618,Orders!$E$2:$E$20001,"COD",Orders!$F$2:$F$20001,"RTO"))</f>
        <v/>
      </c>
      <c r="D618" s="18" t="str">
        <f aca="false">IF($A618="","",IFERROR(C618/B618,0))</f>
        <v/>
      </c>
      <c r="E618" s="17" t="str">
        <f aca="false">IF($A618="","",COUNTIFS(Orders!$C$2:$C$20001,$A618,Orders!$E$2:$E$20001,"Prepaid",Orders!$F$2:$F$20001,"Delivered")+COUNTIFS(Orders!$C$2:$C$20001,$A618,Orders!$E$2:$E$20001,"Prepaid",Orders!$F$2:$F$20001,"RTO"))</f>
        <v/>
      </c>
      <c r="F618" s="17" t="str">
        <f aca="false">IF($A618="","",COUNTIFS(Orders!$C$2:$C$20001,$A618,Orders!$E$2:$E$20001,"Prepaid",Orders!$F$2:$F$20001,"RTO"))</f>
        <v/>
      </c>
      <c r="G618" s="18" t="str">
        <f aca="false">IF($A618="","",IFERROR(F618/E618,0))</f>
        <v/>
      </c>
      <c r="H618" s="19" t="str">
        <f aca="false">IF($A618="","",C618*Settings!$B$11)</f>
        <v/>
      </c>
      <c r="I618" s="20" t="str">
        <f aca="false">IF($A618="","",IF(N(H618)=0,"",RANK(H618,$H$5:$H$2004)))</f>
        <v/>
      </c>
      <c r="J618" s="21" t="str">
        <f aca="false">IF($A618="","",IF(B618=0,"No COD orders",IF(B618&lt;Settings!$B$8,"Too few orders",IF(D618&gt;=Settings!$B$9,"Restrict COD or verify","Keep COD"))))</f>
        <v/>
      </c>
    </row>
    <row r="619" customFormat="false" ht="15" hidden="false" customHeight="false" outlineLevel="0" collapsed="false">
      <c r="A619" s="27"/>
      <c r="B619" s="17" t="str">
        <f aca="false">IF($A619="","",COUNTIFS(Orders!$C$2:$C$20001,$A619,Orders!$E$2:$E$20001,"COD",Orders!$F$2:$F$20001,"Delivered")+COUNTIFS(Orders!$C$2:$C$20001,$A619,Orders!$E$2:$E$20001,"COD",Orders!$F$2:$F$20001,"RTO"))</f>
        <v/>
      </c>
      <c r="C619" s="17" t="str">
        <f aca="false">IF($A619="","",COUNTIFS(Orders!$C$2:$C$20001,$A619,Orders!$E$2:$E$20001,"COD",Orders!$F$2:$F$20001,"RTO"))</f>
        <v/>
      </c>
      <c r="D619" s="18" t="str">
        <f aca="false">IF($A619="","",IFERROR(C619/B619,0))</f>
        <v/>
      </c>
      <c r="E619" s="17" t="str">
        <f aca="false">IF($A619="","",COUNTIFS(Orders!$C$2:$C$20001,$A619,Orders!$E$2:$E$20001,"Prepaid",Orders!$F$2:$F$20001,"Delivered")+COUNTIFS(Orders!$C$2:$C$20001,$A619,Orders!$E$2:$E$20001,"Prepaid",Orders!$F$2:$F$20001,"RTO"))</f>
        <v/>
      </c>
      <c r="F619" s="17" t="str">
        <f aca="false">IF($A619="","",COUNTIFS(Orders!$C$2:$C$20001,$A619,Orders!$E$2:$E$20001,"Prepaid",Orders!$F$2:$F$20001,"RTO"))</f>
        <v/>
      </c>
      <c r="G619" s="18" t="str">
        <f aca="false">IF($A619="","",IFERROR(F619/E619,0))</f>
        <v/>
      </c>
      <c r="H619" s="19" t="str">
        <f aca="false">IF($A619="","",C619*Settings!$B$11)</f>
        <v/>
      </c>
      <c r="I619" s="20" t="str">
        <f aca="false">IF($A619="","",IF(N(H619)=0,"",RANK(H619,$H$5:$H$2004)))</f>
        <v/>
      </c>
      <c r="J619" s="21" t="str">
        <f aca="false">IF($A619="","",IF(B619=0,"No COD orders",IF(B619&lt;Settings!$B$8,"Too few orders",IF(D619&gt;=Settings!$B$9,"Restrict COD or verify","Keep COD"))))</f>
        <v/>
      </c>
    </row>
    <row r="620" customFormat="false" ht="15" hidden="false" customHeight="false" outlineLevel="0" collapsed="false">
      <c r="A620" s="27"/>
      <c r="B620" s="17" t="str">
        <f aca="false">IF($A620="","",COUNTIFS(Orders!$C$2:$C$20001,$A620,Orders!$E$2:$E$20001,"COD",Orders!$F$2:$F$20001,"Delivered")+COUNTIFS(Orders!$C$2:$C$20001,$A620,Orders!$E$2:$E$20001,"COD",Orders!$F$2:$F$20001,"RTO"))</f>
        <v/>
      </c>
      <c r="C620" s="17" t="str">
        <f aca="false">IF($A620="","",COUNTIFS(Orders!$C$2:$C$20001,$A620,Orders!$E$2:$E$20001,"COD",Orders!$F$2:$F$20001,"RTO"))</f>
        <v/>
      </c>
      <c r="D620" s="18" t="str">
        <f aca="false">IF($A620="","",IFERROR(C620/B620,0))</f>
        <v/>
      </c>
      <c r="E620" s="17" t="str">
        <f aca="false">IF($A620="","",COUNTIFS(Orders!$C$2:$C$20001,$A620,Orders!$E$2:$E$20001,"Prepaid",Orders!$F$2:$F$20001,"Delivered")+COUNTIFS(Orders!$C$2:$C$20001,$A620,Orders!$E$2:$E$20001,"Prepaid",Orders!$F$2:$F$20001,"RTO"))</f>
        <v/>
      </c>
      <c r="F620" s="17" t="str">
        <f aca="false">IF($A620="","",COUNTIFS(Orders!$C$2:$C$20001,$A620,Orders!$E$2:$E$20001,"Prepaid",Orders!$F$2:$F$20001,"RTO"))</f>
        <v/>
      </c>
      <c r="G620" s="18" t="str">
        <f aca="false">IF($A620="","",IFERROR(F620/E620,0))</f>
        <v/>
      </c>
      <c r="H620" s="19" t="str">
        <f aca="false">IF($A620="","",C620*Settings!$B$11)</f>
        <v/>
      </c>
      <c r="I620" s="20" t="str">
        <f aca="false">IF($A620="","",IF(N(H620)=0,"",RANK(H620,$H$5:$H$2004)))</f>
        <v/>
      </c>
      <c r="J620" s="21" t="str">
        <f aca="false">IF($A620="","",IF(B620=0,"No COD orders",IF(B620&lt;Settings!$B$8,"Too few orders",IF(D620&gt;=Settings!$B$9,"Restrict COD or verify","Keep COD"))))</f>
        <v/>
      </c>
    </row>
    <row r="621" customFormat="false" ht="15" hidden="false" customHeight="false" outlineLevel="0" collapsed="false">
      <c r="A621" s="27"/>
      <c r="B621" s="17" t="str">
        <f aca="false">IF($A621="","",COUNTIFS(Orders!$C$2:$C$20001,$A621,Orders!$E$2:$E$20001,"COD",Orders!$F$2:$F$20001,"Delivered")+COUNTIFS(Orders!$C$2:$C$20001,$A621,Orders!$E$2:$E$20001,"COD",Orders!$F$2:$F$20001,"RTO"))</f>
        <v/>
      </c>
      <c r="C621" s="17" t="str">
        <f aca="false">IF($A621="","",COUNTIFS(Orders!$C$2:$C$20001,$A621,Orders!$E$2:$E$20001,"COD",Orders!$F$2:$F$20001,"RTO"))</f>
        <v/>
      </c>
      <c r="D621" s="18" t="str">
        <f aca="false">IF($A621="","",IFERROR(C621/B621,0))</f>
        <v/>
      </c>
      <c r="E621" s="17" t="str">
        <f aca="false">IF($A621="","",COUNTIFS(Orders!$C$2:$C$20001,$A621,Orders!$E$2:$E$20001,"Prepaid",Orders!$F$2:$F$20001,"Delivered")+COUNTIFS(Orders!$C$2:$C$20001,$A621,Orders!$E$2:$E$20001,"Prepaid",Orders!$F$2:$F$20001,"RTO"))</f>
        <v/>
      </c>
      <c r="F621" s="17" t="str">
        <f aca="false">IF($A621="","",COUNTIFS(Orders!$C$2:$C$20001,$A621,Orders!$E$2:$E$20001,"Prepaid",Orders!$F$2:$F$20001,"RTO"))</f>
        <v/>
      </c>
      <c r="G621" s="18" t="str">
        <f aca="false">IF($A621="","",IFERROR(F621/E621,0))</f>
        <v/>
      </c>
      <c r="H621" s="19" t="str">
        <f aca="false">IF($A621="","",C621*Settings!$B$11)</f>
        <v/>
      </c>
      <c r="I621" s="20" t="str">
        <f aca="false">IF($A621="","",IF(N(H621)=0,"",RANK(H621,$H$5:$H$2004)))</f>
        <v/>
      </c>
      <c r="J621" s="21" t="str">
        <f aca="false">IF($A621="","",IF(B621=0,"No COD orders",IF(B621&lt;Settings!$B$8,"Too few orders",IF(D621&gt;=Settings!$B$9,"Restrict COD or verify","Keep COD"))))</f>
        <v/>
      </c>
    </row>
    <row r="622" customFormat="false" ht="15" hidden="false" customHeight="false" outlineLevel="0" collapsed="false">
      <c r="A622" s="27"/>
      <c r="B622" s="17" t="str">
        <f aca="false">IF($A622="","",COUNTIFS(Orders!$C$2:$C$20001,$A622,Orders!$E$2:$E$20001,"COD",Orders!$F$2:$F$20001,"Delivered")+COUNTIFS(Orders!$C$2:$C$20001,$A622,Orders!$E$2:$E$20001,"COD",Orders!$F$2:$F$20001,"RTO"))</f>
        <v/>
      </c>
      <c r="C622" s="17" t="str">
        <f aca="false">IF($A622="","",COUNTIFS(Orders!$C$2:$C$20001,$A622,Orders!$E$2:$E$20001,"COD",Orders!$F$2:$F$20001,"RTO"))</f>
        <v/>
      </c>
      <c r="D622" s="18" t="str">
        <f aca="false">IF($A622="","",IFERROR(C622/B622,0))</f>
        <v/>
      </c>
      <c r="E622" s="17" t="str">
        <f aca="false">IF($A622="","",COUNTIFS(Orders!$C$2:$C$20001,$A622,Orders!$E$2:$E$20001,"Prepaid",Orders!$F$2:$F$20001,"Delivered")+COUNTIFS(Orders!$C$2:$C$20001,$A622,Orders!$E$2:$E$20001,"Prepaid",Orders!$F$2:$F$20001,"RTO"))</f>
        <v/>
      </c>
      <c r="F622" s="17" t="str">
        <f aca="false">IF($A622="","",COUNTIFS(Orders!$C$2:$C$20001,$A622,Orders!$E$2:$E$20001,"Prepaid",Orders!$F$2:$F$20001,"RTO"))</f>
        <v/>
      </c>
      <c r="G622" s="18" t="str">
        <f aca="false">IF($A622="","",IFERROR(F622/E622,0))</f>
        <v/>
      </c>
      <c r="H622" s="19" t="str">
        <f aca="false">IF($A622="","",C622*Settings!$B$11)</f>
        <v/>
      </c>
      <c r="I622" s="20" t="str">
        <f aca="false">IF($A622="","",IF(N(H622)=0,"",RANK(H622,$H$5:$H$2004)))</f>
        <v/>
      </c>
      <c r="J622" s="21" t="str">
        <f aca="false">IF($A622="","",IF(B622=0,"No COD orders",IF(B622&lt;Settings!$B$8,"Too few orders",IF(D622&gt;=Settings!$B$9,"Restrict COD or verify","Keep COD"))))</f>
        <v/>
      </c>
    </row>
    <row r="623" customFormat="false" ht="15" hidden="false" customHeight="false" outlineLevel="0" collapsed="false">
      <c r="A623" s="27"/>
      <c r="B623" s="17" t="str">
        <f aca="false">IF($A623="","",COUNTIFS(Orders!$C$2:$C$20001,$A623,Orders!$E$2:$E$20001,"COD",Orders!$F$2:$F$20001,"Delivered")+COUNTIFS(Orders!$C$2:$C$20001,$A623,Orders!$E$2:$E$20001,"COD",Orders!$F$2:$F$20001,"RTO"))</f>
        <v/>
      </c>
      <c r="C623" s="17" t="str">
        <f aca="false">IF($A623="","",COUNTIFS(Orders!$C$2:$C$20001,$A623,Orders!$E$2:$E$20001,"COD",Orders!$F$2:$F$20001,"RTO"))</f>
        <v/>
      </c>
      <c r="D623" s="18" t="str">
        <f aca="false">IF($A623="","",IFERROR(C623/B623,0))</f>
        <v/>
      </c>
      <c r="E623" s="17" t="str">
        <f aca="false">IF($A623="","",COUNTIFS(Orders!$C$2:$C$20001,$A623,Orders!$E$2:$E$20001,"Prepaid",Orders!$F$2:$F$20001,"Delivered")+COUNTIFS(Orders!$C$2:$C$20001,$A623,Orders!$E$2:$E$20001,"Prepaid",Orders!$F$2:$F$20001,"RTO"))</f>
        <v/>
      </c>
      <c r="F623" s="17" t="str">
        <f aca="false">IF($A623="","",COUNTIFS(Orders!$C$2:$C$20001,$A623,Orders!$E$2:$E$20001,"Prepaid",Orders!$F$2:$F$20001,"RTO"))</f>
        <v/>
      </c>
      <c r="G623" s="18" t="str">
        <f aca="false">IF($A623="","",IFERROR(F623/E623,0))</f>
        <v/>
      </c>
      <c r="H623" s="19" t="str">
        <f aca="false">IF($A623="","",C623*Settings!$B$11)</f>
        <v/>
      </c>
      <c r="I623" s="20" t="str">
        <f aca="false">IF($A623="","",IF(N(H623)=0,"",RANK(H623,$H$5:$H$2004)))</f>
        <v/>
      </c>
      <c r="J623" s="21" t="str">
        <f aca="false">IF($A623="","",IF(B623=0,"No COD orders",IF(B623&lt;Settings!$B$8,"Too few orders",IF(D623&gt;=Settings!$B$9,"Restrict COD or verify","Keep COD"))))</f>
        <v/>
      </c>
    </row>
    <row r="624" customFormat="false" ht="15" hidden="false" customHeight="false" outlineLevel="0" collapsed="false">
      <c r="A624" s="27"/>
      <c r="B624" s="17" t="str">
        <f aca="false">IF($A624="","",COUNTIFS(Orders!$C$2:$C$20001,$A624,Orders!$E$2:$E$20001,"COD",Orders!$F$2:$F$20001,"Delivered")+COUNTIFS(Orders!$C$2:$C$20001,$A624,Orders!$E$2:$E$20001,"COD",Orders!$F$2:$F$20001,"RTO"))</f>
        <v/>
      </c>
      <c r="C624" s="17" t="str">
        <f aca="false">IF($A624="","",COUNTIFS(Orders!$C$2:$C$20001,$A624,Orders!$E$2:$E$20001,"COD",Orders!$F$2:$F$20001,"RTO"))</f>
        <v/>
      </c>
      <c r="D624" s="18" t="str">
        <f aca="false">IF($A624="","",IFERROR(C624/B624,0))</f>
        <v/>
      </c>
      <c r="E624" s="17" t="str">
        <f aca="false">IF($A624="","",COUNTIFS(Orders!$C$2:$C$20001,$A624,Orders!$E$2:$E$20001,"Prepaid",Orders!$F$2:$F$20001,"Delivered")+COUNTIFS(Orders!$C$2:$C$20001,$A624,Orders!$E$2:$E$20001,"Prepaid",Orders!$F$2:$F$20001,"RTO"))</f>
        <v/>
      </c>
      <c r="F624" s="17" t="str">
        <f aca="false">IF($A624="","",COUNTIFS(Orders!$C$2:$C$20001,$A624,Orders!$E$2:$E$20001,"Prepaid",Orders!$F$2:$F$20001,"RTO"))</f>
        <v/>
      </c>
      <c r="G624" s="18" t="str">
        <f aca="false">IF($A624="","",IFERROR(F624/E624,0))</f>
        <v/>
      </c>
      <c r="H624" s="19" t="str">
        <f aca="false">IF($A624="","",C624*Settings!$B$11)</f>
        <v/>
      </c>
      <c r="I624" s="20" t="str">
        <f aca="false">IF($A624="","",IF(N(H624)=0,"",RANK(H624,$H$5:$H$2004)))</f>
        <v/>
      </c>
      <c r="J624" s="21" t="str">
        <f aca="false">IF($A624="","",IF(B624=0,"No COD orders",IF(B624&lt;Settings!$B$8,"Too few orders",IF(D624&gt;=Settings!$B$9,"Restrict COD or verify","Keep COD"))))</f>
        <v/>
      </c>
    </row>
    <row r="625" customFormat="false" ht="15" hidden="false" customHeight="false" outlineLevel="0" collapsed="false">
      <c r="A625" s="27"/>
      <c r="B625" s="17" t="str">
        <f aca="false">IF($A625="","",COUNTIFS(Orders!$C$2:$C$20001,$A625,Orders!$E$2:$E$20001,"COD",Orders!$F$2:$F$20001,"Delivered")+COUNTIFS(Orders!$C$2:$C$20001,$A625,Orders!$E$2:$E$20001,"COD",Orders!$F$2:$F$20001,"RTO"))</f>
        <v/>
      </c>
      <c r="C625" s="17" t="str">
        <f aca="false">IF($A625="","",COUNTIFS(Orders!$C$2:$C$20001,$A625,Orders!$E$2:$E$20001,"COD",Orders!$F$2:$F$20001,"RTO"))</f>
        <v/>
      </c>
      <c r="D625" s="18" t="str">
        <f aca="false">IF($A625="","",IFERROR(C625/B625,0))</f>
        <v/>
      </c>
      <c r="E625" s="17" t="str">
        <f aca="false">IF($A625="","",COUNTIFS(Orders!$C$2:$C$20001,$A625,Orders!$E$2:$E$20001,"Prepaid",Orders!$F$2:$F$20001,"Delivered")+COUNTIFS(Orders!$C$2:$C$20001,$A625,Orders!$E$2:$E$20001,"Prepaid",Orders!$F$2:$F$20001,"RTO"))</f>
        <v/>
      </c>
      <c r="F625" s="17" t="str">
        <f aca="false">IF($A625="","",COUNTIFS(Orders!$C$2:$C$20001,$A625,Orders!$E$2:$E$20001,"Prepaid",Orders!$F$2:$F$20001,"RTO"))</f>
        <v/>
      </c>
      <c r="G625" s="18" t="str">
        <f aca="false">IF($A625="","",IFERROR(F625/E625,0))</f>
        <v/>
      </c>
      <c r="H625" s="19" t="str">
        <f aca="false">IF($A625="","",C625*Settings!$B$11)</f>
        <v/>
      </c>
      <c r="I625" s="20" t="str">
        <f aca="false">IF($A625="","",IF(N(H625)=0,"",RANK(H625,$H$5:$H$2004)))</f>
        <v/>
      </c>
      <c r="J625" s="21" t="str">
        <f aca="false">IF($A625="","",IF(B625=0,"No COD orders",IF(B625&lt;Settings!$B$8,"Too few orders",IF(D625&gt;=Settings!$B$9,"Restrict COD or verify","Keep COD"))))</f>
        <v/>
      </c>
    </row>
    <row r="626" customFormat="false" ht="15" hidden="false" customHeight="false" outlineLevel="0" collapsed="false">
      <c r="A626" s="27"/>
      <c r="B626" s="17" t="str">
        <f aca="false">IF($A626="","",COUNTIFS(Orders!$C$2:$C$20001,$A626,Orders!$E$2:$E$20001,"COD",Orders!$F$2:$F$20001,"Delivered")+COUNTIFS(Orders!$C$2:$C$20001,$A626,Orders!$E$2:$E$20001,"COD",Orders!$F$2:$F$20001,"RTO"))</f>
        <v/>
      </c>
      <c r="C626" s="17" t="str">
        <f aca="false">IF($A626="","",COUNTIFS(Orders!$C$2:$C$20001,$A626,Orders!$E$2:$E$20001,"COD",Orders!$F$2:$F$20001,"RTO"))</f>
        <v/>
      </c>
      <c r="D626" s="18" t="str">
        <f aca="false">IF($A626="","",IFERROR(C626/B626,0))</f>
        <v/>
      </c>
      <c r="E626" s="17" t="str">
        <f aca="false">IF($A626="","",COUNTIFS(Orders!$C$2:$C$20001,$A626,Orders!$E$2:$E$20001,"Prepaid",Orders!$F$2:$F$20001,"Delivered")+COUNTIFS(Orders!$C$2:$C$20001,$A626,Orders!$E$2:$E$20001,"Prepaid",Orders!$F$2:$F$20001,"RTO"))</f>
        <v/>
      </c>
      <c r="F626" s="17" t="str">
        <f aca="false">IF($A626="","",COUNTIFS(Orders!$C$2:$C$20001,$A626,Orders!$E$2:$E$20001,"Prepaid",Orders!$F$2:$F$20001,"RTO"))</f>
        <v/>
      </c>
      <c r="G626" s="18" t="str">
        <f aca="false">IF($A626="","",IFERROR(F626/E626,0))</f>
        <v/>
      </c>
      <c r="H626" s="19" t="str">
        <f aca="false">IF($A626="","",C626*Settings!$B$11)</f>
        <v/>
      </c>
      <c r="I626" s="20" t="str">
        <f aca="false">IF($A626="","",IF(N(H626)=0,"",RANK(H626,$H$5:$H$2004)))</f>
        <v/>
      </c>
      <c r="J626" s="21" t="str">
        <f aca="false">IF($A626="","",IF(B626=0,"No COD orders",IF(B626&lt;Settings!$B$8,"Too few orders",IF(D626&gt;=Settings!$B$9,"Restrict COD or verify","Keep COD"))))</f>
        <v/>
      </c>
    </row>
    <row r="627" customFormat="false" ht="15" hidden="false" customHeight="false" outlineLevel="0" collapsed="false">
      <c r="A627" s="27"/>
      <c r="B627" s="17" t="str">
        <f aca="false">IF($A627="","",COUNTIFS(Orders!$C$2:$C$20001,$A627,Orders!$E$2:$E$20001,"COD",Orders!$F$2:$F$20001,"Delivered")+COUNTIFS(Orders!$C$2:$C$20001,$A627,Orders!$E$2:$E$20001,"COD",Orders!$F$2:$F$20001,"RTO"))</f>
        <v/>
      </c>
      <c r="C627" s="17" t="str">
        <f aca="false">IF($A627="","",COUNTIFS(Orders!$C$2:$C$20001,$A627,Orders!$E$2:$E$20001,"COD",Orders!$F$2:$F$20001,"RTO"))</f>
        <v/>
      </c>
      <c r="D627" s="18" t="str">
        <f aca="false">IF($A627="","",IFERROR(C627/B627,0))</f>
        <v/>
      </c>
      <c r="E627" s="17" t="str">
        <f aca="false">IF($A627="","",COUNTIFS(Orders!$C$2:$C$20001,$A627,Orders!$E$2:$E$20001,"Prepaid",Orders!$F$2:$F$20001,"Delivered")+COUNTIFS(Orders!$C$2:$C$20001,$A627,Orders!$E$2:$E$20001,"Prepaid",Orders!$F$2:$F$20001,"RTO"))</f>
        <v/>
      </c>
      <c r="F627" s="17" t="str">
        <f aca="false">IF($A627="","",COUNTIFS(Orders!$C$2:$C$20001,$A627,Orders!$E$2:$E$20001,"Prepaid",Orders!$F$2:$F$20001,"RTO"))</f>
        <v/>
      </c>
      <c r="G627" s="18" t="str">
        <f aca="false">IF($A627="","",IFERROR(F627/E627,0))</f>
        <v/>
      </c>
      <c r="H627" s="19" t="str">
        <f aca="false">IF($A627="","",C627*Settings!$B$11)</f>
        <v/>
      </c>
      <c r="I627" s="20" t="str">
        <f aca="false">IF($A627="","",IF(N(H627)=0,"",RANK(H627,$H$5:$H$2004)))</f>
        <v/>
      </c>
      <c r="J627" s="21" t="str">
        <f aca="false">IF($A627="","",IF(B627=0,"No COD orders",IF(B627&lt;Settings!$B$8,"Too few orders",IF(D627&gt;=Settings!$B$9,"Restrict COD or verify","Keep COD"))))</f>
        <v/>
      </c>
    </row>
    <row r="628" customFormat="false" ht="15" hidden="false" customHeight="false" outlineLevel="0" collapsed="false">
      <c r="A628" s="27"/>
      <c r="B628" s="17" t="str">
        <f aca="false">IF($A628="","",COUNTIFS(Orders!$C$2:$C$20001,$A628,Orders!$E$2:$E$20001,"COD",Orders!$F$2:$F$20001,"Delivered")+COUNTIFS(Orders!$C$2:$C$20001,$A628,Orders!$E$2:$E$20001,"COD",Orders!$F$2:$F$20001,"RTO"))</f>
        <v/>
      </c>
      <c r="C628" s="17" t="str">
        <f aca="false">IF($A628="","",COUNTIFS(Orders!$C$2:$C$20001,$A628,Orders!$E$2:$E$20001,"COD",Orders!$F$2:$F$20001,"RTO"))</f>
        <v/>
      </c>
      <c r="D628" s="18" t="str">
        <f aca="false">IF($A628="","",IFERROR(C628/B628,0))</f>
        <v/>
      </c>
      <c r="E628" s="17" t="str">
        <f aca="false">IF($A628="","",COUNTIFS(Orders!$C$2:$C$20001,$A628,Orders!$E$2:$E$20001,"Prepaid",Orders!$F$2:$F$20001,"Delivered")+COUNTIFS(Orders!$C$2:$C$20001,$A628,Orders!$E$2:$E$20001,"Prepaid",Orders!$F$2:$F$20001,"RTO"))</f>
        <v/>
      </c>
      <c r="F628" s="17" t="str">
        <f aca="false">IF($A628="","",COUNTIFS(Orders!$C$2:$C$20001,$A628,Orders!$E$2:$E$20001,"Prepaid",Orders!$F$2:$F$20001,"RTO"))</f>
        <v/>
      </c>
      <c r="G628" s="18" t="str">
        <f aca="false">IF($A628="","",IFERROR(F628/E628,0))</f>
        <v/>
      </c>
      <c r="H628" s="19" t="str">
        <f aca="false">IF($A628="","",C628*Settings!$B$11)</f>
        <v/>
      </c>
      <c r="I628" s="20" t="str">
        <f aca="false">IF($A628="","",IF(N(H628)=0,"",RANK(H628,$H$5:$H$2004)))</f>
        <v/>
      </c>
      <c r="J628" s="21" t="str">
        <f aca="false">IF($A628="","",IF(B628=0,"No COD orders",IF(B628&lt;Settings!$B$8,"Too few orders",IF(D628&gt;=Settings!$B$9,"Restrict COD or verify","Keep COD"))))</f>
        <v/>
      </c>
    </row>
    <row r="629" customFormat="false" ht="15" hidden="false" customHeight="false" outlineLevel="0" collapsed="false">
      <c r="A629" s="27"/>
      <c r="B629" s="17" t="str">
        <f aca="false">IF($A629="","",COUNTIFS(Orders!$C$2:$C$20001,$A629,Orders!$E$2:$E$20001,"COD",Orders!$F$2:$F$20001,"Delivered")+COUNTIFS(Orders!$C$2:$C$20001,$A629,Orders!$E$2:$E$20001,"COD",Orders!$F$2:$F$20001,"RTO"))</f>
        <v/>
      </c>
      <c r="C629" s="17" t="str">
        <f aca="false">IF($A629="","",COUNTIFS(Orders!$C$2:$C$20001,$A629,Orders!$E$2:$E$20001,"COD",Orders!$F$2:$F$20001,"RTO"))</f>
        <v/>
      </c>
      <c r="D629" s="18" t="str">
        <f aca="false">IF($A629="","",IFERROR(C629/B629,0))</f>
        <v/>
      </c>
      <c r="E629" s="17" t="str">
        <f aca="false">IF($A629="","",COUNTIFS(Orders!$C$2:$C$20001,$A629,Orders!$E$2:$E$20001,"Prepaid",Orders!$F$2:$F$20001,"Delivered")+COUNTIFS(Orders!$C$2:$C$20001,$A629,Orders!$E$2:$E$20001,"Prepaid",Orders!$F$2:$F$20001,"RTO"))</f>
        <v/>
      </c>
      <c r="F629" s="17" t="str">
        <f aca="false">IF($A629="","",COUNTIFS(Orders!$C$2:$C$20001,$A629,Orders!$E$2:$E$20001,"Prepaid",Orders!$F$2:$F$20001,"RTO"))</f>
        <v/>
      </c>
      <c r="G629" s="18" t="str">
        <f aca="false">IF($A629="","",IFERROR(F629/E629,0))</f>
        <v/>
      </c>
      <c r="H629" s="19" t="str">
        <f aca="false">IF($A629="","",C629*Settings!$B$11)</f>
        <v/>
      </c>
      <c r="I629" s="20" t="str">
        <f aca="false">IF($A629="","",IF(N(H629)=0,"",RANK(H629,$H$5:$H$2004)))</f>
        <v/>
      </c>
      <c r="J629" s="21" t="str">
        <f aca="false">IF($A629="","",IF(B629=0,"No COD orders",IF(B629&lt;Settings!$B$8,"Too few orders",IF(D629&gt;=Settings!$B$9,"Restrict COD or verify","Keep COD"))))</f>
        <v/>
      </c>
    </row>
    <row r="630" customFormat="false" ht="15" hidden="false" customHeight="false" outlineLevel="0" collapsed="false">
      <c r="A630" s="27"/>
      <c r="B630" s="17" t="str">
        <f aca="false">IF($A630="","",COUNTIFS(Orders!$C$2:$C$20001,$A630,Orders!$E$2:$E$20001,"COD",Orders!$F$2:$F$20001,"Delivered")+COUNTIFS(Orders!$C$2:$C$20001,$A630,Orders!$E$2:$E$20001,"COD",Orders!$F$2:$F$20001,"RTO"))</f>
        <v/>
      </c>
      <c r="C630" s="17" t="str">
        <f aca="false">IF($A630="","",COUNTIFS(Orders!$C$2:$C$20001,$A630,Orders!$E$2:$E$20001,"COD",Orders!$F$2:$F$20001,"RTO"))</f>
        <v/>
      </c>
      <c r="D630" s="18" t="str">
        <f aca="false">IF($A630="","",IFERROR(C630/B630,0))</f>
        <v/>
      </c>
      <c r="E630" s="17" t="str">
        <f aca="false">IF($A630="","",COUNTIFS(Orders!$C$2:$C$20001,$A630,Orders!$E$2:$E$20001,"Prepaid",Orders!$F$2:$F$20001,"Delivered")+COUNTIFS(Orders!$C$2:$C$20001,$A630,Orders!$E$2:$E$20001,"Prepaid",Orders!$F$2:$F$20001,"RTO"))</f>
        <v/>
      </c>
      <c r="F630" s="17" t="str">
        <f aca="false">IF($A630="","",COUNTIFS(Orders!$C$2:$C$20001,$A630,Orders!$E$2:$E$20001,"Prepaid",Orders!$F$2:$F$20001,"RTO"))</f>
        <v/>
      </c>
      <c r="G630" s="18" t="str">
        <f aca="false">IF($A630="","",IFERROR(F630/E630,0))</f>
        <v/>
      </c>
      <c r="H630" s="19" t="str">
        <f aca="false">IF($A630="","",C630*Settings!$B$11)</f>
        <v/>
      </c>
      <c r="I630" s="20" t="str">
        <f aca="false">IF($A630="","",IF(N(H630)=0,"",RANK(H630,$H$5:$H$2004)))</f>
        <v/>
      </c>
      <c r="J630" s="21" t="str">
        <f aca="false">IF($A630="","",IF(B630=0,"No COD orders",IF(B630&lt;Settings!$B$8,"Too few orders",IF(D630&gt;=Settings!$B$9,"Restrict COD or verify","Keep COD"))))</f>
        <v/>
      </c>
    </row>
    <row r="631" customFormat="false" ht="15" hidden="false" customHeight="false" outlineLevel="0" collapsed="false">
      <c r="A631" s="27"/>
      <c r="B631" s="17" t="str">
        <f aca="false">IF($A631="","",COUNTIFS(Orders!$C$2:$C$20001,$A631,Orders!$E$2:$E$20001,"COD",Orders!$F$2:$F$20001,"Delivered")+COUNTIFS(Orders!$C$2:$C$20001,$A631,Orders!$E$2:$E$20001,"COD",Orders!$F$2:$F$20001,"RTO"))</f>
        <v/>
      </c>
      <c r="C631" s="17" t="str">
        <f aca="false">IF($A631="","",COUNTIFS(Orders!$C$2:$C$20001,$A631,Orders!$E$2:$E$20001,"COD",Orders!$F$2:$F$20001,"RTO"))</f>
        <v/>
      </c>
      <c r="D631" s="18" t="str">
        <f aca="false">IF($A631="","",IFERROR(C631/B631,0))</f>
        <v/>
      </c>
      <c r="E631" s="17" t="str">
        <f aca="false">IF($A631="","",COUNTIFS(Orders!$C$2:$C$20001,$A631,Orders!$E$2:$E$20001,"Prepaid",Orders!$F$2:$F$20001,"Delivered")+COUNTIFS(Orders!$C$2:$C$20001,$A631,Orders!$E$2:$E$20001,"Prepaid",Orders!$F$2:$F$20001,"RTO"))</f>
        <v/>
      </c>
      <c r="F631" s="17" t="str">
        <f aca="false">IF($A631="","",COUNTIFS(Orders!$C$2:$C$20001,$A631,Orders!$E$2:$E$20001,"Prepaid",Orders!$F$2:$F$20001,"RTO"))</f>
        <v/>
      </c>
      <c r="G631" s="18" t="str">
        <f aca="false">IF($A631="","",IFERROR(F631/E631,0))</f>
        <v/>
      </c>
      <c r="H631" s="19" t="str">
        <f aca="false">IF($A631="","",C631*Settings!$B$11)</f>
        <v/>
      </c>
      <c r="I631" s="20" t="str">
        <f aca="false">IF($A631="","",IF(N(H631)=0,"",RANK(H631,$H$5:$H$2004)))</f>
        <v/>
      </c>
      <c r="J631" s="21" t="str">
        <f aca="false">IF($A631="","",IF(B631=0,"No COD orders",IF(B631&lt;Settings!$B$8,"Too few orders",IF(D631&gt;=Settings!$B$9,"Restrict COD or verify","Keep COD"))))</f>
        <v/>
      </c>
    </row>
    <row r="632" customFormat="false" ht="15" hidden="false" customHeight="false" outlineLevel="0" collapsed="false">
      <c r="A632" s="27"/>
      <c r="B632" s="17" t="str">
        <f aca="false">IF($A632="","",COUNTIFS(Orders!$C$2:$C$20001,$A632,Orders!$E$2:$E$20001,"COD",Orders!$F$2:$F$20001,"Delivered")+COUNTIFS(Orders!$C$2:$C$20001,$A632,Orders!$E$2:$E$20001,"COD",Orders!$F$2:$F$20001,"RTO"))</f>
        <v/>
      </c>
      <c r="C632" s="17" t="str">
        <f aca="false">IF($A632="","",COUNTIFS(Orders!$C$2:$C$20001,$A632,Orders!$E$2:$E$20001,"COD",Orders!$F$2:$F$20001,"RTO"))</f>
        <v/>
      </c>
      <c r="D632" s="18" t="str">
        <f aca="false">IF($A632="","",IFERROR(C632/B632,0))</f>
        <v/>
      </c>
      <c r="E632" s="17" t="str">
        <f aca="false">IF($A632="","",COUNTIFS(Orders!$C$2:$C$20001,$A632,Orders!$E$2:$E$20001,"Prepaid",Orders!$F$2:$F$20001,"Delivered")+COUNTIFS(Orders!$C$2:$C$20001,$A632,Orders!$E$2:$E$20001,"Prepaid",Orders!$F$2:$F$20001,"RTO"))</f>
        <v/>
      </c>
      <c r="F632" s="17" t="str">
        <f aca="false">IF($A632="","",COUNTIFS(Orders!$C$2:$C$20001,$A632,Orders!$E$2:$E$20001,"Prepaid",Orders!$F$2:$F$20001,"RTO"))</f>
        <v/>
      </c>
      <c r="G632" s="18" t="str">
        <f aca="false">IF($A632="","",IFERROR(F632/E632,0))</f>
        <v/>
      </c>
      <c r="H632" s="19" t="str">
        <f aca="false">IF($A632="","",C632*Settings!$B$11)</f>
        <v/>
      </c>
      <c r="I632" s="20" t="str">
        <f aca="false">IF($A632="","",IF(N(H632)=0,"",RANK(H632,$H$5:$H$2004)))</f>
        <v/>
      </c>
      <c r="J632" s="21" t="str">
        <f aca="false">IF($A632="","",IF(B632=0,"No COD orders",IF(B632&lt;Settings!$B$8,"Too few orders",IF(D632&gt;=Settings!$B$9,"Restrict COD or verify","Keep COD"))))</f>
        <v/>
      </c>
    </row>
    <row r="633" customFormat="false" ht="15" hidden="false" customHeight="false" outlineLevel="0" collapsed="false">
      <c r="A633" s="27"/>
      <c r="B633" s="17" t="str">
        <f aca="false">IF($A633="","",COUNTIFS(Orders!$C$2:$C$20001,$A633,Orders!$E$2:$E$20001,"COD",Orders!$F$2:$F$20001,"Delivered")+COUNTIFS(Orders!$C$2:$C$20001,$A633,Orders!$E$2:$E$20001,"COD",Orders!$F$2:$F$20001,"RTO"))</f>
        <v/>
      </c>
      <c r="C633" s="17" t="str">
        <f aca="false">IF($A633="","",COUNTIFS(Orders!$C$2:$C$20001,$A633,Orders!$E$2:$E$20001,"COD",Orders!$F$2:$F$20001,"RTO"))</f>
        <v/>
      </c>
      <c r="D633" s="18" t="str">
        <f aca="false">IF($A633="","",IFERROR(C633/B633,0))</f>
        <v/>
      </c>
      <c r="E633" s="17" t="str">
        <f aca="false">IF($A633="","",COUNTIFS(Orders!$C$2:$C$20001,$A633,Orders!$E$2:$E$20001,"Prepaid",Orders!$F$2:$F$20001,"Delivered")+COUNTIFS(Orders!$C$2:$C$20001,$A633,Orders!$E$2:$E$20001,"Prepaid",Orders!$F$2:$F$20001,"RTO"))</f>
        <v/>
      </c>
      <c r="F633" s="17" t="str">
        <f aca="false">IF($A633="","",COUNTIFS(Orders!$C$2:$C$20001,$A633,Orders!$E$2:$E$20001,"Prepaid",Orders!$F$2:$F$20001,"RTO"))</f>
        <v/>
      </c>
      <c r="G633" s="18" t="str">
        <f aca="false">IF($A633="","",IFERROR(F633/E633,0))</f>
        <v/>
      </c>
      <c r="H633" s="19" t="str">
        <f aca="false">IF($A633="","",C633*Settings!$B$11)</f>
        <v/>
      </c>
      <c r="I633" s="20" t="str">
        <f aca="false">IF($A633="","",IF(N(H633)=0,"",RANK(H633,$H$5:$H$2004)))</f>
        <v/>
      </c>
      <c r="J633" s="21" t="str">
        <f aca="false">IF($A633="","",IF(B633=0,"No COD orders",IF(B633&lt;Settings!$B$8,"Too few orders",IF(D633&gt;=Settings!$B$9,"Restrict COD or verify","Keep COD"))))</f>
        <v/>
      </c>
    </row>
    <row r="634" customFormat="false" ht="15" hidden="false" customHeight="false" outlineLevel="0" collapsed="false">
      <c r="A634" s="27"/>
      <c r="B634" s="17" t="str">
        <f aca="false">IF($A634="","",COUNTIFS(Orders!$C$2:$C$20001,$A634,Orders!$E$2:$E$20001,"COD",Orders!$F$2:$F$20001,"Delivered")+COUNTIFS(Orders!$C$2:$C$20001,$A634,Orders!$E$2:$E$20001,"COD",Orders!$F$2:$F$20001,"RTO"))</f>
        <v/>
      </c>
      <c r="C634" s="17" t="str">
        <f aca="false">IF($A634="","",COUNTIFS(Orders!$C$2:$C$20001,$A634,Orders!$E$2:$E$20001,"COD",Orders!$F$2:$F$20001,"RTO"))</f>
        <v/>
      </c>
      <c r="D634" s="18" t="str">
        <f aca="false">IF($A634="","",IFERROR(C634/B634,0))</f>
        <v/>
      </c>
      <c r="E634" s="17" t="str">
        <f aca="false">IF($A634="","",COUNTIFS(Orders!$C$2:$C$20001,$A634,Orders!$E$2:$E$20001,"Prepaid",Orders!$F$2:$F$20001,"Delivered")+COUNTIFS(Orders!$C$2:$C$20001,$A634,Orders!$E$2:$E$20001,"Prepaid",Orders!$F$2:$F$20001,"RTO"))</f>
        <v/>
      </c>
      <c r="F634" s="17" t="str">
        <f aca="false">IF($A634="","",COUNTIFS(Orders!$C$2:$C$20001,$A634,Orders!$E$2:$E$20001,"Prepaid",Orders!$F$2:$F$20001,"RTO"))</f>
        <v/>
      </c>
      <c r="G634" s="18" t="str">
        <f aca="false">IF($A634="","",IFERROR(F634/E634,0))</f>
        <v/>
      </c>
      <c r="H634" s="19" t="str">
        <f aca="false">IF($A634="","",C634*Settings!$B$11)</f>
        <v/>
      </c>
      <c r="I634" s="20" t="str">
        <f aca="false">IF($A634="","",IF(N(H634)=0,"",RANK(H634,$H$5:$H$2004)))</f>
        <v/>
      </c>
      <c r="J634" s="21" t="str">
        <f aca="false">IF($A634="","",IF(B634=0,"No COD orders",IF(B634&lt;Settings!$B$8,"Too few orders",IF(D634&gt;=Settings!$B$9,"Restrict COD or verify","Keep COD"))))</f>
        <v/>
      </c>
    </row>
    <row r="635" customFormat="false" ht="15" hidden="false" customHeight="false" outlineLevel="0" collapsed="false">
      <c r="A635" s="27"/>
      <c r="B635" s="17" t="str">
        <f aca="false">IF($A635="","",COUNTIFS(Orders!$C$2:$C$20001,$A635,Orders!$E$2:$E$20001,"COD",Orders!$F$2:$F$20001,"Delivered")+COUNTIFS(Orders!$C$2:$C$20001,$A635,Orders!$E$2:$E$20001,"COD",Orders!$F$2:$F$20001,"RTO"))</f>
        <v/>
      </c>
      <c r="C635" s="17" t="str">
        <f aca="false">IF($A635="","",COUNTIFS(Orders!$C$2:$C$20001,$A635,Orders!$E$2:$E$20001,"COD",Orders!$F$2:$F$20001,"RTO"))</f>
        <v/>
      </c>
      <c r="D635" s="18" t="str">
        <f aca="false">IF($A635="","",IFERROR(C635/B635,0))</f>
        <v/>
      </c>
      <c r="E635" s="17" t="str">
        <f aca="false">IF($A635="","",COUNTIFS(Orders!$C$2:$C$20001,$A635,Orders!$E$2:$E$20001,"Prepaid",Orders!$F$2:$F$20001,"Delivered")+COUNTIFS(Orders!$C$2:$C$20001,$A635,Orders!$E$2:$E$20001,"Prepaid",Orders!$F$2:$F$20001,"RTO"))</f>
        <v/>
      </c>
      <c r="F635" s="17" t="str">
        <f aca="false">IF($A635="","",COUNTIFS(Orders!$C$2:$C$20001,$A635,Orders!$E$2:$E$20001,"Prepaid",Orders!$F$2:$F$20001,"RTO"))</f>
        <v/>
      </c>
      <c r="G635" s="18" t="str">
        <f aca="false">IF($A635="","",IFERROR(F635/E635,0))</f>
        <v/>
      </c>
      <c r="H635" s="19" t="str">
        <f aca="false">IF($A635="","",C635*Settings!$B$11)</f>
        <v/>
      </c>
      <c r="I635" s="20" t="str">
        <f aca="false">IF($A635="","",IF(N(H635)=0,"",RANK(H635,$H$5:$H$2004)))</f>
        <v/>
      </c>
      <c r="J635" s="21" t="str">
        <f aca="false">IF($A635="","",IF(B635=0,"No COD orders",IF(B635&lt;Settings!$B$8,"Too few orders",IF(D635&gt;=Settings!$B$9,"Restrict COD or verify","Keep COD"))))</f>
        <v/>
      </c>
    </row>
    <row r="636" customFormat="false" ht="15" hidden="false" customHeight="false" outlineLevel="0" collapsed="false">
      <c r="A636" s="27"/>
      <c r="B636" s="17" t="str">
        <f aca="false">IF($A636="","",COUNTIFS(Orders!$C$2:$C$20001,$A636,Orders!$E$2:$E$20001,"COD",Orders!$F$2:$F$20001,"Delivered")+COUNTIFS(Orders!$C$2:$C$20001,$A636,Orders!$E$2:$E$20001,"COD",Orders!$F$2:$F$20001,"RTO"))</f>
        <v/>
      </c>
      <c r="C636" s="17" t="str">
        <f aca="false">IF($A636="","",COUNTIFS(Orders!$C$2:$C$20001,$A636,Orders!$E$2:$E$20001,"COD",Orders!$F$2:$F$20001,"RTO"))</f>
        <v/>
      </c>
      <c r="D636" s="18" t="str">
        <f aca="false">IF($A636="","",IFERROR(C636/B636,0))</f>
        <v/>
      </c>
      <c r="E636" s="17" t="str">
        <f aca="false">IF($A636="","",COUNTIFS(Orders!$C$2:$C$20001,$A636,Orders!$E$2:$E$20001,"Prepaid",Orders!$F$2:$F$20001,"Delivered")+COUNTIFS(Orders!$C$2:$C$20001,$A636,Orders!$E$2:$E$20001,"Prepaid",Orders!$F$2:$F$20001,"RTO"))</f>
        <v/>
      </c>
      <c r="F636" s="17" t="str">
        <f aca="false">IF($A636="","",COUNTIFS(Orders!$C$2:$C$20001,$A636,Orders!$E$2:$E$20001,"Prepaid",Orders!$F$2:$F$20001,"RTO"))</f>
        <v/>
      </c>
      <c r="G636" s="18" t="str">
        <f aca="false">IF($A636="","",IFERROR(F636/E636,0))</f>
        <v/>
      </c>
      <c r="H636" s="19" t="str">
        <f aca="false">IF($A636="","",C636*Settings!$B$11)</f>
        <v/>
      </c>
      <c r="I636" s="20" t="str">
        <f aca="false">IF($A636="","",IF(N(H636)=0,"",RANK(H636,$H$5:$H$2004)))</f>
        <v/>
      </c>
      <c r="J636" s="21" t="str">
        <f aca="false">IF($A636="","",IF(B636=0,"No COD orders",IF(B636&lt;Settings!$B$8,"Too few orders",IF(D636&gt;=Settings!$B$9,"Restrict COD or verify","Keep COD"))))</f>
        <v/>
      </c>
    </row>
    <row r="637" customFormat="false" ht="15" hidden="false" customHeight="false" outlineLevel="0" collapsed="false">
      <c r="A637" s="27"/>
      <c r="B637" s="17" t="str">
        <f aca="false">IF($A637="","",COUNTIFS(Orders!$C$2:$C$20001,$A637,Orders!$E$2:$E$20001,"COD",Orders!$F$2:$F$20001,"Delivered")+COUNTIFS(Orders!$C$2:$C$20001,$A637,Orders!$E$2:$E$20001,"COD",Orders!$F$2:$F$20001,"RTO"))</f>
        <v/>
      </c>
      <c r="C637" s="17" t="str">
        <f aca="false">IF($A637="","",COUNTIFS(Orders!$C$2:$C$20001,$A637,Orders!$E$2:$E$20001,"COD",Orders!$F$2:$F$20001,"RTO"))</f>
        <v/>
      </c>
      <c r="D637" s="18" t="str">
        <f aca="false">IF($A637="","",IFERROR(C637/B637,0))</f>
        <v/>
      </c>
      <c r="E637" s="17" t="str">
        <f aca="false">IF($A637="","",COUNTIFS(Orders!$C$2:$C$20001,$A637,Orders!$E$2:$E$20001,"Prepaid",Orders!$F$2:$F$20001,"Delivered")+COUNTIFS(Orders!$C$2:$C$20001,$A637,Orders!$E$2:$E$20001,"Prepaid",Orders!$F$2:$F$20001,"RTO"))</f>
        <v/>
      </c>
      <c r="F637" s="17" t="str">
        <f aca="false">IF($A637="","",COUNTIFS(Orders!$C$2:$C$20001,$A637,Orders!$E$2:$E$20001,"Prepaid",Orders!$F$2:$F$20001,"RTO"))</f>
        <v/>
      </c>
      <c r="G637" s="18" t="str">
        <f aca="false">IF($A637="","",IFERROR(F637/E637,0))</f>
        <v/>
      </c>
      <c r="H637" s="19" t="str">
        <f aca="false">IF($A637="","",C637*Settings!$B$11)</f>
        <v/>
      </c>
      <c r="I637" s="20" t="str">
        <f aca="false">IF($A637="","",IF(N(H637)=0,"",RANK(H637,$H$5:$H$2004)))</f>
        <v/>
      </c>
      <c r="J637" s="21" t="str">
        <f aca="false">IF($A637="","",IF(B637=0,"No COD orders",IF(B637&lt;Settings!$B$8,"Too few orders",IF(D637&gt;=Settings!$B$9,"Restrict COD or verify","Keep COD"))))</f>
        <v/>
      </c>
    </row>
    <row r="638" customFormat="false" ht="15" hidden="false" customHeight="false" outlineLevel="0" collapsed="false">
      <c r="A638" s="27"/>
      <c r="B638" s="17" t="str">
        <f aca="false">IF($A638="","",COUNTIFS(Orders!$C$2:$C$20001,$A638,Orders!$E$2:$E$20001,"COD",Orders!$F$2:$F$20001,"Delivered")+COUNTIFS(Orders!$C$2:$C$20001,$A638,Orders!$E$2:$E$20001,"COD",Orders!$F$2:$F$20001,"RTO"))</f>
        <v/>
      </c>
      <c r="C638" s="17" t="str">
        <f aca="false">IF($A638="","",COUNTIFS(Orders!$C$2:$C$20001,$A638,Orders!$E$2:$E$20001,"COD",Orders!$F$2:$F$20001,"RTO"))</f>
        <v/>
      </c>
      <c r="D638" s="18" t="str">
        <f aca="false">IF($A638="","",IFERROR(C638/B638,0))</f>
        <v/>
      </c>
      <c r="E638" s="17" t="str">
        <f aca="false">IF($A638="","",COUNTIFS(Orders!$C$2:$C$20001,$A638,Orders!$E$2:$E$20001,"Prepaid",Orders!$F$2:$F$20001,"Delivered")+COUNTIFS(Orders!$C$2:$C$20001,$A638,Orders!$E$2:$E$20001,"Prepaid",Orders!$F$2:$F$20001,"RTO"))</f>
        <v/>
      </c>
      <c r="F638" s="17" t="str">
        <f aca="false">IF($A638="","",COUNTIFS(Orders!$C$2:$C$20001,$A638,Orders!$E$2:$E$20001,"Prepaid",Orders!$F$2:$F$20001,"RTO"))</f>
        <v/>
      </c>
      <c r="G638" s="18" t="str">
        <f aca="false">IF($A638="","",IFERROR(F638/E638,0))</f>
        <v/>
      </c>
      <c r="H638" s="19" t="str">
        <f aca="false">IF($A638="","",C638*Settings!$B$11)</f>
        <v/>
      </c>
      <c r="I638" s="20" t="str">
        <f aca="false">IF($A638="","",IF(N(H638)=0,"",RANK(H638,$H$5:$H$2004)))</f>
        <v/>
      </c>
      <c r="J638" s="21" t="str">
        <f aca="false">IF($A638="","",IF(B638=0,"No COD orders",IF(B638&lt;Settings!$B$8,"Too few orders",IF(D638&gt;=Settings!$B$9,"Restrict COD or verify","Keep COD"))))</f>
        <v/>
      </c>
    </row>
    <row r="639" customFormat="false" ht="15" hidden="false" customHeight="false" outlineLevel="0" collapsed="false">
      <c r="A639" s="27"/>
      <c r="B639" s="17" t="str">
        <f aca="false">IF($A639="","",COUNTIFS(Orders!$C$2:$C$20001,$A639,Orders!$E$2:$E$20001,"COD",Orders!$F$2:$F$20001,"Delivered")+COUNTIFS(Orders!$C$2:$C$20001,$A639,Orders!$E$2:$E$20001,"COD",Orders!$F$2:$F$20001,"RTO"))</f>
        <v/>
      </c>
      <c r="C639" s="17" t="str">
        <f aca="false">IF($A639="","",COUNTIFS(Orders!$C$2:$C$20001,$A639,Orders!$E$2:$E$20001,"COD",Orders!$F$2:$F$20001,"RTO"))</f>
        <v/>
      </c>
      <c r="D639" s="18" t="str">
        <f aca="false">IF($A639="","",IFERROR(C639/B639,0))</f>
        <v/>
      </c>
      <c r="E639" s="17" t="str">
        <f aca="false">IF($A639="","",COUNTIFS(Orders!$C$2:$C$20001,$A639,Orders!$E$2:$E$20001,"Prepaid",Orders!$F$2:$F$20001,"Delivered")+COUNTIFS(Orders!$C$2:$C$20001,$A639,Orders!$E$2:$E$20001,"Prepaid",Orders!$F$2:$F$20001,"RTO"))</f>
        <v/>
      </c>
      <c r="F639" s="17" t="str">
        <f aca="false">IF($A639="","",COUNTIFS(Orders!$C$2:$C$20001,$A639,Orders!$E$2:$E$20001,"Prepaid",Orders!$F$2:$F$20001,"RTO"))</f>
        <v/>
      </c>
      <c r="G639" s="18" t="str">
        <f aca="false">IF($A639="","",IFERROR(F639/E639,0))</f>
        <v/>
      </c>
      <c r="H639" s="19" t="str">
        <f aca="false">IF($A639="","",C639*Settings!$B$11)</f>
        <v/>
      </c>
      <c r="I639" s="20" t="str">
        <f aca="false">IF($A639="","",IF(N(H639)=0,"",RANK(H639,$H$5:$H$2004)))</f>
        <v/>
      </c>
      <c r="J639" s="21" t="str">
        <f aca="false">IF($A639="","",IF(B639=0,"No COD orders",IF(B639&lt;Settings!$B$8,"Too few orders",IF(D639&gt;=Settings!$B$9,"Restrict COD or verify","Keep COD"))))</f>
        <v/>
      </c>
    </row>
    <row r="640" customFormat="false" ht="15" hidden="false" customHeight="false" outlineLevel="0" collapsed="false">
      <c r="A640" s="27"/>
      <c r="B640" s="17" t="str">
        <f aca="false">IF($A640="","",COUNTIFS(Orders!$C$2:$C$20001,$A640,Orders!$E$2:$E$20001,"COD",Orders!$F$2:$F$20001,"Delivered")+COUNTIFS(Orders!$C$2:$C$20001,$A640,Orders!$E$2:$E$20001,"COD",Orders!$F$2:$F$20001,"RTO"))</f>
        <v/>
      </c>
      <c r="C640" s="17" t="str">
        <f aca="false">IF($A640="","",COUNTIFS(Orders!$C$2:$C$20001,$A640,Orders!$E$2:$E$20001,"COD",Orders!$F$2:$F$20001,"RTO"))</f>
        <v/>
      </c>
      <c r="D640" s="18" t="str">
        <f aca="false">IF($A640="","",IFERROR(C640/B640,0))</f>
        <v/>
      </c>
      <c r="E640" s="17" t="str">
        <f aca="false">IF($A640="","",COUNTIFS(Orders!$C$2:$C$20001,$A640,Orders!$E$2:$E$20001,"Prepaid",Orders!$F$2:$F$20001,"Delivered")+COUNTIFS(Orders!$C$2:$C$20001,$A640,Orders!$E$2:$E$20001,"Prepaid",Orders!$F$2:$F$20001,"RTO"))</f>
        <v/>
      </c>
      <c r="F640" s="17" t="str">
        <f aca="false">IF($A640="","",COUNTIFS(Orders!$C$2:$C$20001,$A640,Orders!$E$2:$E$20001,"Prepaid",Orders!$F$2:$F$20001,"RTO"))</f>
        <v/>
      </c>
      <c r="G640" s="18" t="str">
        <f aca="false">IF($A640="","",IFERROR(F640/E640,0))</f>
        <v/>
      </c>
      <c r="H640" s="19" t="str">
        <f aca="false">IF($A640="","",C640*Settings!$B$11)</f>
        <v/>
      </c>
      <c r="I640" s="20" t="str">
        <f aca="false">IF($A640="","",IF(N(H640)=0,"",RANK(H640,$H$5:$H$2004)))</f>
        <v/>
      </c>
      <c r="J640" s="21" t="str">
        <f aca="false">IF($A640="","",IF(B640=0,"No COD orders",IF(B640&lt;Settings!$B$8,"Too few orders",IF(D640&gt;=Settings!$B$9,"Restrict COD or verify","Keep COD"))))</f>
        <v/>
      </c>
    </row>
    <row r="641" customFormat="false" ht="15" hidden="false" customHeight="false" outlineLevel="0" collapsed="false">
      <c r="A641" s="27"/>
      <c r="B641" s="17" t="str">
        <f aca="false">IF($A641="","",COUNTIFS(Orders!$C$2:$C$20001,$A641,Orders!$E$2:$E$20001,"COD",Orders!$F$2:$F$20001,"Delivered")+COUNTIFS(Orders!$C$2:$C$20001,$A641,Orders!$E$2:$E$20001,"COD",Orders!$F$2:$F$20001,"RTO"))</f>
        <v/>
      </c>
      <c r="C641" s="17" t="str">
        <f aca="false">IF($A641="","",COUNTIFS(Orders!$C$2:$C$20001,$A641,Orders!$E$2:$E$20001,"COD",Orders!$F$2:$F$20001,"RTO"))</f>
        <v/>
      </c>
      <c r="D641" s="18" t="str">
        <f aca="false">IF($A641="","",IFERROR(C641/B641,0))</f>
        <v/>
      </c>
      <c r="E641" s="17" t="str">
        <f aca="false">IF($A641="","",COUNTIFS(Orders!$C$2:$C$20001,$A641,Orders!$E$2:$E$20001,"Prepaid",Orders!$F$2:$F$20001,"Delivered")+COUNTIFS(Orders!$C$2:$C$20001,$A641,Orders!$E$2:$E$20001,"Prepaid",Orders!$F$2:$F$20001,"RTO"))</f>
        <v/>
      </c>
      <c r="F641" s="17" t="str">
        <f aca="false">IF($A641="","",COUNTIFS(Orders!$C$2:$C$20001,$A641,Orders!$E$2:$E$20001,"Prepaid",Orders!$F$2:$F$20001,"RTO"))</f>
        <v/>
      </c>
      <c r="G641" s="18" t="str">
        <f aca="false">IF($A641="","",IFERROR(F641/E641,0))</f>
        <v/>
      </c>
      <c r="H641" s="19" t="str">
        <f aca="false">IF($A641="","",C641*Settings!$B$11)</f>
        <v/>
      </c>
      <c r="I641" s="20" t="str">
        <f aca="false">IF($A641="","",IF(N(H641)=0,"",RANK(H641,$H$5:$H$2004)))</f>
        <v/>
      </c>
      <c r="J641" s="21" t="str">
        <f aca="false">IF($A641="","",IF(B641=0,"No COD orders",IF(B641&lt;Settings!$B$8,"Too few orders",IF(D641&gt;=Settings!$B$9,"Restrict COD or verify","Keep COD"))))</f>
        <v/>
      </c>
    </row>
    <row r="642" customFormat="false" ht="15" hidden="false" customHeight="false" outlineLevel="0" collapsed="false">
      <c r="A642" s="27"/>
      <c r="B642" s="17" t="str">
        <f aca="false">IF($A642="","",COUNTIFS(Orders!$C$2:$C$20001,$A642,Orders!$E$2:$E$20001,"COD",Orders!$F$2:$F$20001,"Delivered")+COUNTIFS(Orders!$C$2:$C$20001,$A642,Orders!$E$2:$E$20001,"COD",Orders!$F$2:$F$20001,"RTO"))</f>
        <v/>
      </c>
      <c r="C642" s="17" t="str">
        <f aca="false">IF($A642="","",COUNTIFS(Orders!$C$2:$C$20001,$A642,Orders!$E$2:$E$20001,"COD",Orders!$F$2:$F$20001,"RTO"))</f>
        <v/>
      </c>
      <c r="D642" s="18" t="str">
        <f aca="false">IF($A642="","",IFERROR(C642/B642,0))</f>
        <v/>
      </c>
      <c r="E642" s="17" t="str">
        <f aca="false">IF($A642="","",COUNTIFS(Orders!$C$2:$C$20001,$A642,Orders!$E$2:$E$20001,"Prepaid",Orders!$F$2:$F$20001,"Delivered")+COUNTIFS(Orders!$C$2:$C$20001,$A642,Orders!$E$2:$E$20001,"Prepaid",Orders!$F$2:$F$20001,"RTO"))</f>
        <v/>
      </c>
      <c r="F642" s="17" t="str">
        <f aca="false">IF($A642="","",COUNTIFS(Orders!$C$2:$C$20001,$A642,Orders!$E$2:$E$20001,"Prepaid",Orders!$F$2:$F$20001,"RTO"))</f>
        <v/>
      </c>
      <c r="G642" s="18" t="str">
        <f aca="false">IF($A642="","",IFERROR(F642/E642,0))</f>
        <v/>
      </c>
      <c r="H642" s="19" t="str">
        <f aca="false">IF($A642="","",C642*Settings!$B$11)</f>
        <v/>
      </c>
      <c r="I642" s="20" t="str">
        <f aca="false">IF($A642="","",IF(N(H642)=0,"",RANK(H642,$H$5:$H$2004)))</f>
        <v/>
      </c>
      <c r="J642" s="21" t="str">
        <f aca="false">IF($A642="","",IF(B642=0,"No COD orders",IF(B642&lt;Settings!$B$8,"Too few orders",IF(D642&gt;=Settings!$B$9,"Restrict COD or verify","Keep COD"))))</f>
        <v/>
      </c>
    </row>
    <row r="643" customFormat="false" ht="15" hidden="false" customHeight="false" outlineLevel="0" collapsed="false">
      <c r="A643" s="27"/>
      <c r="B643" s="17" t="str">
        <f aca="false">IF($A643="","",COUNTIFS(Orders!$C$2:$C$20001,$A643,Orders!$E$2:$E$20001,"COD",Orders!$F$2:$F$20001,"Delivered")+COUNTIFS(Orders!$C$2:$C$20001,$A643,Orders!$E$2:$E$20001,"COD",Orders!$F$2:$F$20001,"RTO"))</f>
        <v/>
      </c>
      <c r="C643" s="17" t="str">
        <f aca="false">IF($A643="","",COUNTIFS(Orders!$C$2:$C$20001,$A643,Orders!$E$2:$E$20001,"COD",Orders!$F$2:$F$20001,"RTO"))</f>
        <v/>
      </c>
      <c r="D643" s="18" t="str">
        <f aca="false">IF($A643="","",IFERROR(C643/B643,0))</f>
        <v/>
      </c>
      <c r="E643" s="17" t="str">
        <f aca="false">IF($A643="","",COUNTIFS(Orders!$C$2:$C$20001,$A643,Orders!$E$2:$E$20001,"Prepaid",Orders!$F$2:$F$20001,"Delivered")+COUNTIFS(Orders!$C$2:$C$20001,$A643,Orders!$E$2:$E$20001,"Prepaid",Orders!$F$2:$F$20001,"RTO"))</f>
        <v/>
      </c>
      <c r="F643" s="17" t="str">
        <f aca="false">IF($A643="","",COUNTIFS(Orders!$C$2:$C$20001,$A643,Orders!$E$2:$E$20001,"Prepaid",Orders!$F$2:$F$20001,"RTO"))</f>
        <v/>
      </c>
      <c r="G643" s="18" t="str">
        <f aca="false">IF($A643="","",IFERROR(F643/E643,0))</f>
        <v/>
      </c>
      <c r="H643" s="19" t="str">
        <f aca="false">IF($A643="","",C643*Settings!$B$11)</f>
        <v/>
      </c>
      <c r="I643" s="20" t="str">
        <f aca="false">IF($A643="","",IF(N(H643)=0,"",RANK(H643,$H$5:$H$2004)))</f>
        <v/>
      </c>
      <c r="J643" s="21" t="str">
        <f aca="false">IF($A643="","",IF(B643=0,"No COD orders",IF(B643&lt;Settings!$B$8,"Too few orders",IF(D643&gt;=Settings!$B$9,"Restrict COD or verify","Keep COD"))))</f>
        <v/>
      </c>
    </row>
    <row r="644" customFormat="false" ht="15" hidden="false" customHeight="false" outlineLevel="0" collapsed="false">
      <c r="A644" s="27"/>
      <c r="B644" s="17" t="str">
        <f aca="false">IF($A644="","",COUNTIFS(Orders!$C$2:$C$20001,$A644,Orders!$E$2:$E$20001,"COD",Orders!$F$2:$F$20001,"Delivered")+COUNTIFS(Orders!$C$2:$C$20001,$A644,Orders!$E$2:$E$20001,"COD",Orders!$F$2:$F$20001,"RTO"))</f>
        <v/>
      </c>
      <c r="C644" s="17" t="str">
        <f aca="false">IF($A644="","",COUNTIFS(Orders!$C$2:$C$20001,$A644,Orders!$E$2:$E$20001,"COD",Orders!$F$2:$F$20001,"RTO"))</f>
        <v/>
      </c>
      <c r="D644" s="18" t="str">
        <f aca="false">IF($A644="","",IFERROR(C644/B644,0))</f>
        <v/>
      </c>
      <c r="E644" s="17" t="str">
        <f aca="false">IF($A644="","",COUNTIFS(Orders!$C$2:$C$20001,$A644,Orders!$E$2:$E$20001,"Prepaid",Orders!$F$2:$F$20001,"Delivered")+COUNTIFS(Orders!$C$2:$C$20001,$A644,Orders!$E$2:$E$20001,"Prepaid",Orders!$F$2:$F$20001,"RTO"))</f>
        <v/>
      </c>
      <c r="F644" s="17" t="str">
        <f aca="false">IF($A644="","",COUNTIFS(Orders!$C$2:$C$20001,$A644,Orders!$E$2:$E$20001,"Prepaid",Orders!$F$2:$F$20001,"RTO"))</f>
        <v/>
      </c>
      <c r="G644" s="18" t="str">
        <f aca="false">IF($A644="","",IFERROR(F644/E644,0))</f>
        <v/>
      </c>
      <c r="H644" s="19" t="str">
        <f aca="false">IF($A644="","",C644*Settings!$B$11)</f>
        <v/>
      </c>
      <c r="I644" s="20" t="str">
        <f aca="false">IF($A644="","",IF(N(H644)=0,"",RANK(H644,$H$5:$H$2004)))</f>
        <v/>
      </c>
      <c r="J644" s="21" t="str">
        <f aca="false">IF($A644="","",IF(B644=0,"No COD orders",IF(B644&lt;Settings!$B$8,"Too few orders",IF(D644&gt;=Settings!$B$9,"Restrict COD or verify","Keep COD"))))</f>
        <v/>
      </c>
    </row>
    <row r="645" customFormat="false" ht="15" hidden="false" customHeight="false" outlineLevel="0" collapsed="false">
      <c r="A645" s="27"/>
      <c r="B645" s="17" t="str">
        <f aca="false">IF($A645="","",COUNTIFS(Orders!$C$2:$C$20001,$A645,Orders!$E$2:$E$20001,"COD",Orders!$F$2:$F$20001,"Delivered")+COUNTIFS(Orders!$C$2:$C$20001,$A645,Orders!$E$2:$E$20001,"COD",Orders!$F$2:$F$20001,"RTO"))</f>
        <v/>
      </c>
      <c r="C645" s="17" t="str">
        <f aca="false">IF($A645="","",COUNTIFS(Orders!$C$2:$C$20001,$A645,Orders!$E$2:$E$20001,"COD",Orders!$F$2:$F$20001,"RTO"))</f>
        <v/>
      </c>
      <c r="D645" s="18" t="str">
        <f aca="false">IF($A645="","",IFERROR(C645/B645,0))</f>
        <v/>
      </c>
      <c r="E645" s="17" t="str">
        <f aca="false">IF($A645="","",COUNTIFS(Orders!$C$2:$C$20001,$A645,Orders!$E$2:$E$20001,"Prepaid",Orders!$F$2:$F$20001,"Delivered")+COUNTIFS(Orders!$C$2:$C$20001,$A645,Orders!$E$2:$E$20001,"Prepaid",Orders!$F$2:$F$20001,"RTO"))</f>
        <v/>
      </c>
      <c r="F645" s="17" t="str">
        <f aca="false">IF($A645="","",COUNTIFS(Orders!$C$2:$C$20001,$A645,Orders!$E$2:$E$20001,"Prepaid",Orders!$F$2:$F$20001,"RTO"))</f>
        <v/>
      </c>
      <c r="G645" s="18" t="str">
        <f aca="false">IF($A645="","",IFERROR(F645/E645,0))</f>
        <v/>
      </c>
      <c r="H645" s="19" t="str">
        <f aca="false">IF($A645="","",C645*Settings!$B$11)</f>
        <v/>
      </c>
      <c r="I645" s="20" t="str">
        <f aca="false">IF($A645="","",IF(N(H645)=0,"",RANK(H645,$H$5:$H$2004)))</f>
        <v/>
      </c>
      <c r="J645" s="21" t="str">
        <f aca="false">IF($A645="","",IF(B645=0,"No COD orders",IF(B645&lt;Settings!$B$8,"Too few orders",IF(D645&gt;=Settings!$B$9,"Restrict COD or verify","Keep COD"))))</f>
        <v/>
      </c>
    </row>
    <row r="646" customFormat="false" ht="15" hidden="false" customHeight="false" outlineLevel="0" collapsed="false">
      <c r="A646" s="27"/>
      <c r="B646" s="17" t="str">
        <f aca="false">IF($A646="","",COUNTIFS(Orders!$C$2:$C$20001,$A646,Orders!$E$2:$E$20001,"COD",Orders!$F$2:$F$20001,"Delivered")+COUNTIFS(Orders!$C$2:$C$20001,$A646,Orders!$E$2:$E$20001,"COD",Orders!$F$2:$F$20001,"RTO"))</f>
        <v/>
      </c>
      <c r="C646" s="17" t="str">
        <f aca="false">IF($A646="","",COUNTIFS(Orders!$C$2:$C$20001,$A646,Orders!$E$2:$E$20001,"COD",Orders!$F$2:$F$20001,"RTO"))</f>
        <v/>
      </c>
      <c r="D646" s="18" t="str">
        <f aca="false">IF($A646="","",IFERROR(C646/B646,0))</f>
        <v/>
      </c>
      <c r="E646" s="17" t="str">
        <f aca="false">IF($A646="","",COUNTIFS(Orders!$C$2:$C$20001,$A646,Orders!$E$2:$E$20001,"Prepaid",Orders!$F$2:$F$20001,"Delivered")+COUNTIFS(Orders!$C$2:$C$20001,$A646,Orders!$E$2:$E$20001,"Prepaid",Orders!$F$2:$F$20001,"RTO"))</f>
        <v/>
      </c>
      <c r="F646" s="17" t="str">
        <f aca="false">IF($A646="","",COUNTIFS(Orders!$C$2:$C$20001,$A646,Orders!$E$2:$E$20001,"Prepaid",Orders!$F$2:$F$20001,"RTO"))</f>
        <v/>
      </c>
      <c r="G646" s="18" t="str">
        <f aca="false">IF($A646="","",IFERROR(F646/E646,0))</f>
        <v/>
      </c>
      <c r="H646" s="19" t="str">
        <f aca="false">IF($A646="","",C646*Settings!$B$11)</f>
        <v/>
      </c>
      <c r="I646" s="20" t="str">
        <f aca="false">IF($A646="","",IF(N(H646)=0,"",RANK(H646,$H$5:$H$2004)))</f>
        <v/>
      </c>
      <c r="J646" s="21" t="str">
        <f aca="false">IF($A646="","",IF(B646=0,"No COD orders",IF(B646&lt;Settings!$B$8,"Too few orders",IF(D646&gt;=Settings!$B$9,"Restrict COD or verify","Keep COD"))))</f>
        <v/>
      </c>
    </row>
    <row r="647" customFormat="false" ht="15" hidden="false" customHeight="false" outlineLevel="0" collapsed="false">
      <c r="A647" s="27"/>
      <c r="B647" s="17" t="str">
        <f aca="false">IF($A647="","",COUNTIFS(Orders!$C$2:$C$20001,$A647,Orders!$E$2:$E$20001,"COD",Orders!$F$2:$F$20001,"Delivered")+COUNTIFS(Orders!$C$2:$C$20001,$A647,Orders!$E$2:$E$20001,"COD",Orders!$F$2:$F$20001,"RTO"))</f>
        <v/>
      </c>
      <c r="C647" s="17" t="str">
        <f aca="false">IF($A647="","",COUNTIFS(Orders!$C$2:$C$20001,$A647,Orders!$E$2:$E$20001,"COD",Orders!$F$2:$F$20001,"RTO"))</f>
        <v/>
      </c>
      <c r="D647" s="18" t="str">
        <f aca="false">IF($A647="","",IFERROR(C647/B647,0))</f>
        <v/>
      </c>
      <c r="E647" s="17" t="str">
        <f aca="false">IF($A647="","",COUNTIFS(Orders!$C$2:$C$20001,$A647,Orders!$E$2:$E$20001,"Prepaid",Orders!$F$2:$F$20001,"Delivered")+COUNTIFS(Orders!$C$2:$C$20001,$A647,Orders!$E$2:$E$20001,"Prepaid",Orders!$F$2:$F$20001,"RTO"))</f>
        <v/>
      </c>
      <c r="F647" s="17" t="str">
        <f aca="false">IF($A647="","",COUNTIFS(Orders!$C$2:$C$20001,$A647,Orders!$E$2:$E$20001,"Prepaid",Orders!$F$2:$F$20001,"RTO"))</f>
        <v/>
      </c>
      <c r="G647" s="18" t="str">
        <f aca="false">IF($A647="","",IFERROR(F647/E647,0))</f>
        <v/>
      </c>
      <c r="H647" s="19" t="str">
        <f aca="false">IF($A647="","",C647*Settings!$B$11)</f>
        <v/>
      </c>
      <c r="I647" s="20" t="str">
        <f aca="false">IF($A647="","",IF(N(H647)=0,"",RANK(H647,$H$5:$H$2004)))</f>
        <v/>
      </c>
      <c r="J647" s="21" t="str">
        <f aca="false">IF($A647="","",IF(B647=0,"No COD orders",IF(B647&lt;Settings!$B$8,"Too few orders",IF(D647&gt;=Settings!$B$9,"Restrict COD or verify","Keep COD"))))</f>
        <v/>
      </c>
    </row>
    <row r="648" customFormat="false" ht="15" hidden="false" customHeight="false" outlineLevel="0" collapsed="false">
      <c r="A648" s="27"/>
      <c r="B648" s="17" t="str">
        <f aca="false">IF($A648="","",COUNTIFS(Orders!$C$2:$C$20001,$A648,Orders!$E$2:$E$20001,"COD",Orders!$F$2:$F$20001,"Delivered")+COUNTIFS(Orders!$C$2:$C$20001,$A648,Orders!$E$2:$E$20001,"COD",Orders!$F$2:$F$20001,"RTO"))</f>
        <v/>
      </c>
      <c r="C648" s="17" t="str">
        <f aca="false">IF($A648="","",COUNTIFS(Orders!$C$2:$C$20001,$A648,Orders!$E$2:$E$20001,"COD",Orders!$F$2:$F$20001,"RTO"))</f>
        <v/>
      </c>
      <c r="D648" s="18" t="str">
        <f aca="false">IF($A648="","",IFERROR(C648/B648,0))</f>
        <v/>
      </c>
      <c r="E648" s="17" t="str">
        <f aca="false">IF($A648="","",COUNTIFS(Orders!$C$2:$C$20001,$A648,Orders!$E$2:$E$20001,"Prepaid",Orders!$F$2:$F$20001,"Delivered")+COUNTIFS(Orders!$C$2:$C$20001,$A648,Orders!$E$2:$E$20001,"Prepaid",Orders!$F$2:$F$20001,"RTO"))</f>
        <v/>
      </c>
      <c r="F648" s="17" t="str">
        <f aca="false">IF($A648="","",COUNTIFS(Orders!$C$2:$C$20001,$A648,Orders!$E$2:$E$20001,"Prepaid",Orders!$F$2:$F$20001,"RTO"))</f>
        <v/>
      </c>
      <c r="G648" s="18" t="str">
        <f aca="false">IF($A648="","",IFERROR(F648/E648,0))</f>
        <v/>
      </c>
      <c r="H648" s="19" t="str">
        <f aca="false">IF($A648="","",C648*Settings!$B$11)</f>
        <v/>
      </c>
      <c r="I648" s="20" t="str">
        <f aca="false">IF($A648="","",IF(N(H648)=0,"",RANK(H648,$H$5:$H$2004)))</f>
        <v/>
      </c>
      <c r="J648" s="21" t="str">
        <f aca="false">IF($A648="","",IF(B648=0,"No COD orders",IF(B648&lt;Settings!$B$8,"Too few orders",IF(D648&gt;=Settings!$B$9,"Restrict COD or verify","Keep COD"))))</f>
        <v/>
      </c>
    </row>
    <row r="649" customFormat="false" ht="15" hidden="false" customHeight="false" outlineLevel="0" collapsed="false">
      <c r="A649" s="27"/>
      <c r="B649" s="17" t="str">
        <f aca="false">IF($A649="","",COUNTIFS(Orders!$C$2:$C$20001,$A649,Orders!$E$2:$E$20001,"COD",Orders!$F$2:$F$20001,"Delivered")+COUNTIFS(Orders!$C$2:$C$20001,$A649,Orders!$E$2:$E$20001,"COD",Orders!$F$2:$F$20001,"RTO"))</f>
        <v/>
      </c>
      <c r="C649" s="17" t="str">
        <f aca="false">IF($A649="","",COUNTIFS(Orders!$C$2:$C$20001,$A649,Orders!$E$2:$E$20001,"COD",Orders!$F$2:$F$20001,"RTO"))</f>
        <v/>
      </c>
      <c r="D649" s="18" t="str">
        <f aca="false">IF($A649="","",IFERROR(C649/B649,0))</f>
        <v/>
      </c>
      <c r="E649" s="17" t="str">
        <f aca="false">IF($A649="","",COUNTIFS(Orders!$C$2:$C$20001,$A649,Orders!$E$2:$E$20001,"Prepaid",Orders!$F$2:$F$20001,"Delivered")+COUNTIFS(Orders!$C$2:$C$20001,$A649,Orders!$E$2:$E$20001,"Prepaid",Orders!$F$2:$F$20001,"RTO"))</f>
        <v/>
      </c>
      <c r="F649" s="17" t="str">
        <f aca="false">IF($A649="","",COUNTIFS(Orders!$C$2:$C$20001,$A649,Orders!$E$2:$E$20001,"Prepaid",Orders!$F$2:$F$20001,"RTO"))</f>
        <v/>
      </c>
      <c r="G649" s="18" t="str">
        <f aca="false">IF($A649="","",IFERROR(F649/E649,0))</f>
        <v/>
      </c>
      <c r="H649" s="19" t="str">
        <f aca="false">IF($A649="","",C649*Settings!$B$11)</f>
        <v/>
      </c>
      <c r="I649" s="20" t="str">
        <f aca="false">IF($A649="","",IF(N(H649)=0,"",RANK(H649,$H$5:$H$2004)))</f>
        <v/>
      </c>
      <c r="J649" s="21" t="str">
        <f aca="false">IF($A649="","",IF(B649=0,"No COD orders",IF(B649&lt;Settings!$B$8,"Too few orders",IF(D649&gt;=Settings!$B$9,"Restrict COD or verify","Keep COD"))))</f>
        <v/>
      </c>
    </row>
    <row r="650" customFormat="false" ht="15" hidden="false" customHeight="false" outlineLevel="0" collapsed="false">
      <c r="A650" s="27"/>
      <c r="B650" s="17" t="str">
        <f aca="false">IF($A650="","",COUNTIFS(Orders!$C$2:$C$20001,$A650,Orders!$E$2:$E$20001,"COD",Orders!$F$2:$F$20001,"Delivered")+COUNTIFS(Orders!$C$2:$C$20001,$A650,Orders!$E$2:$E$20001,"COD",Orders!$F$2:$F$20001,"RTO"))</f>
        <v/>
      </c>
      <c r="C650" s="17" t="str">
        <f aca="false">IF($A650="","",COUNTIFS(Orders!$C$2:$C$20001,$A650,Orders!$E$2:$E$20001,"COD",Orders!$F$2:$F$20001,"RTO"))</f>
        <v/>
      </c>
      <c r="D650" s="18" t="str">
        <f aca="false">IF($A650="","",IFERROR(C650/B650,0))</f>
        <v/>
      </c>
      <c r="E650" s="17" t="str">
        <f aca="false">IF($A650="","",COUNTIFS(Orders!$C$2:$C$20001,$A650,Orders!$E$2:$E$20001,"Prepaid",Orders!$F$2:$F$20001,"Delivered")+COUNTIFS(Orders!$C$2:$C$20001,$A650,Orders!$E$2:$E$20001,"Prepaid",Orders!$F$2:$F$20001,"RTO"))</f>
        <v/>
      </c>
      <c r="F650" s="17" t="str">
        <f aca="false">IF($A650="","",COUNTIFS(Orders!$C$2:$C$20001,$A650,Orders!$E$2:$E$20001,"Prepaid",Orders!$F$2:$F$20001,"RTO"))</f>
        <v/>
      </c>
      <c r="G650" s="18" t="str">
        <f aca="false">IF($A650="","",IFERROR(F650/E650,0))</f>
        <v/>
      </c>
      <c r="H650" s="19" t="str">
        <f aca="false">IF($A650="","",C650*Settings!$B$11)</f>
        <v/>
      </c>
      <c r="I650" s="20" t="str">
        <f aca="false">IF($A650="","",IF(N(H650)=0,"",RANK(H650,$H$5:$H$2004)))</f>
        <v/>
      </c>
      <c r="J650" s="21" t="str">
        <f aca="false">IF($A650="","",IF(B650=0,"No COD orders",IF(B650&lt;Settings!$B$8,"Too few orders",IF(D650&gt;=Settings!$B$9,"Restrict COD or verify","Keep COD"))))</f>
        <v/>
      </c>
    </row>
    <row r="651" customFormat="false" ht="15" hidden="false" customHeight="false" outlineLevel="0" collapsed="false">
      <c r="A651" s="27"/>
      <c r="B651" s="17" t="str">
        <f aca="false">IF($A651="","",COUNTIFS(Orders!$C$2:$C$20001,$A651,Orders!$E$2:$E$20001,"COD",Orders!$F$2:$F$20001,"Delivered")+COUNTIFS(Orders!$C$2:$C$20001,$A651,Orders!$E$2:$E$20001,"COD",Orders!$F$2:$F$20001,"RTO"))</f>
        <v/>
      </c>
      <c r="C651" s="17" t="str">
        <f aca="false">IF($A651="","",COUNTIFS(Orders!$C$2:$C$20001,$A651,Orders!$E$2:$E$20001,"COD",Orders!$F$2:$F$20001,"RTO"))</f>
        <v/>
      </c>
      <c r="D651" s="18" t="str">
        <f aca="false">IF($A651="","",IFERROR(C651/B651,0))</f>
        <v/>
      </c>
      <c r="E651" s="17" t="str">
        <f aca="false">IF($A651="","",COUNTIFS(Orders!$C$2:$C$20001,$A651,Orders!$E$2:$E$20001,"Prepaid",Orders!$F$2:$F$20001,"Delivered")+COUNTIFS(Orders!$C$2:$C$20001,$A651,Orders!$E$2:$E$20001,"Prepaid",Orders!$F$2:$F$20001,"RTO"))</f>
        <v/>
      </c>
      <c r="F651" s="17" t="str">
        <f aca="false">IF($A651="","",COUNTIFS(Orders!$C$2:$C$20001,$A651,Orders!$E$2:$E$20001,"Prepaid",Orders!$F$2:$F$20001,"RTO"))</f>
        <v/>
      </c>
      <c r="G651" s="18" t="str">
        <f aca="false">IF($A651="","",IFERROR(F651/E651,0))</f>
        <v/>
      </c>
      <c r="H651" s="19" t="str">
        <f aca="false">IF($A651="","",C651*Settings!$B$11)</f>
        <v/>
      </c>
      <c r="I651" s="20" t="str">
        <f aca="false">IF($A651="","",IF(N(H651)=0,"",RANK(H651,$H$5:$H$2004)))</f>
        <v/>
      </c>
      <c r="J651" s="21" t="str">
        <f aca="false">IF($A651="","",IF(B651=0,"No COD orders",IF(B651&lt;Settings!$B$8,"Too few orders",IF(D651&gt;=Settings!$B$9,"Restrict COD or verify","Keep COD"))))</f>
        <v/>
      </c>
    </row>
    <row r="652" customFormat="false" ht="15" hidden="false" customHeight="false" outlineLevel="0" collapsed="false">
      <c r="A652" s="27"/>
      <c r="B652" s="17" t="str">
        <f aca="false">IF($A652="","",COUNTIFS(Orders!$C$2:$C$20001,$A652,Orders!$E$2:$E$20001,"COD",Orders!$F$2:$F$20001,"Delivered")+COUNTIFS(Orders!$C$2:$C$20001,$A652,Orders!$E$2:$E$20001,"COD",Orders!$F$2:$F$20001,"RTO"))</f>
        <v/>
      </c>
      <c r="C652" s="17" t="str">
        <f aca="false">IF($A652="","",COUNTIFS(Orders!$C$2:$C$20001,$A652,Orders!$E$2:$E$20001,"COD",Orders!$F$2:$F$20001,"RTO"))</f>
        <v/>
      </c>
      <c r="D652" s="18" t="str">
        <f aca="false">IF($A652="","",IFERROR(C652/B652,0))</f>
        <v/>
      </c>
      <c r="E652" s="17" t="str">
        <f aca="false">IF($A652="","",COUNTIFS(Orders!$C$2:$C$20001,$A652,Orders!$E$2:$E$20001,"Prepaid",Orders!$F$2:$F$20001,"Delivered")+COUNTIFS(Orders!$C$2:$C$20001,$A652,Orders!$E$2:$E$20001,"Prepaid",Orders!$F$2:$F$20001,"RTO"))</f>
        <v/>
      </c>
      <c r="F652" s="17" t="str">
        <f aca="false">IF($A652="","",COUNTIFS(Orders!$C$2:$C$20001,$A652,Orders!$E$2:$E$20001,"Prepaid",Orders!$F$2:$F$20001,"RTO"))</f>
        <v/>
      </c>
      <c r="G652" s="18" t="str">
        <f aca="false">IF($A652="","",IFERROR(F652/E652,0))</f>
        <v/>
      </c>
      <c r="H652" s="19" t="str">
        <f aca="false">IF($A652="","",C652*Settings!$B$11)</f>
        <v/>
      </c>
      <c r="I652" s="20" t="str">
        <f aca="false">IF($A652="","",IF(N(H652)=0,"",RANK(H652,$H$5:$H$2004)))</f>
        <v/>
      </c>
      <c r="J652" s="21" t="str">
        <f aca="false">IF($A652="","",IF(B652=0,"No COD orders",IF(B652&lt;Settings!$B$8,"Too few orders",IF(D652&gt;=Settings!$B$9,"Restrict COD or verify","Keep COD"))))</f>
        <v/>
      </c>
    </row>
    <row r="653" customFormat="false" ht="15" hidden="false" customHeight="false" outlineLevel="0" collapsed="false">
      <c r="A653" s="27"/>
      <c r="B653" s="17" t="str">
        <f aca="false">IF($A653="","",COUNTIFS(Orders!$C$2:$C$20001,$A653,Orders!$E$2:$E$20001,"COD",Orders!$F$2:$F$20001,"Delivered")+COUNTIFS(Orders!$C$2:$C$20001,$A653,Orders!$E$2:$E$20001,"COD",Orders!$F$2:$F$20001,"RTO"))</f>
        <v/>
      </c>
      <c r="C653" s="17" t="str">
        <f aca="false">IF($A653="","",COUNTIFS(Orders!$C$2:$C$20001,$A653,Orders!$E$2:$E$20001,"COD",Orders!$F$2:$F$20001,"RTO"))</f>
        <v/>
      </c>
      <c r="D653" s="18" t="str">
        <f aca="false">IF($A653="","",IFERROR(C653/B653,0))</f>
        <v/>
      </c>
      <c r="E653" s="17" t="str">
        <f aca="false">IF($A653="","",COUNTIFS(Orders!$C$2:$C$20001,$A653,Orders!$E$2:$E$20001,"Prepaid",Orders!$F$2:$F$20001,"Delivered")+COUNTIFS(Orders!$C$2:$C$20001,$A653,Orders!$E$2:$E$20001,"Prepaid",Orders!$F$2:$F$20001,"RTO"))</f>
        <v/>
      </c>
      <c r="F653" s="17" t="str">
        <f aca="false">IF($A653="","",COUNTIFS(Orders!$C$2:$C$20001,$A653,Orders!$E$2:$E$20001,"Prepaid",Orders!$F$2:$F$20001,"RTO"))</f>
        <v/>
      </c>
      <c r="G653" s="18" t="str">
        <f aca="false">IF($A653="","",IFERROR(F653/E653,0))</f>
        <v/>
      </c>
      <c r="H653" s="19" t="str">
        <f aca="false">IF($A653="","",C653*Settings!$B$11)</f>
        <v/>
      </c>
      <c r="I653" s="20" t="str">
        <f aca="false">IF($A653="","",IF(N(H653)=0,"",RANK(H653,$H$5:$H$2004)))</f>
        <v/>
      </c>
      <c r="J653" s="21" t="str">
        <f aca="false">IF($A653="","",IF(B653=0,"No COD orders",IF(B653&lt;Settings!$B$8,"Too few orders",IF(D653&gt;=Settings!$B$9,"Restrict COD or verify","Keep COD"))))</f>
        <v/>
      </c>
    </row>
    <row r="654" customFormat="false" ht="15" hidden="false" customHeight="false" outlineLevel="0" collapsed="false">
      <c r="A654" s="27"/>
      <c r="B654" s="17" t="str">
        <f aca="false">IF($A654="","",COUNTIFS(Orders!$C$2:$C$20001,$A654,Orders!$E$2:$E$20001,"COD",Orders!$F$2:$F$20001,"Delivered")+COUNTIFS(Orders!$C$2:$C$20001,$A654,Orders!$E$2:$E$20001,"COD",Orders!$F$2:$F$20001,"RTO"))</f>
        <v/>
      </c>
      <c r="C654" s="17" t="str">
        <f aca="false">IF($A654="","",COUNTIFS(Orders!$C$2:$C$20001,$A654,Orders!$E$2:$E$20001,"COD",Orders!$F$2:$F$20001,"RTO"))</f>
        <v/>
      </c>
      <c r="D654" s="18" t="str">
        <f aca="false">IF($A654="","",IFERROR(C654/B654,0))</f>
        <v/>
      </c>
      <c r="E654" s="17" t="str">
        <f aca="false">IF($A654="","",COUNTIFS(Orders!$C$2:$C$20001,$A654,Orders!$E$2:$E$20001,"Prepaid",Orders!$F$2:$F$20001,"Delivered")+COUNTIFS(Orders!$C$2:$C$20001,$A654,Orders!$E$2:$E$20001,"Prepaid",Orders!$F$2:$F$20001,"RTO"))</f>
        <v/>
      </c>
      <c r="F654" s="17" t="str">
        <f aca="false">IF($A654="","",COUNTIFS(Orders!$C$2:$C$20001,$A654,Orders!$E$2:$E$20001,"Prepaid",Orders!$F$2:$F$20001,"RTO"))</f>
        <v/>
      </c>
      <c r="G654" s="18" t="str">
        <f aca="false">IF($A654="","",IFERROR(F654/E654,0))</f>
        <v/>
      </c>
      <c r="H654" s="19" t="str">
        <f aca="false">IF($A654="","",C654*Settings!$B$11)</f>
        <v/>
      </c>
      <c r="I654" s="20" t="str">
        <f aca="false">IF($A654="","",IF(N(H654)=0,"",RANK(H654,$H$5:$H$2004)))</f>
        <v/>
      </c>
      <c r="J654" s="21" t="str">
        <f aca="false">IF($A654="","",IF(B654=0,"No COD orders",IF(B654&lt;Settings!$B$8,"Too few orders",IF(D654&gt;=Settings!$B$9,"Restrict COD or verify","Keep COD"))))</f>
        <v/>
      </c>
    </row>
    <row r="655" customFormat="false" ht="15" hidden="false" customHeight="false" outlineLevel="0" collapsed="false">
      <c r="A655" s="27"/>
      <c r="B655" s="17" t="str">
        <f aca="false">IF($A655="","",COUNTIFS(Orders!$C$2:$C$20001,$A655,Orders!$E$2:$E$20001,"COD",Orders!$F$2:$F$20001,"Delivered")+COUNTIFS(Orders!$C$2:$C$20001,$A655,Orders!$E$2:$E$20001,"COD",Orders!$F$2:$F$20001,"RTO"))</f>
        <v/>
      </c>
      <c r="C655" s="17" t="str">
        <f aca="false">IF($A655="","",COUNTIFS(Orders!$C$2:$C$20001,$A655,Orders!$E$2:$E$20001,"COD",Orders!$F$2:$F$20001,"RTO"))</f>
        <v/>
      </c>
      <c r="D655" s="18" t="str">
        <f aca="false">IF($A655="","",IFERROR(C655/B655,0))</f>
        <v/>
      </c>
      <c r="E655" s="17" t="str">
        <f aca="false">IF($A655="","",COUNTIFS(Orders!$C$2:$C$20001,$A655,Orders!$E$2:$E$20001,"Prepaid",Orders!$F$2:$F$20001,"Delivered")+COUNTIFS(Orders!$C$2:$C$20001,$A655,Orders!$E$2:$E$20001,"Prepaid",Orders!$F$2:$F$20001,"RTO"))</f>
        <v/>
      </c>
      <c r="F655" s="17" t="str">
        <f aca="false">IF($A655="","",COUNTIFS(Orders!$C$2:$C$20001,$A655,Orders!$E$2:$E$20001,"Prepaid",Orders!$F$2:$F$20001,"RTO"))</f>
        <v/>
      </c>
      <c r="G655" s="18" t="str">
        <f aca="false">IF($A655="","",IFERROR(F655/E655,0))</f>
        <v/>
      </c>
      <c r="H655" s="19" t="str">
        <f aca="false">IF($A655="","",C655*Settings!$B$11)</f>
        <v/>
      </c>
      <c r="I655" s="20" t="str">
        <f aca="false">IF($A655="","",IF(N(H655)=0,"",RANK(H655,$H$5:$H$2004)))</f>
        <v/>
      </c>
      <c r="J655" s="21" t="str">
        <f aca="false">IF($A655="","",IF(B655=0,"No COD orders",IF(B655&lt;Settings!$B$8,"Too few orders",IF(D655&gt;=Settings!$B$9,"Restrict COD or verify","Keep COD"))))</f>
        <v/>
      </c>
    </row>
    <row r="656" customFormat="false" ht="15" hidden="false" customHeight="false" outlineLevel="0" collapsed="false">
      <c r="A656" s="27"/>
      <c r="B656" s="17" t="str">
        <f aca="false">IF($A656="","",COUNTIFS(Orders!$C$2:$C$20001,$A656,Orders!$E$2:$E$20001,"COD",Orders!$F$2:$F$20001,"Delivered")+COUNTIFS(Orders!$C$2:$C$20001,$A656,Orders!$E$2:$E$20001,"COD",Orders!$F$2:$F$20001,"RTO"))</f>
        <v/>
      </c>
      <c r="C656" s="17" t="str">
        <f aca="false">IF($A656="","",COUNTIFS(Orders!$C$2:$C$20001,$A656,Orders!$E$2:$E$20001,"COD",Orders!$F$2:$F$20001,"RTO"))</f>
        <v/>
      </c>
      <c r="D656" s="18" t="str">
        <f aca="false">IF($A656="","",IFERROR(C656/B656,0))</f>
        <v/>
      </c>
      <c r="E656" s="17" t="str">
        <f aca="false">IF($A656="","",COUNTIFS(Orders!$C$2:$C$20001,$A656,Orders!$E$2:$E$20001,"Prepaid",Orders!$F$2:$F$20001,"Delivered")+COUNTIFS(Orders!$C$2:$C$20001,$A656,Orders!$E$2:$E$20001,"Prepaid",Orders!$F$2:$F$20001,"RTO"))</f>
        <v/>
      </c>
      <c r="F656" s="17" t="str">
        <f aca="false">IF($A656="","",COUNTIFS(Orders!$C$2:$C$20001,$A656,Orders!$E$2:$E$20001,"Prepaid",Orders!$F$2:$F$20001,"RTO"))</f>
        <v/>
      </c>
      <c r="G656" s="18" t="str">
        <f aca="false">IF($A656="","",IFERROR(F656/E656,0))</f>
        <v/>
      </c>
      <c r="H656" s="19" t="str">
        <f aca="false">IF($A656="","",C656*Settings!$B$11)</f>
        <v/>
      </c>
      <c r="I656" s="20" t="str">
        <f aca="false">IF($A656="","",IF(N(H656)=0,"",RANK(H656,$H$5:$H$2004)))</f>
        <v/>
      </c>
      <c r="J656" s="21" t="str">
        <f aca="false">IF($A656="","",IF(B656=0,"No COD orders",IF(B656&lt;Settings!$B$8,"Too few orders",IF(D656&gt;=Settings!$B$9,"Restrict COD or verify","Keep COD"))))</f>
        <v/>
      </c>
    </row>
    <row r="657" customFormat="false" ht="15" hidden="false" customHeight="false" outlineLevel="0" collapsed="false">
      <c r="A657" s="27"/>
      <c r="B657" s="17" t="str">
        <f aca="false">IF($A657="","",COUNTIFS(Orders!$C$2:$C$20001,$A657,Orders!$E$2:$E$20001,"COD",Orders!$F$2:$F$20001,"Delivered")+COUNTIFS(Orders!$C$2:$C$20001,$A657,Orders!$E$2:$E$20001,"COD",Orders!$F$2:$F$20001,"RTO"))</f>
        <v/>
      </c>
      <c r="C657" s="17" t="str">
        <f aca="false">IF($A657="","",COUNTIFS(Orders!$C$2:$C$20001,$A657,Orders!$E$2:$E$20001,"COD",Orders!$F$2:$F$20001,"RTO"))</f>
        <v/>
      </c>
      <c r="D657" s="18" t="str">
        <f aca="false">IF($A657="","",IFERROR(C657/B657,0))</f>
        <v/>
      </c>
      <c r="E657" s="17" t="str">
        <f aca="false">IF($A657="","",COUNTIFS(Orders!$C$2:$C$20001,$A657,Orders!$E$2:$E$20001,"Prepaid",Orders!$F$2:$F$20001,"Delivered")+COUNTIFS(Orders!$C$2:$C$20001,$A657,Orders!$E$2:$E$20001,"Prepaid",Orders!$F$2:$F$20001,"RTO"))</f>
        <v/>
      </c>
      <c r="F657" s="17" t="str">
        <f aca="false">IF($A657="","",COUNTIFS(Orders!$C$2:$C$20001,$A657,Orders!$E$2:$E$20001,"Prepaid",Orders!$F$2:$F$20001,"RTO"))</f>
        <v/>
      </c>
      <c r="G657" s="18" t="str">
        <f aca="false">IF($A657="","",IFERROR(F657/E657,0))</f>
        <v/>
      </c>
      <c r="H657" s="19" t="str">
        <f aca="false">IF($A657="","",C657*Settings!$B$11)</f>
        <v/>
      </c>
      <c r="I657" s="20" t="str">
        <f aca="false">IF($A657="","",IF(N(H657)=0,"",RANK(H657,$H$5:$H$2004)))</f>
        <v/>
      </c>
      <c r="J657" s="21" t="str">
        <f aca="false">IF($A657="","",IF(B657=0,"No COD orders",IF(B657&lt;Settings!$B$8,"Too few orders",IF(D657&gt;=Settings!$B$9,"Restrict COD or verify","Keep COD"))))</f>
        <v/>
      </c>
    </row>
    <row r="658" customFormat="false" ht="15" hidden="false" customHeight="false" outlineLevel="0" collapsed="false">
      <c r="A658" s="27"/>
      <c r="B658" s="17" t="str">
        <f aca="false">IF($A658="","",COUNTIFS(Orders!$C$2:$C$20001,$A658,Orders!$E$2:$E$20001,"COD",Orders!$F$2:$F$20001,"Delivered")+COUNTIFS(Orders!$C$2:$C$20001,$A658,Orders!$E$2:$E$20001,"COD",Orders!$F$2:$F$20001,"RTO"))</f>
        <v/>
      </c>
      <c r="C658" s="17" t="str">
        <f aca="false">IF($A658="","",COUNTIFS(Orders!$C$2:$C$20001,$A658,Orders!$E$2:$E$20001,"COD",Orders!$F$2:$F$20001,"RTO"))</f>
        <v/>
      </c>
      <c r="D658" s="18" t="str">
        <f aca="false">IF($A658="","",IFERROR(C658/B658,0))</f>
        <v/>
      </c>
      <c r="E658" s="17" t="str">
        <f aca="false">IF($A658="","",COUNTIFS(Orders!$C$2:$C$20001,$A658,Orders!$E$2:$E$20001,"Prepaid",Orders!$F$2:$F$20001,"Delivered")+COUNTIFS(Orders!$C$2:$C$20001,$A658,Orders!$E$2:$E$20001,"Prepaid",Orders!$F$2:$F$20001,"RTO"))</f>
        <v/>
      </c>
      <c r="F658" s="17" t="str">
        <f aca="false">IF($A658="","",COUNTIFS(Orders!$C$2:$C$20001,$A658,Orders!$E$2:$E$20001,"Prepaid",Orders!$F$2:$F$20001,"RTO"))</f>
        <v/>
      </c>
      <c r="G658" s="18" t="str">
        <f aca="false">IF($A658="","",IFERROR(F658/E658,0))</f>
        <v/>
      </c>
      <c r="H658" s="19" t="str">
        <f aca="false">IF($A658="","",C658*Settings!$B$11)</f>
        <v/>
      </c>
      <c r="I658" s="20" t="str">
        <f aca="false">IF($A658="","",IF(N(H658)=0,"",RANK(H658,$H$5:$H$2004)))</f>
        <v/>
      </c>
      <c r="J658" s="21" t="str">
        <f aca="false">IF($A658="","",IF(B658=0,"No COD orders",IF(B658&lt;Settings!$B$8,"Too few orders",IF(D658&gt;=Settings!$B$9,"Restrict COD or verify","Keep COD"))))</f>
        <v/>
      </c>
    </row>
    <row r="659" customFormat="false" ht="15" hidden="false" customHeight="false" outlineLevel="0" collapsed="false">
      <c r="A659" s="27"/>
      <c r="B659" s="17" t="str">
        <f aca="false">IF($A659="","",COUNTIFS(Orders!$C$2:$C$20001,$A659,Orders!$E$2:$E$20001,"COD",Orders!$F$2:$F$20001,"Delivered")+COUNTIFS(Orders!$C$2:$C$20001,$A659,Orders!$E$2:$E$20001,"COD",Orders!$F$2:$F$20001,"RTO"))</f>
        <v/>
      </c>
      <c r="C659" s="17" t="str">
        <f aca="false">IF($A659="","",COUNTIFS(Orders!$C$2:$C$20001,$A659,Orders!$E$2:$E$20001,"COD",Orders!$F$2:$F$20001,"RTO"))</f>
        <v/>
      </c>
      <c r="D659" s="18" t="str">
        <f aca="false">IF($A659="","",IFERROR(C659/B659,0))</f>
        <v/>
      </c>
      <c r="E659" s="17" t="str">
        <f aca="false">IF($A659="","",COUNTIFS(Orders!$C$2:$C$20001,$A659,Orders!$E$2:$E$20001,"Prepaid",Orders!$F$2:$F$20001,"Delivered")+COUNTIFS(Orders!$C$2:$C$20001,$A659,Orders!$E$2:$E$20001,"Prepaid",Orders!$F$2:$F$20001,"RTO"))</f>
        <v/>
      </c>
      <c r="F659" s="17" t="str">
        <f aca="false">IF($A659="","",COUNTIFS(Orders!$C$2:$C$20001,$A659,Orders!$E$2:$E$20001,"Prepaid",Orders!$F$2:$F$20001,"RTO"))</f>
        <v/>
      </c>
      <c r="G659" s="18" t="str">
        <f aca="false">IF($A659="","",IFERROR(F659/E659,0))</f>
        <v/>
      </c>
      <c r="H659" s="19" t="str">
        <f aca="false">IF($A659="","",C659*Settings!$B$11)</f>
        <v/>
      </c>
      <c r="I659" s="20" t="str">
        <f aca="false">IF($A659="","",IF(N(H659)=0,"",RANK(H659,$H$5:$H$2004)))</f>
        <v/>
      </c>
      <c r="J659" s="21" t="str">
        <f aca="false">IF($A659="","",IF(B659=0,"No COD orders",IF(B659&lt;Settings!$B$8,"Too few orders",IF(D659&gt;=Settings!$B$9,"Restrict COD or verify","Keep COD"))))</f>
        <v/>
      </c>
    </row>
    <row r="660" customFormat="false" ht="15" hidden="false" customHeight="false" outlineLevel="0" collapsed="false">
      <c r="A660" s="27"/>
      <c r="B660" s="17" t="str">
        <f aca="false">IF($A660="","",COUNTIFS(Orders!$C$2:$C$20001,$A660,Orders!$E$2:$E$20001,"COD",Orders!$F$2:$F$20001,"Delivered")+COUNTIFS(Orders!$C$2:$C$20001,$A660,Orders!$E$2:$E$20001,"COD",Orders!$F$2:$F$20001,"RTO"))</f>
        <v/>
      </c>
      <c r="C660" s="17" t="str">
        <f aca="false">IF($A660="","",COUNTIFS(Orders!$C$2:$C$20001,$A660,Orders!$E$2:$E$20001,"COD",Orders!$F$2:$F$20001,"RTO"))</f>
        <v/>
      </c>
      <c r="D660" s="18" t="str">
        <f aca="false">IF($A660="","",IFERROR(C660/B660,0))</f>
        <v/>
      </c>
      <c r="E660" s="17" t="str">
        <f aca="false">IF($A660="","",COUNTIFS(Orders!$C$2:$C$20001,$A660,Orders!$E$2:$E$20001,"Prepaid",Orders!$F$2:$F$20001,"Delivered")+COUNTIFS(Orders!$C$2:$C$20001,$A660,Orders!$E$2:$E$20001,"Prepaid",Orders!$F$2:$F$20001,"RTO"))</f>
        <v/>
      </c>
      <c r="F660" s="17" t="str">
        <f aca="false">IF($A660="","",COUNTIFS(Orders!$C$2:$C$20001,$A660,Orders!$E$2:$E$20001,"Prepaid",Orders!$F$2:$F$20001,"RTO"))</f>
        <v/>
      </c>
      <c r="G660" s="18" t="str">
        <f aca="false">IF($A660="","",IFERROR(F660/E660,0))</f>
        <v/>
      </c>
      <c r="H660" s="19" t="str">
        <f aca="false">IF($A660="","",C660*Settings!$B$11)</f>
        <v/>
      </c>
      <c r="I660" s="20" t="str">
        <f aca="false">IF($A660="","",IF(N(H660)=0,"",RANK(H660,$H$5:$H$2004)))</f>
        <v/>
      </c>
      <c r="J660" s="21" t="str">
        <f aca="false">IF($A660="","",IF(B660=0,"No COD orders",IF(B660&lt;Settings!$B$8,"Too few orders",IF(D660&gt;=Settings!$B$9,"Restrict COD or verify","Keep COD"))))</f>
        <v/>
      </c>
    </row>
    <row r="661" customFormat="false" ht="15" hidden="false" customHeight="false" outlineLevel="0" collapsed="false">
      <c r="A661" s="27"/>
      <c r="B661" s="17" t="str">
        <f aca="false">IF($A661="","",COUNTIFS(Orders!$C$2:$C$20001,$A661,Orders!$E$2:$E$20001,"COD",Orders!$F$2:$F$20001,"Delivered")+COUNTIFS(Orders!$C$2:$C$20001,$A661,Orders!$E$2:$E$20001,"COD",Orders!$F$2:$F$20001,"RTO"))</f>
        <v/>
      </c>
      <c r="C661" s="17" t="str">
        <f aca="false">IF($A661="","",COUNTIFS(Orders!$C$2:$C$20001,$A661,Orders!$E$2:$E$20001,"COD",Orders!$F$2:$F$20001,"RTO"))</f>
        <v/>
      </c>
      <c r="D661" s="18" t="str">
        <f aca="false">IF($A661="","",IFERROR(C661/B661,0))</f>
        <v/>
      </c>
      <c r="E661" s="17" t="str">
        <f aca="false">IF($A661="","",COUNTIFS(Orders!$C$2:$C$20001,$A661,Orders!$E$2:$E$20001,"Prepaid",Orders!$F$2:$F$20001,"Delivered")+COUNTIFS(Orders!$C$2:$C$20001,$A661,Orders!$E$2:$E$20001,"Prepaid",Orders!$F$2:$F$20001,"RTO"))</f>
        <v/>
      </c>
      <c r="F661" s="17" t="str">
        <f aca="false">IF($A661="","",COUNTIFS(Orders!$C$2:$C$20001,$A661,Orders!$E$2:$E$20001,"Prepaid",Orders!$F$2:$F$20001,"RTO"))</f>
        <v/>
      </c>
      <c r="G661" s="18" t="str">
        <f aca="false">IF($A661="","",IFERROR(F661/E661,0))</f>
        <v/>
      </c>
      <c r="H661" s="19" t="str">
        <f aca="false">IF($A661="","",C661*Settings!$B$11)</f>
        <v/>
      </c>
      <c r="I661" s="20" t="str">
        <f aca="false">IF($A661="","",IF(N(H661)=0,"",RANK(H661,$H$5:$H$2004)))</f>
        <v/>
      </c>
      <c r="J661" s="21" t="str">
        <f aca="false">IF($A661="","",IF(B661=0,"No COD orders",IF(B661&lt;Settings!$B$8,"Too few orders",IF(D661&gt;=Settings!$B$9,"Restrict COD or verify","Keep COD"))))</f>
        <v/>
      </c>
    </row>
    <row r="662" customFormat="false" ht="15" hidden="false" customHeight="false" outlineLevel="0" collapsed="false">
      <c r="A662" s="27"/>
      <c r="B662" s="17" t="str">
        <f aca="false">IF($A662="","",COUNTIFS(Orders!$C$2:$C$20001,$A662,Orders!$E$2:$E$20001,"COD",Orders!$F$2:$F$20001,"Delivered")+COUNTIFS(Orders!$C$2:$C$20001,$A662,Orders!$E$2:$E$20001,"COD",Orders!$F$2:$F$20001,"RTO"))</f>
        <v/>
      </c>
      <c r="C662" s="17" t="str">
        <f aca="false">IF($A662="","",COUNTIFS(Orders!$C$2:$C$20001,$A662,Orders!$E$2:$E$20001,"COD",Orders!$F$2:$F$20001,"RTO"))</f>
        <v/>
      </c>
      <c r="D662" s="18" t="str">
        <f aca="false">IF($A662="","",IFERROR(C662/B662,0))</f>
        <v/>
      </c>
      <c r="E662" s="17" t="str">
        <f aca="false">IF($A662="","",COUNTIFS(Orders!$C$2:$C$20001,$A662,Orders!$E$2:$E$20001,"Prepaid",Orders!$F$2:$F$20001,"Delivered")+COUNTIFS(Orders!$C$2:$C$20001,$A662,Orders!$E$2:$E$20001,"Prepaid",Orders!$F$2:$F$20001,"RTO"))</f>
        <v/>
      </c>
      <c r="F662" s="17" t="str">
        <f aca="false">IF($A662="","",COUNTIFS(Orders!$C$2:$C$20001,$A662,Orders!$E$2:$E$20001,"Prepaid",Orders!$F$2:$F$20001,"RTO"))</f>
        <v/>
      </c>
      <c r="G662" s="18" t="str">
        <f aca="false">IF($A662="","",IFERROR(F662/E662,0))</f>
        <v/>
      </c>
      <c r="H662" s="19" t="str">
        <f aca="false">IF($A662="","",C662*Settings!$B$11)</f>
        <v/>
      </c>
      <c r="I662" s="20" t="str">
        <f aca="false">IF($A662="","",IF(N(H662)=0,"",RANK(H662,$H$5:$H$2004)))</f>
        <v/>
      </c>
      <c r="J662" s="21" t="str">
        <f aca="false">IF($A662="","",IF(B662=0,"No COD orders",IF(B662&lt;Settings!$B$8,"Too few orders",IF(D662&gt;=Settings!$B$9,"Restrict COD or verify","Keep COD"))))</f>
        <v/>
      </c>
    </row>
    <row r="663" customFormat="false" ht="15" hidden="false" customHeight="false" outlineLevel="0" collapsed="false">
      <c r="A663" s="27"/>
      <c r="B663" s="17" t="str">
        <f aca="false">IF($A663="","",COUNTIFS(Orders!$C$2:$C$20001,$A663,Orders!$E$2:$E$20001,"COD",Orders!$F$2:$F$20001,"Delivered")+COUNTIFS(Orders!$C$2:$C$20001,$A663,Orders!$E$2:$E$20001,"COD",Orders!$F$2:$F$20001,"RTO"))</f>
        <v/>
      </c>
      <c r="C663" s="17" t="str">
        <f aca="false">IF($A663="","",COUNTIFS(Orders!$C$2:$C$20001,$A663,Orders!$E$2:$E$20001,"COD",Orders!$F$2:$F$20001,"RTO"))</f>
        <v/>
      </c>
      <c r="D663" s="18" t="str">
        <f aca="false">IF($A663="","",IFERROR(C663/B663,0))</f>
        <v/>
      </c>
      <c r="E663" s="17" t="str">
        <f aca="false">IF($A663="","",COUNTIFS(Orders!$C$2:$C$20001,$A663,Orders!$E$2:$E$20001,"Prepaid",Orders!$F$2:$F$20001,"Delivered")+COUNTIFS(Orders!$C$2:$C$20001,$A663,Orders!$E$2:$E$20001,"Prepaid",Orders!$F$2:$F$20001,"RTO"))</f>
        <v/>
      </c>
      <c r="F663" s="17" t="str">
        <f aca="false">IF($A663="","",COUNTIFS(Orders!$C$2:$C$20001,$A663,Orders!$E$2:$E$20001,"Prepaid",Orders!$F$2:$F$20001,"RTO"))</f>
        <v/>
      </c>
      <c r="G663" s="18" t="str">
        <f aca="false">IF($A663="","",IFERROR(F663/E663,0))</f>
        <v/>
      </c>
      <c r="H663" s="19" t="str">
        <f aca="false">IF($A663="","",C663*Settings!$B$11)</f>
        <v/>
      </c>
      <c r="I663" s="20" t="str">
        <f aca="false">IF($A663="","",IF(N(H663)=0,"",RANK(H663,$H$5:$H$2004)))</f>
        <v/>
      </c>
      <c r="J663" s="21" t="str">
        <f aca="false">IF($A663="","",IF(B663=0,"No COD orders",IF(B663&lt;Settings!$B$8,"Too few orders",IF(D663&gt;=Settings!$B$9,"Restrict COD or verify","Keep COD"))))</f>
        <v/>
      </c>
    </row>
    <row r="664" customFormat="false" ht="15" hidden="false" customHeight="false" outlineLevel="0" collapsed="false">
      <c r="A664" s="27"/>
      <c r="B664" s="17" t="str">
        <f aca="false">IF($A664="","",COUNTIFS(Orders!$C$2:$C$20001,$A664,Orders!$E$2:$E$20001,"COD",Orders!$F$2:$F$20001,"Delivered")+COUNTIFS(Orders!$C$2:$C$20001,$A664,Orders!$E$2:$E$20001,"COD",Orders!$F$2:$F$20001,"RTO"))</f>
        <v/>
      </c>
      <c r="C664" s="17" t="str">
        <f aca="false">IF($A664="","",COUNTIFS(Orders!$C$2:$C$20001,$A664,Orders!$E$2:$E$20001,"COD",Orders!$F$2:$F$20001,"RTO"))</f>
        <v/>
      </c>
      <c r="D664" s="18" t="str">
        <f aca="false">IF($A664="","",IFERROR(C664/B664,0))</f>
        <v/>
      </c>
      <c r="E664" s="17" t="str">
        <f aca="false">IF($A664="","",COUNTIFS(Orders!$C$2:$C$20001,$A664,Orders!$E$2:$E$20001,"Prepaid",Orders!$F$2:$F$20001,"Delivered")+COUNTIFS(Orders!$C$2:$C$20001,$A664,Orders!$E$2:$E$20001,"Prepaid",Orders!$F$2:$F$20001,"RTO"))</f>
        <v/>
      </c>
      <c r="F664" s="17" t="str">
        <f aca="false">IF($A664="","",COUNTIFS(Orders!$C$2:$C$20001,$A664,Orders!$E$2:$E$20001,"Prepaid",Orders!$F$2:$F$20001,"RTO"))</f>
        <v/>
      </c>
      <c r="G664" s="18" t="str">
        <f aca="false">IF($A664="","",IFERROR(F664/E664,0))</f>
        <v/>
      </c>
      <c r="H664" s="19" t="str">
        <f aca="false">IF($A664="","",C664*Settings!$B$11)</f>
        <v/>
      </c>
      <c r="I664" s="20" t="str">
        <f aca="false">IF($A664="","",IF(N(H664)=0,"",RANK(H664,$H$5:$H$2004)))</f>
        <v/>
      </c>
      <c r="J664" s="21" t="str">
        <f aca="false">IF($A664="","",IF(B664=0,"No COD orders",IF(B664&lt;Settings!$B$8,"Too few orders",IF(D664&gt;=Settings!$B$9,"Restrict COD or verify","Keep COD"))))</f>
        <v/>
      </c>
    </row>
    <row r="665" customFormat="false" ht="15" hidden="false" customHeight="false" outlineLevel="0" collapsed="false">
      <c r="A665" s="27"/>
      <c r="B665" s="17" t="str">
        <f aca="false">IF($A665="","",COUNTIFS(Orders!$C$2:$C$20001,$A665,Orders!$E$2:$E$20001,"COD",Orders!$F$2:$F$20001,"Delivered")+COUNTIFS(Orders!$C$2:$C$20001,$A665,Orders!$E$2:$E$20001,"COD",Orders!$F$2:$F$20001,"RTO"))</f>
        <v/>
      </c>
      <c r="C665" s="17" t="str">
        <f aca="false">IF($A665="","",COUNTIFS(Orders!$C$2:$C$20001,$A665,Orders!$E$2:$E$20001,"COD",Orders!$F$2:$F$20001,"RTO"))</f>
        <v/>
      </c>
      <c r="D665" s="18" t="str">
        <f aca="false">IF($A665="","",IFERROR(C665/B665,0))</f>
        <v/>
      </c>
      <c r="E665" s="17" t="str">
        <f aca="false">IF($A665="","",COUNTIFS(Orders!$C$2:$C$20001,$A665,Orders!$E$2:$E$20001,"Prepaid",Orders!$F$2:$F$20001,"Delivered")+COUNTIFS(Orders!$C$2:$C$20001,$A665,Orders!$E$2:$E$20001,"Prepaid",Orders!$F$2:$F$20001,"RTO"))</f>
        <v/>
      </c>
      <c r="F665" s="17" t="str">
        <f aca="false">IF($A665="","",COUNTIFS(Orders!$C$2:$C$20001,$A665,Orders!$E$2:$E$20001,"Prepaid",Orders!$F$2:$F$20001,"RTO"))</f>
        <v/>
      </c>
      <c r="G665" s="18" t="str">
        <f aca="false">IF($A665="","",IFERROR(F665/E665,0))</f>
        <v/>
      </c>
      <c r="H665" s="19" t="str">
        <f aca="false">IF($A665="","",C665*Settings!$B$11)</f>
        <v/>
      </c>
      <c r="I665" s="20" t="str">
        <f aca="false">IF($A665="","",IF(N(H665)=0,"",RANK(H665,$H$5:$H$2004)))</f>
        <v/>
      </c>
      <c r="J665" s="21" t="str">
        <f aca="false">IF($A665="","",IF(B665=0,"No COD orders",IF(B665&lt;Settings!$B$8,"Too few orders",IF(D665&gt;=Settings!$B$9,"Restrict COD or verify","Keep COD"))))</f>
        <v/>
      </c>
    </row>
    <row r="666" customFormat="false" ht="15" hidden="false" customHeight="false" outlineLevel="0" collapsed="false">
      <c r="A666" s="27"/>
      <c r="B666" s="17" t="str">
        <f aca="false">IF($A666="","",COUNTIFS(Orders!$C$2:$C$20001,$A666,Orders!$E$2:$E$20001,"COD",Orders!$F$2:$F$20001,"Delivered")+COUNTIFS(Orders!$C$2:$C$20001,$A666,Orders!$E$2:$E$20001,"COD",Orders!$F$2:$F$20001,"RTO"))</f>
        <v/>
      </c>
      <c r="C666" s="17" t="str">
        <f aca="false">IF($A666="","",COUNTIFS(Orders!$C$2:$C$20001,$A666,Orders!$E$2:$E$20001,"COD",Orders!$F$2:$F$20001,"RTO"))</f>
        <v/>
      </c>
      <c r="D666" s="18" t="str">
        <f aca="false">IF($A666="","",IFERROR(C666/B666,0))</f>
        <v/>
      </c>
      <c r="E666" s="17" t="str">
        <f aca="false">IF($A666="","",COUNTIFS(Orders!$C$2:$C$20001,$A666,Orders!$E$2:$E$20001,"Prepaid",Orders!$F$2:$F$20001,"Delivered")+COUNTIFS(Orders!$C$2:$C$20001,$A666,Orders!$E$2:$E$20001,"Prepaid",Orders!$F$2:$F$20001,"RTO"))</f>
        <v/>
      </c>
      <c r="F666" s="17" t="str">
        <f aca="false">IF($A666="","",COUNTIFS(Orders!$C$2:$C$20001,$A666,Orders!$E$2:$E$20001,"Prepaid",Orders!$F$2:$F$20001,"RTO"))</f>
        <v/>
      </c>
      <c r="G666" s="18" t="str">
        <f aca="false">IF($A666="","",IFERROR(F666/E666,0))</f>
        <v/>
      </c>
      <c r="H666" s="19" t="str">
        <f aca="false">IF($A666="","",C666*Settings!$B$11)</f>
        <v/>
      </c>
      <c r="I666" s="20" t="str">
        <f aca="false">IF($A666="","",IF(N(H666)=0,"",RANK(H666,$H$5:$H$2004)))</f>
        <v/>
      </c>
      <c r="J666" s="21" t="str">
        <f aca="false">IF($A666="","",IF(B666=0,"No COD orders",IF(B666&lt;Settings!$B$8,"Too few orders",IF(D666&gt;=Settings!$B$9,"Restrict COD or verify","Keep COD"))))</f>
        <v/>
      </c>
    </row>
    <row r="667" customFormat="false" ht="15" hidden="false" customHeight="false" outlineLevel="0" collapsed="false">
      <c r="A667" s="27"/>
      <c r="B667" s="17" t="str">
        <f aca="false">IF($A667="","",COUNTIFS(Orders!$C$2:$C$20001,$A667,Orders!$E$2:$E$20001,"COD",Orders!$F$2:$F$20001,"Delivered")+COUNTIFS(Orders!$C$2:$C$20001,$A667,Orders!$E$2:$E$20001,"COD",Orders!$F$2:$F$20001,"RTO"))</f>
        <v/>
      </c>
      <c r="C667" s="17" t="str">
        <f aca="false">IF($A667="","",COUNTIFS(Orders!$C$2:$C$20001,$A667,Orders!$E$2:$E$20001,"COD",Orders!$F$2:$F$20001,"RTO"))</f>
        <v/>
      </c>
      <c r="D667" s="18" t="str">
        <f aca="false">IF($A667="","",IFERROR(C667/B667,0))</f>
        <v/>
      </c>
      <c r="E667" s="17" t="str">
        <f aca="false">IF($A667="","",COUNTIFS(Orders!$C$2:$C$20001,$A667,Orders!$E$2:$E$20001,"Prepaid",Orders!$F$2:$F$20001,"Delivered")+COUNTIFS(Orders!$C$2:$C$20001,$A667,Orders!$E$2:$E$20001,"Prepaid",Orders!$F$2:$F$20001,"RTO"))</f>
        <v/>
      </c>
      <c r="F667" s="17" t="str">
        <f aca="false">IF($A667="","",COUNTIFS(Orders!$C$2:$C$20001,$A667,Orders!$E$2:$E$20001,"Prepaid",Orders!$F$2:$F$20001,"RTO"))</f>
        <v/>
      </c>
      <c r="G667" s="18" t="str">
        <f aca="false">IF($A667="","",IFERROR(F667/E667,0))</f>
        <v/>
      </c>
      <c r="H667" s="19" t="str">
        <f aca="false">IF($A667="","",C667*Settings!$B$11)</f>
        <v/>
      </c>
      <c r="I667" s="20" t="str">
        <f aca="false">IF($A667="","",IF(N(H667)=0,"",RANK(H667,$H$5:$H$2004)))</f>
        <v/>
      </c>
      <c r="J667" s="21" t="str">
        <f aca="false">IF($A667="","",IF(B667=0,"No COD orders",IF(B667&lt;Settings!$B$8,"Too few orders",IF(D667&gt;=Settings!$B$9,"Restrict COD or verify","Keep COD"))))</f>
        <v/>
      </c>
    </row>
    <row r="668" customFormat="false" ht="15" hidden="false" customHeight="false" outlineLevel="0" collapsed="false">
      <c r="A668" s="27"/>
      <c r="B668" s="17" t="str">
        <f aca="false">IF($A668="","",COUNTIFS(Orders!$C$2:$C$20001,$A668,Orders!$E$2:$E$20001,"COD",Orders!$F$2:$F$20001,"Delivered")+COUNTIFS(Orders!$C$2:$C$20001,$A668,Orders!$E$2:$E$20001,"COD",Orders!$F$2:$F$20001,"RTO"))</f>
        <v/>
      </c>
      <c r="C668" s="17" t="str">
        <f aca="false">IF($A668="","",COUNTIFS(Orders!$C$2:$C$20001,$A668,Orders!$E$2:$E$20001,"COD",Orders!$F$2:$F$20001,"RTO"))</f>
        <v/>
      </c>
      <c r="D668" s="18" t="str">
        <f aca="false">IF($A668="","",IFERROR(C668/B668,0))</f>
        <v/>
      </c>
      <c r="E668" s="17" t="str">
        <f aca="false">IF($A668="","",COUNTIFS(Orders!$C$2:$C$20001,$A668,Orders!$E$2:$E$20001,"Prepaid",Orders!$F$2:$F$20001,"Delivered")+COUNTIFS(Orders!$C$2:$C$20001,$A668,Orders!$E$2:$E$20001,"Prepaid",Orders!$F$2:$F$20001,"RTO"))</f>
        <v/>
      </c>
      <c r="F668" s="17" t="str">
        <f aca="false">IF($A668="","",COUNTIFS(Orders!$C$2:$C$20001,$A668,Orders!$E$2:$E$20001,"Prepaid",Orders!$F$2:$F$20001,"RTO"))</f>
        <v/>
      </c>
      <c r="G668" s="18" t="str">
        <f aca="false">IF($A668="","",IFERROR(F668/E668,0))</f>
        <v/>
      </c>
      <c r="H668" s="19" t="str">
        <f aca="false">IF($A668="","",C668*Settings!$B$11)</f>
        <v/>
      </c>
      <c r="I668" s="20" t="str">
        <f aca="false">IF($A668="","",IF(N(H668)=0,"",RANK(H668,$H$5:$H$2004)))</f>
        <v/>
      </c>
      <c r="J668" s="21" t="str">
        <f aca="false">IF($A668="","",IF(B668=0,"No COD orders",IF(B668&lt;Settings!$B$8,"Too few orders",IF(D668&gt;=Settings!$B$9,"Restrict COD or verify","Keep COD"))))</f>
        <v/>
      </c>
    </row>
    <row r="669" customFormat="false" ht="15" hidden="false" customHeight="false" outlineLevel="0" collapsed="false">
      <c r="A669" s="27"/>
      <c r="B669" s="17" t="str">
        <f aca="false">IF($A669="","",COUNTIFS(Orders!$C$2:$C$20001,$A669,Orders!$E$2:$E$20001,"COD",Orders!$F$2:$F$20001,"Delivered")+COUNTIFS(Orders!$C$2:$C$20001,$A669,Orders!$E$2:$E$20001,"COD",Orders!$F$2:$F$20001,"RTO"))</f>
        <v/>
      </c>
      <c r="C669" s="17" t="str">
        <f aca="false">IF($A669="","",COUNTIFS(Orders!$C$2:$C$20001,$A669,Orders!$E$2:$E$20001,"COD",Orders!$F$2:$F$20001,"RTO"))</f>
        <v/>
      </c>
      <c r="D669" s="18" t="str">
        <f aca="false">IF($A669="","",IFERROR(C669/B669,0))</f>
        <v/>
      </c>
      <c r="E669" s="17" t="str">
        <f aca="false">IF($A669="","",COUNTIFS(Orders!$C$2:$C$20001,$A669,Orders!$E$2:$E$20001,"Prepaid",Orders!$F$2:$F$20001,"Delivered")+COUNTIFS(Orders!$C$2:$C$20001,$A669,Orders!$E$2:$E$20001,"Prepaid",Orders!$F$2:$F$20001,"RTO"))</f>
        <v/>
      </c>
      <c r="F669" s="17" t="str">
        <f aca="false">IF($A669="","",COUNTIFS(Orders!$C$2:$C$20001,$A669,Orders!$E$2:$E$20001,"Prepaid",Orders!$F$2:$F$20001,"RTO"))</f>
        <v/>
      </c>
      <c r="G669" s="18" t="str">
        <f aca="false">IF($A669="","",IFERROR(F669/E669,0))</f>
        <v/>
      </c>
      <c r="H669" s="19" t="str">
        <f aca="false">IF($A669="","",C669*Settings!$B$11)</f>
        <v/>
      </c>
      <c r="I669" s="20" t="str">
        <f aca="false">IF($A669="","",IF(N(H669)=0,"",RANK(H669,$H$5:$H$2004)))</f>
        <v/>
      </c>
      <c r="J669" s="21" t="str">
        <f aca="false">IF($A669="","",IF(B669=0,"No COD orders",IF(B669&lt;Settings!$B$8,"Too few orders",IF(D669&gt;=Settings!$B$9,"Restrict COD or verify","Keep COD"))))</f>
        <v/>
      </c>
    </row>
    <row r="670" customFormat="false" ht="15" hidden="false" customHeight="false" outlineLevel="0" collapsed="false">
      <c r="A670" s="27"/>
      <c r="B670" s="17" t="str">
        <f aca="false">IF($A670="","",COUNTIFS(Orders!$C$2:$C$20001,$A670,Orders!$E$2:$E$20001,"COD",Orders!$F$2:$F$20001,"Delivered")+COUNTIFS(Orders!$C$2:$C$20001,$A670,Orders!$E$2:$E$20001,"COD",Orders!$F$2:$F$20001,"RTO"))</f>
        <v/>
      </c>
      <c r="C670" s="17" t="str">
        <f aca="false">IF($A670="","",COUNTIFS(Orders!$C$2:$C$20001,$A670,Orders!$E$2:$E$20001,"COD",Orders!$F$2:$F$20001,"RTO"))</f>
        <v/>
      </c>
      <c r="D670" s="18" t="str">
        <f aca="false">IF($A670="","",IFERROR(C670/B670,0))</f>
        <v/>
      </c>
      <c r="E670" s="17" t="str">
        <f aca="false">IF($A670="","",COUNTIFS(Orders!$C$2:$C$20001,$A670,Orders!$E$2:$E$20001,"Prepaid",Orders!$F$2:$F$20001,"Delivered")+COUNTIFS(Orders!$C$2:$C$20001,$A670,Orders!$E$2:$E$20001,"Prepaid",Orders!$F$2:$F$20001,"RTO"))</f>
        <v/>
      </c>
      <c r="F670" s="17" t="str">
        <f aca="false">IF($A670="","",COUNTIFS(Orders!$C$2:$C$20001,$A670,Orders!$E$2:$E$20001,"Prepaid",Orders!$F$2:$F$20001,"RTO"))</f>
        <v/>
      </c>
      <c r="G670" s="18" t="str">
        <f aca="false">IF($A670="","",IFERROR(F670/E670,0))</f>
        <v/>
      </c>
      <c r="H670" s="19" t="str">
        <f aca="false">IF($A670="","",C670*Settings!$B$11)</f>
        <v/>
      </c>
      <c r="I670" s="20" t="str">
        <f aca="false">IF($A670="","",IF(N(H670)=0,"",RANK(H670,$H$5:$H$2004)))</f>
        <v/>
      </c>
      <c r="J670" s="21" t="str">
        <f aca="false">IF($A670="","",IF(B670=0,"No COD orders",IF(B670&lt;Settings!$B$8,"Too few orders",IF(D670&gt;=Settings!$B$9,"Restrict COD or verify","Keep COD"))))</f>
        <v/>
      </c>
    </row>
    <row r="671" customFormat="false" ht="15" hidden="false" customHeight="false" outlineLevel="0" collapsed="false">
      <c r="A671" s="27"/>
      <c r="B671" s="17" t="str">
        <f aca="false">IF($A671="","",COUNTIFS(Orders!$C$2:$C$20001,$A671,Orders!$E$2:$E$20001,"COD",Orders!$F$2:$F$20001,"Delivered")+COUNTIFS(Orders!$C$2:$C$20001,$A671,Orders!$E$2:$E$20001,"COD",Orders!$F$2:$F$20001,"RTO"))</f>
        <v/>
      </c>
      <c r="C671" s="17" t="str">
        <f aca="false">IF($A671="","",COUNTIFS(Orders!$C$2:$C$20001,$A671,Orders!$E$2:$E$20001,"COD",Orders!$F$2:$F$20001,"RTO"))</f>
        <v/>
      </c>
      <c r="D671" s="18" t="str">
        <f aca="false">IF($A671="","",IFERROR(C671/B671,0))</f>
        <v/>
      </c>
      <c r="E671" s="17" t="str">
        <f aca="false">IF($A671="","",COUNTIFS(Orders!$C$2:$C$20001,$A671,Orders!$E$2:$E$20001,"Prepaid",Orders!$F$2:$F$20001,"Delivered")+COUNTIFS(Orders!$C$2:$C$20001,$A671,Orders!$E$2:$E$20001,"Prepaid",Orders!$F$2:$F$20001,"RTO"))</f>
        <v/>
      </c>
      <c r="F671" s="17" t="str">
        <f aca="false">IF($A671="","",COUNTIFS(Orders!$C$2:$C$20001,$A671,Orders!$E$2:$E$20001,"Prepaid",Orders!$F$2:$F$20001,"RTO"))</f>
        <v/>
      </c>
      <c r="G671" s="18" t="str">
        <f aca="false">IF($A671="","",IFERROR(F671/E671,0))</f>
        <v/>
      </c>
      <c r="H671" s="19" t="str">
        <f aca="false">IF($A671="","",C671*Settings!$B$11)</f>
        <v/>
      </c>
      <c r="I671" s="20" t="str">
        <f aca="false">IF($A671="","",IF(N(H671)=0,"",RANK(H671,$H$5:$H$2004)))</f>
        <v/>
      </c>
      <c r="J671" s="21" t="str">
        <f aca="false">IF($A671="","",IF(B671=0,"No COD orders",IF(B671&lt;Settings!$B$8,"Too few orders",IF(D671&gt;=Settings!$B$9,"Restrict COD or verify","Keep COD"))))</f>
        <v/>
      </c>
    </row>
    <row r="672" customFormat="false" ht="15" hidden="false" customHeight="false" outlineLevel="0" collapsed="false">
      <c r="A672" s="27"/>
      <c r="B672" s="17" t="str">
        <f aca="false">IF($A672="","",COUNTIFS(Orders!$C$2:$C$20001,$A672,Orders!$E$2:$E$20001,"COD",Orders!$F$2:$F$20001,"Delivered")+COUNTIFS(Orders!$C$2:$C$20001,$A672,Orders!$E$2:$E$20001,"COD",Orders!$F$2:$F$20001,"RTO"))</f>
        <v/>
      </c>
      <c r="C672" s="17" t="str">
        <f aca="false">IF($A672="","",COUNTIFS(Orders!$C$2:$C$20001,$A672,Orders!$E$2:$E$20001,"COD",Orders!$F$2:$F$20001,"RTO"))</f>
        <v/>
      </c>
      <c r="D672" s="18" t="str">
        <f aca="false">IF($A672="","",IFERROR(C672/B672,0))</f>
        <v/>
      </c>
      <c r="E672" s="17" t="str">
        <f aca="false">IF($A672="","",COUNTIFS(Orders!$C$2:$C$20001,$A672,Orders!$E$2:$E$20001,"Prepaid",Orders!$F$2:$F$20001,"Delivered")+COUNTIFS(Orders!$C$2:$C$20001,$A672,Orders!$E$2:$E$20001,"Prepaid",Orders!$F$2:$F$20001,"RTO"))</f>
        <v/>
      </c>
      <c r="F672" s="17" t="str">
        <f aca="false">IF($A672="","",COUNTIFS(Orders!$C$2:$C$20001,$A672,Orders!$E$2:$E$20001,"Prepaid",Orders!$F$2:$F$20001,"RTO"))</f>
        <v/>
      </c>
      <c r="G672" s="18" t="str">
        <f aca="false">IF($A672="","",IFERROR(F672/E672,0))</f>
        <v/>
      </c>
      <c r="H672" s="19" t="str">
        <f aca="false">IF($A672="","",C672*Settings!$B$11)</f>
        <v/>
      </c>
      <c r="I672" s="20" t="str">
        <f aca="false">IF($A672="","",IF(N(H672)=0,"",RANK(H672,$H$5:$H$2004)))</f>
        <v/>
      </c>
      <c r="J672" s="21" t="str">
        <f aca="false">IF($A672="","",IF(B672=0,"No COD orders",IF(B672&lt;Settings!$B$8,"Too few orders",IF(D672&gt;=Settings!$B$9,"Restrict COD or verify","Keep COD"))))</f>
        <v/>
      </c>
    </row>
    <row r="673" customFormat="false" ht="15" hidden="false" customHeight="false" outlineLevel="0" collapsed="false">
      <c r="A673" s="27"/>
      <c r="B673" s="17" t="str">
        <f aca="false">IF($A673="","",COUNTIFS(Orders!$C$2:$C$20001,$A673,Orders!$E$2:$E$20001,"COD",Orders!$F$2:$F$20001,"Delivered")+COUNTIFS(Orders!$C$2:$C$20001,$A673,Orders!$E$2:$E$20001,"COD",Orders!$F$2:$F$20001,"RTO"))</f>
        <v/>
      </c>
      <c r="C673" s="17" t="str">
        <f aca="false">IF($A673="","",COUNTIFS(Orders!$C$2:$C$20001,$A673,Orders!$E$2:$E$20001,"COD",Orders!$F$2:$F$20001,"RTO"))</f>
        <v/>
      </c>
      <c r="D673" s="18" t="str">
        <f aca="false">IF($A673="","",IFERROR(C673/B673,0))</f>
        <v/>
      </c>
      <c r="E673" s="17" t="str">
        <f aca="false">IF($A673="","",COUNTIFS(Orders!$C$2:$C$20001,$A673,Orders!$E$2:$E$20001,"Prepaid",Orders!$F$2:$F$20001,"Delivered")+COUNTIFS(Orders!$C$2:$C$20001,$A673,Orders!$E$2:$E$20001,"Prepaid",Orders!$F$2:$F$20001,"RTO"))</f>
        <v/>
      </c>
      <c r="F673" s="17" t="str">
        <f aca="false">IF($A673="","",COUNTIFS(Orders!$C$2:$C$20001,$A673,Orders!$E$2:$E$20001,"Prepaid",Orders!$F$2:$F$20001,"RTO"))</f>
        <v/>
      </c>
      <c r="G673" s="18" t="str">
        <f aca="false">IF($A673="","",IFERROR(F673/E673,0))</f>
        <v/>
      </c>
      <c r="H673" s="19" t="str">
        <f aca="false">IF($A673="","",C673*Settings!$B$11)</f>
        <v/>
      </c>
      <c r="I673" s="20" t="str">
        <f aca="false">IF($A673="","",IF(N(H673)=0,"",RANK(H673,$H$5:$H$2004)))</f>
        <v/>
      </c>
      <c r="J673" s="21" t="str">
        <f aca="false">IF($A673="","",IF(B673=0,"No COD orders",IF(B673&lt;Settings!$B$8,"Too few orders",IF(D673&gt;=Settings!$B$9,"Restrict COD or verify","Keep COD"))))</f>
        <v/>
      </c>
    </row>
    <row r="674" customFormat="false" ht="15" hidden="false" customHeight="false" outlineLevel="0" collapsed="false">
      <c r="A674" s="27"/>
      <c r="B674" s="17" t="str">
        <f aca="false">IF($A674="","",COUNTIFS(Orders!$C$2:$C$20001,$A674,Orders!$E$2:$E$20001,"COD",Orders!$F$2:$F$20001,"Delivered")+COUNTIFS(Orders!$C$2:$C$20001,$A674,Orders!$E$2:$E$20001,"COD",Orders!$F$2:$F$20001,"RTO"))</f>
        <v/>
      </c>
      <c r="C674" s="17" t="str">
        <f aca="false">IF($A674="","",COUNTIFS(Orders!$C$2:$C$20001,$A674,Orders!$E$2:$E$20001,"COD",Orders!$F$2:$F$20001,"RTO"))</f>
        <v/>
      </c>
      <c r="D674" s="18" t="str">
        <f aca="false">IF($A674="","",IFERROR(C674/B674,0))</f>
        <v/>
      </c>
      <c r="E674" s="17" t="str">
        <f aca="false">IF($A674="","",COUNTIFS(Orders!$C$2:$C$20001,$A674,Orders!$E$2:$E$20001,"Prepaid",Orders!$F$2:$F$20001,"Delivered")+COUNTIFS(Orders!$C$2:$C$20001,$A674,Orders!$E$2:$E$20001,"Prepaid",Orders!$F$2:$F$20001,"RTO"))</f>
        <v/>
      </c>
      <c r="F674" s="17" t="str">
        <f aca="false">IF($A674="","",COUNTIFS(Orders!$C$2:$C$20001,$A674,Orders!$E$2:$E$20001,"Prepaid",Orders!$F$2:$F$20001,"RTO"))</f>
        <v/>
      </c>
      <c r="G674" s="18" t="str">
        <f aca="false">IF($A674="","",IFERROR(F674/E674,0))</f>
        <v/>
      </c>
      <c r="H674" s="19" t="str">
        <f aca="false">IF($A674="","",C674*Settings!$B$11)</f>
        <v/>
      </c>
      <c r="I674" s="20" t="str">
        <f aca="false">IF($A674="","",IF(N(H674)=0,"",RANK(H674,$H$5:$H$2004)))</f>
        <v/>
      </c>
      <c r="J674" s="21" t="str">
        <f aca="false">IF($A674="","",IF(B674=0,"No COD orders",IF(B674&lt;Settings!$B$8,"Too few orders",IF(D674&gt;=Settings!$B$9,"Restrict COD or verify","Keep COD"))))</f>
        <v/>
      </c>
    </row>
    <row r="675" customFormat="false" ht="15" hidden="false" customHeight="false" outlineLevel="0" collapsed="false">
      <c r="A675" s="27"/>
      <c r="B675" s="17" t="str">
        <f aca="false">IF($A675="","",COUNTIFS(Orders!$C$2:$C$20001,$A675,Orders!$E$2:$E$20001,"COD",Orders!$F$2:$F$20001,"Delivered")+COUNTIFS(Orders!$C$2:$C$20001,$A675,Orders!$E$2:$E$20001,"COD",Orders!$F$2:$F$20001,"RTO"))</f>
        <v/>
      </c>
      <c r="C675" s="17" t="str">
        <f aca="false">IF($A675="","",COUNTIFS(Orders!$C$2:$C$20001,$A675,Orders!$E$2:$E$20001,"COD",Orders!$F$2:$F$20001,"RTO"))</f>
        <v/>
      </c>
      <c r="D675" s="18" t="str">
        <f aca="false">IF($A675="","",IFERROR(C675/B675,0))</f>
        <v/>
      </c>
      <c r="E675" s="17" t="str">
        <f aca="false">IF($A675="","",COUNTIFS(Orders!$C$2:$C$20001,$A675,Orders!$E$2:$E$20001,"Prepaid",Orders!$F$2:$F$20001,"Delivered")+COUNTIFS(Orders!$C$2:$C$20001,$A675,Orders!$E$2:$E$20001,"Prepaid",Orders!$F$2:$F$20001,"RTO"))</f>
        <v/>
      </c>
      <c r="F675" s="17" t="str">
        <f aca="false">IF($A675="","",COUNTIFS(Orders!$C$2:$C$20001,$A675,Orders!$E$2:$E$20001,"Prepaid",Orders!$F$2:$F$20001,"RTO"))</f>
        <v/>
      </c>
      <c r="G675" s="18" t="str">
        <f aca="false">IF($A675="","",IFERROR(F675/E675,0))</f>
        <v/>
      </c>
      <c r="H675" s="19" t="str">
        <f aca="false">IF($A675="","",C675*Settings!$B$11)</f>
        <v/>
      </c>
      <c r="I675" s="20" t="str">
        <f aca="false">IF($A675="","",IF(N(H675)=0,"",RANK(H675,$H$5:$H$2004)))</f>
        <v/>
      </c>
      <c r="J675" s="21" t="str">
        <f aca="false">IF($A675="","",IF(B675=0,"No COD orders",IF(B675&lt;Settings!$B$8,"Too few orders",IF(D675&gt;=Settings!$B$9,"Restrict COD or verify","Keep COD"))))</f>
        <v/>
      </c>
    </row>
    <row r="676" customFormat="false" ht="15" hidden="false" customHeight="false" outlineLevel="0" collapsed="false">
      <c r="A676" s="27"/>
      <c r="B676" s="17" t="str">
        <f aca="false">IF($A676="","",COUNTIFS(Orders!$C$2:$C$20001,$A676,Orders!$E$2:$E$20001,"COD",Orders!$F$2:$F$20001,"Delivered")+COUNTIFS(Orders!$C$2:$C$20001,$A676,Orders!$E$2:$E$20001,"COD",Orders!$F$2:$F$20001,"RTO"))</f>
        <v/>
      </c>
      <c r="C676" s="17" t="str">
        <f aca="false">IF($A676="","",COUNTIFS(Orders!$C$2:$C$20001,$A676,Orders!$E$2:$E$20001,"COD",Orders!$F$2:$F$20001,"RTO"))</f>
        <v/>
      </c>
      <c r="D676" s="18" t="str">
        <f aca="false">IF($A676="","",IFERROR(C676/B676,0))</f>
        <v/>
      </c>
      <c r="E676" s="17" t="str">
        <f aca="false">IF($A676="","",COUNTIFS(Orders!$C$2:$C$20001,$A676,Orders!$E$2:$E$20001,"Prepaid",Orders!$F$2:$F$20001,"Delivered")+COUNTIFS(Orders!$C$2:$C$20001,$A676,Orders!$E$2:$E$20001,"Prepaid",Orders!$F$2:$F$20001,"RTO"))</f>
        <v/>
      </c>
      <c r="F676" s="17" t="str">
        <f aca="false">IF($A676="","",COUNTIFS(Orders!$C$2:$C$20001,$A676,Orders!$E$2:$E$20001,"Prepaid",Orders!$F$2:$F$20001,"RTO"))</f>
        <v/>
      </c>
      <c r="G676" s="18" t="str">
        <f aca="false">IF($A676="","",IFERROR(F676/E676,0))</f>
        <v/>
      </c>
      <c r="H676" s="19" t="str">
        <f aca="false">IF($A676="","",C676*Settings!$B$11)</f>
        <v/>
      </c>
      <c r="I676" s="20" t="str">
        <f aca="false">IF($A676="","",IF(N(H676)=0,"",RANK(H676,$H$5:$H$2004)))</f>
        <v/>
      </c>
      <c r="J676" s="21" t="str">
        <f aca="false">IF($A676="","",IF(B676=0,"No COD orders",IF(B676&lt;Settings!$B$8,"Too few orders",IF(D676&gt;=Settings!$B$9,"Restrict COD or verify","Keep COD"))))</f>
        <v/>
      </c>
    </row>
    <row r="677" customFormat="false" ht="15" hidden="false" customHeight="false" outlineLevel="0" collapsed="false">
      <c r="A677" s="27"/>
      <c r="B677" s="17" t="str">
        <f aca="false">IF($A677="","",COUNTIFS(Orders!$C$2:$C$20001,$A677,Orders!$E$2:$E$20001,"COD",Orders!$F$2:$F$20001,"Delivered")+COUNTIFS(Orders!$C$2:$C$20001,$A677,Orders!$E$2:$E$20001,"COD",Orders!$F$2:$F$20001,"RTO"))</f>
        <v/>
      </c>
      <c r="C677" s="17" t="str">
        <f aca="false">IF($A677="","",COUNTIFS(Orders!$C$2:$C$20001,$A677,Orders!$E$2:$E$20001,"COD",Orders!$F$2:$F$20001,"RTO"))</f>
        <v/>
      </c>
      <c r="D677" s="18" t="str">
        <f aca="false">IF($A677="","",IFERROR(C677/B677,0))</f>
        <v/>
      </c>
      <c r="E677" s="17" t="str">
        <f aca="false">IF($A677="","",COUNTIFS(Orders!$C$2:$C$20001,$A677,Orders!$E$2:$E$20001,"Prepaid",Orders!$F$2:$F$20001,"Delivered")+COUNTIFS(Orders!$C$2:$C$20001,$A677,Orders!$E$2:$E$20001,"Prepaid",Orders!$F$2:$F$20001,"RTO"))</f>
        <v/>
      </c>
      <c r="F677" s="17" t="str">
        <f aca="false">IF($A677="","",COUNTIFS(Orders!$C$2:$C$20001,$A677,Orders!$E$2:$E$20001,"Prepaid",Orders!$F$2:$F$20001,"RTO"))</f>
        <v/>
      </c>
      <c r="G677" s="18" t="str">
        <f aca="false">IF($A677="","",IFERROR(F677/E677,0))</f>
        <v/>
      </c>
      <c r="H677" s="19" t="str">
        <f aca="false">IF($A677="","",C677*Settings!$B$11)</f>
        <v/>
      </c>
      <c r="I677" s="20" t="str">
        <f aca="false">IF($A677="","",IF(N(H677)=0,"",RANK(H677,$H$5:$H$2004)))</f>
        <v/>
      </c>
      <c r="J677" s="21" t="str">
        <f aca="false">IF($A677="","",IF(B677=0,"No COD orders",IF(B677&lt;Settings!$B$8,"Too few orders",IF(D677&gt;=Settings!$B$9,"Restrict COD or verify","Keep COD"))))</f>
        <v/>
      </c>
    </row>
    <row r="678" customFormat="false" ht="15" hidden="false" customHeight="false" outlineLevel="0" collapsed="false">
      <c r="A678" s="27"/>
      <c r="B678" s="17" t="str">
        <f aca="false">IF($A678="","",COUNTIFS(Orders!$C$2:$C$20001,$A678,Orders!$E$2:$E$20001,"COD",Orders!$F$2:$F$20001,"Delivered")+COUNTIFS(Orders!$C$2:$C$20001,$A678,Orders!$E$2:$E$20001,"COD",Orders!$F$2:$F$20001,"RTO"))</f>
        <v/>
      </c>
      <c r="C678" s="17" t="str">
        <f aca="false">IF($A678="","",COUNTIFS(Orders!$C$2:$C$20001,$A678,Orders!$E$2:$E$20001,"COD",Orders!$F$2:$F$20001,"RTO"))</f>
        <v/>
      </c>
      <c r="D678" s="18" t="str">
        <f aca="false">IF($A678="","",IFERROR(C678/B678,0))</f>
        <v/>
      </c>
      <c r="E678" s="17" t="str">
        <f aca="false">IF($A678="","",COUNTIFS(Orders!$C$2:$C$20001,$A678,Orders!$E$2:$E$20001,"Prepaid",Orders!$F$2:$F$20001,"Delivered")+COUNTIFS(Orders!$C$2:$C$20001,$A678,Orders!$E$2:$E$20001,"Prepaid",Orders!$F$2:$F$20001,"RTO"))</f>
        <v/>
      </c>
      <c r="F678" s="17" t="str">
        <f aca="false">IF($A678="","",COUNTIFS(Orders!$C$2:$C$20001,$A678,Orders!$E$2:$E$20001,"Prepaid",Orders!$F$2:$F$20001,"RTO"))</f>
        <v/>
      </c>
      <c r="G678" s="18" t="str">
        <f aca="false">IF($A678="","",IFERROR(F678/E678,0))</f>
        <v/>
      </c>
      <c r="H678" s="19" t="str">
        <f aca="false">IF($A678="","",C678*Settings!$B$11)</f>
        <v/>
      </c>
      <c r="I678" s="20" t="str">
        <f aca="false">IF($A678="","",IF(N(H678)=0,"",RANK(H678,$H$5:$H$2004)))</f>
        <v/>
      </c>
      <c r="J678" s="21" t="str">
        <f aca="false">IF($A678="","",IF(B678=0,"No COD orders",IF(B678&lt;Settings!$B$8,"Too few orders",IF(D678&gt;=Settings!$B$9,"Restrict COD or verify","Keep COD"))))</f>
        <v/>
      </c>
    </row>
    <row r="679" customFormat="false" ht="15" hidden="false" customHeight="false" outlineLevel="0" collapsed="false">
      <c r="A679" s="27"/>
      <c r="B679" s="17" t="str">
        <f aca="false">IF($A679="","",COUNTIFS(Orders!$C$2:$C$20001,$A679,Orders!$E$2:$E$20001,"COD",Orders!$F$2:$F$20001,"Delivered")+COUNTIFS(Orders!$C$2:$C$20001,$A679,Orders!$E$2:$E$20001,"COD",Orders!$F$2:$F$20001,"RTO"))</f>
        <v/>
      </c>
      <c r="C679" s="17" t="str">
        <f aca="false">IF($A679="","",COUNTIFS(Orders!$C$2:$C$20001,$A679,Orders!$E$2:$E$20001,"COD",Orders!$F$2:$F$20001,"RTO"))</f>
        <v/>
      </c>
      <c r="D679" s="18" t="str">
        <f aca="false">IF($A679="","",IFERROR(C679/B679,0))</f>
        <v/>
      </c>
      <c r="E679" s="17" t="str">
        <f aca="false">IF($A679="","",COUNTIFS(Orders!$C$2:$C$20001,$A679,Orders!$E$2:$E$20001,"Prepaid",Orders!$F$2:$F$20001,"Delivered")+COUNTIFS(Orders!$C$2:$C$20001,$A679,Orders!$E$2:$E$20001,"Prepaid",Orders!$F$2:$F$20001,"RTO"))</f>
        <v/>
      </c>
      <c r="F679" s="17" t="str">
        <f aca="false">IF($A679="","",COUNTIFS(Orders!$C$2:$C$20001,$A679,Orders!$E$2:$E$20001,"Prepaid",Orders!$F$2:$F$20001,"RTO"))</f>
        <v/>
      </c>
      <c r="G679" s="18" t="str">
        <f aca="false">IF($A679="","",IFERROR(F679/E679,0))</f>
        <v/>
      </c>
      <c r="H679" s="19" t="str">
        <f aca="false">IF($A679="","",C679*Settings!$B$11)</f>
        <v/>
      </c>
      <c r="I679" s="20" t="str">
        <f aca="false">IF($A679="","",IF(N(H679)=0,"",RANK(H679,$H$5:$H$2004)))</f>
        <v/>
      </c>
      <c r="J679" s="21" t="str">
        <f aca="false">IF($A679="","",IF(B679=0,"No COD orders",IF(B679&lt;Settings!$B$8,"Too few orders",IF(D679&gt;=Settings!$B$9,"Restrict COD or verify","Keep COD"))))</f>
        <v/>
      </c>
    </row>
    <row r="680" customFormat="false" ht="15" hidden="false" customHeight="false" outlineLevel="0" collapsed="false">
      <c r="A680" s="27"/>
      <c r="B680" s="17" t="str">
        <f aca="false">IF($A680="","",COUNTIFS(Orders!$C$2:$C$20001,$A680,Orders!$E$2:$E$20001,"COD",Orders!$F$2:$F$20001,"Delivered")+COUNTIFS(Orders!$C$2:$C$20001,$A680,Orders!$E$2:$E$20001,"COD",Orders!$F$2:$F$20001,"RTO"))</f>
        <v/>
      </c>
      <c r="C680" s="17" t="str">
        <f aca="false">IF($A680="","",COUNTIFS(Orders!$C$2:$C$20001,$A680,Orders!$E$2:$E$20001,"COD",Orders!$F$2:$F$20001,"RTO"))</f>
        <v/>
      </c>
      <c r="D680" s="18" t="str">
        <f aca="false">IF($A680="","",IFERROR(C680/B680,0))</f>
        <v/>
      </c>
      <c r="E680" s="17" t="str">
        <f aca="false">IF($A680="","",COUNTIFS(Orders!$C$2:$C$20001,$A680,Orders!$E$2:$E$20001,"Prepaid",Orders!$F$2:$F$20001,"Delivered")+COUNTIFS(Orders!$C$2:$C$20001,$A680,Orders!$E$2:$E$20001,"Prepaid",Orders!$F$2:$F$20001,"RTO"))</f>
        <v/>
      </c>
      <c r="F680" s="17" t="str">
        <f aca="false">IF($A680="","",COUNTIFS(Orders!$C$2:$C$20001,$A680,Orders!$E$2:$E$20001,"Prepaid",Orders!$F$2:$F$20001,"RTO"))</f>
        <v/>
      </c>
      <c r="G680" s="18" t="str">
        <f aca="false">IF($A680="","",IFERROR(F680/E680,0))</f>
        <v/>
      </c>
      <c r="H680" s="19" t="str">
        <f aca="false">IF($A680="","",C680*Settings!$B$11)</f>
        <v/>
      </c>
      <c r="I680" s="20" t="str">
        <f aca="false">IF($A680="","",IF(N(H680)=0,"",RANK(H680,$H$5:$H$2004)))</f>
        <v/>
      </c>
      <c r="J680" s="21" t="str">
        <f aca="false">IF($A680="","",IF(B680=0,"No COD orders",IF(B680&lt;Settings!$B$8,"Too few orders",IF(D680&gt;=Settings!$B$9,"Restrict COD or verify","Keep COD"))))</f>
        <v/>
      </c>
    </row>
    <row r="681" customFormat="false" ht="15" hidden="false" customHeight="false" outlineLevel="0" collapsed="false">
      <c r="A681" s="27"/>
      <c r="B681" s="17" t="str">
        <f aca="false">IF($A681="","",COUNTIFS(Orders!$C$2:$C$20001,$A681,Orders!$E$2:$E$20001,"COD",Orders!$F$2:$F$20001,"Delivered")+COUNTIFS(Orders!$C$2:$C$20001,$A681,Orders!$E$2:$E$20001,"COD",Orders!$F$2:$F$20001,"RTO"))</f>
        <v/>
      </c>
      <c r="C681" s="17" t="str">
        <f aca="false">IF($A681="","",COUNTIFS(Orders!$C$2:$C$20001,$A681,Orders!$E$2:$E$20001,"COD",Orders!$F$2:$F$20001,"RTO"))</f>
        <v/>
      </c>
      <c r="D681" s="18" t="str">
        <f aca="false">IF($A681="","",IFERROR(C681/B681,0))</f>
        <v/>
      </c>
      <c r="E681" s="17" t="str">
        <f aca="false">IF($A681="","",COUNTIFS(Orders!$C$2:$C$20001,$A681,Orders!$E$2:$E$20001,"Prepaid",Orders!$F$2:$F$20001,"Delivered")+COUNTIFS(Orders!$C$2:$C$20001,$A681,Orders!$E$2:$E$20001,"Prepaid",Orders!$F$2:$F$20001,"RTO"))</f>
        <v/>
      </c>
      <c r="F681" s="17" t="str">
        <f aca="false">IF($A681="","",COUNTIFS(Orders!$C$2:$C$20001,$A681,Orders!$E$2:$E$20001,"Prepaid",Orders!$F$2:$F$20001,"RTO"))</f>
        <v/>
      </c>
      <c r="G681" s="18" t="str">
        <f aca="false">IF($A681="","",IFERROR(F681/E681,0))</f>
        <v/>
      </c>
      <c r="H681" s="19" t="str">
        <f aca="false">IF($A681="","",C681*Settings!$B$11)</f>
        <v/>
      </c>
      <c r="I681" s="20" t="str">
        <f aca="false">IF($A681="","",IF(N(H681)=0,"",RANK(H681,$H$5:$H$2004)))</f>
        <v/>
      </c>
      <c r="J681" s="21" t="str">
        <f aca="false">IF($A681="","",IF(B681=0,"No COD orders",IF(B681&lt;Settings!$B$8,"Too few orders",IF(D681&gt;=Settings!$B$9,"Restrict COD or verify","Keep COD"))))</f>
        <v/>
      </c>
    </row>
    <row r="682" customFormat="false" ht="15" hidden="false" customHeight="false" outlineLevel="0" collapsed="false">
      <c r="A682" s="27"/>
      <c r="B682" s="17" t="str">
        <f aca="false">IF($A682="","",COUNTIFS(Orders!$C$2:$C$20001,$A682,Orders!$E$2:$E$20001,"COD",Orders!$F$2:$F$20001,"Delivered")+COUNTIFS(Orders!$C$2:$C$20001,$A682,Orders!$E$2:$E$20001,"COD",Orders!$F$2:$F$20001,"RTO"))</f>
        <v/>
      </c>
      <c r="C682" s="17" t="str">
        <f aca="false">IF($A682="","",COUNTIFS(Orders!$C$2:$C$20001,$A682,Orders!$E$2:$E$20001,"COD",Orders!$F$2:$F$20001,"RTO"))</f>
        <v/>
      </c>
      <c r="D682" s="18" t="str">
        <f aca="false">IF($A682="","",IFERROR(C682/B682,0))</f>
        <v/>
      </c>
      <c r="E682" s="17" t="str">
        <f aca="false">IF($A682="","",COUNTIFS(Orders!$C$2:$C$20001,$A682,Orders!$E$2:$E$20001,"Prepaid",Orders!$F$2:$F$20001,"Delivered")+COUNTIFS(Orders!$C$2:$C$20001,$A682,Orders!$E$2:$E$20001,"Prepaid",Orders!$F$2:$F$20001,"RTO"))</f>
        <v/>
      </c>
      <c r="F682" s="17" t="str">
        <f aca="false">IF($A682="","",COUNTIFS(Orders!$C$2:$C$20001,$A682,Orders!$E$2:$E$20001,"Prepaid",Orders!$F$2:$F$20001,"RTO"))</f>
        <v/>
      </c>
      <c r="G682" s="18" t="str">
        <f aca="false">IF($A682="","",IFERROR(F682/E682,0))</f>
        <v/>
      </c>
      <c r="H682" s="19" t="str">
        <f aca="false">IF($A682="","",C682*Settings!$B$11)</f>
        <v/>
      </c>
      <c r="I682" s="20" t="str">
        <f aca="false">IF($A682="","",IF(N(H682)=0,"",RANK(H682,$H$5:$H$2004)))</f>
        <v/>
      </c>
      <c r="J682" s="21" t="str">
        <f aca="false">IF($A682="","",IF(B682=0,"No COD orders",IF(B682&lt;Settings!$B$8,"Too few orders",IF(D682&gt;=Settings!$B$9,"Restrict COD or verify","Keep COD"))))</f>
        <v/>
      </c>
    </row>
    <row r="683" customFormat="false" ht="15" hidden="false" customHeight="false" outlineLevel="0" collapsed="false">
      <c r="A683" s="27"/>
      <c r="B683" s="17" t="str">
        <f aca="false">IF($A683="","",COUNTIFS(Orders!$C$2:$C$20001,$A683,Orders!$E$2:$E$20001,"COD",Orders!$F$2:$F$20001,"Delivered")+COUNTIFS(Orders!$C$2:$C$20001,$A683,Orders!$E$2:$E$20001,"COD",Orders!$F$2:$F$20001,"RTO"))</f>
        <v/>
      </c>
      <c r="C683" s="17" t="str">
        <f aca="false">IF($A683="","",COUNTIFS(Orders!$C$2:$C$20001,$A683,Orders!$E$2:$E$20001,"COD",Orders!$F$2:$F$20001,"RTO"))</f>
        <v/>
      </c>
      <c r="D683" s="18" t="str">
        <f aca="false">IF($A683="","",IFERROR(C683/B683,0))</f>
        <v/>
      </c>
      <c r="E683" s="17" t="str">
        <f aca="false">IF($A683="","",COUNTIFS(Orders!$C$2:$C$20001,$A683,Orders!$E$2:$E$20001,"Prepaid",Orders!$F$2:$F$20001,"Delivered")+COUNTIFS(Orders!$C$2:$C$20001,$A683,Orders!$E$2:$E$20001,"Prepaid",Orders!$F$2:$F$20001,"RTO"))</f>
        <v/>
      </c>
      <c r="F683" s="17" t="str">
        <f aca="false">IF($A683="","",COUNTIFS(Orders!$C$2:$C$20001,$A683,Orders!$E$2:$E$20001,"Prepaid",Orders!$F$2:$F$20001,"RTO"))</f>
        <v/>
      </c>
      <c r="G683" s="18" t="str">
        <f aca="false">IF($A683="","",IFERROR(F683/E683,0))</f>
        <v/>
      </c>
      <c r="H683" s="19" t="str">
        <f aca="false">IF($A683="","",C683*Settings!$B$11)</f>
        <v/>
      </c>
      <c r="I683" s="20" t="str">
        <f aca="false">IF($A683="","",IF(N(H683)=0,"",RANK(H683,$H$5:$H$2004)))</f>
        <v/>
      </c>
      <c r="J683" s="21" t="str">
        <f aca="false">IF($A683="","",IF(B683=0,"No COD orders",IF(B683&lt;Settings!$B$8,"Too few orders",IF(D683&gt;=Settings!$B$9,"Restrict COD or verify","Keep COD"))))</f>
        <v/>
      </c>
    </row>
    <row r="684" customFormat="false" ht="15" hidden="false" customHeight="false" outlineLevel="0" collapsed="false">
      <c r="A684" s="27"/>
      <c r="B684" s="17" t="str">
        <f aca="false">IF($A684="","",COUNTIFS(Orders!$C$2:$C$20001,$A684,Orders!$E$2:$E$20001,"COD",Orders!$F$2:$F$20001,"Delivered")+COUNTIFS(Orders!$C$2:$C$20001,$A684,Orders!$E$2:$E$20001,"COD",Orders!$F$2:$F$20001,"RTO"))</f>
        <v/>
      </c>
      <c r="C684" s="17" t="str">
        <f aca="false">IF($A684="","",COUNTIFS(Orders!$C$2:$C$20001,$A684,Orders!$E$2:$E$20001,"COD",Orders!$F$2:$F$20001,"RTO"))</f>
        <v/>
      </c>
      <c r="D684" s="18" t="str">
        <f aca="false">IF($A684="","",IFERROR(C684/B684,0))</f>
        <v/>
      </c>
      <c r="E684" s="17" t="str">
        <f aca="false">IF($A684="","",COUNTIFS(Orders!$C$2:$C$20001,$A684,Orders!$E$2:$E$20001,"Prepaid",Orders!$F$2:$F$20001,"Delivered")+COUNTIFS(Orders!$C$2:$C$20001,$A684,Orders!$E$2:$E$20001,"Prepaid",Orders!$F$2:$F$20001,"RTO"))</f>
        <v/>
      </c>
      <c r="F684" s="17" t="str">
        <f aca="false">IF($A684="","",COUNTIFS(Orders!$C$2:$C$20001,$A684,Orders!$E$2:$E$20001,"Prepaid",Orders!$F$2:$F$20001,"RTO"))</f>
        <v/>
      </c>
      <c r="G684" s="18" t="str">
        <f aca="false">IF($A684="","",IFERROR(F684/E684,0))</f>
        <v/>
      </c>
      <c r="H684" s="19" t="str">
        <f aca="false">IF($A684="","",C684*Settings!$B$11)</f>
        <v/>
      </c>
      <c r="I684" s="20" t="str">
        <f aca="false">IF($A684="","",IF(N(H684)=0,"",RANK(H684,$H$5:$H$2004)))</f>
        <v/>
      </c>
      <c r="J684" s="21" t="str">
        <f aca="false">IF($A684="","",IF(B684=0,"No COD orders",IF(B684&lt;Settings!$B$8,"Too few orders",IF(D684&gt;=Settings!$B$9,"Restrict COD or verify","Keep COD"))))</f>
        <v/>
      </c>
    </row>
    <row r="685" customFormat="false" ht="15" hidden="false" customHeight="false" outlineLevel="0" collapsed="false">
      <c r="A685" s="27"/>
      <c r="B685" s="17" t="str">
        <f aca="false">IF($A685="","",COUNTIFS(Orders!$C$2:$C$20001,$A685,Orders!$E$2:$E$20001,"COD",Orders!$F$2:$F$20001,"Delivered")+COUNTIFS(Orders!$C$2:$C$20001,$A685,Orders!$E$2:$E$20001,"COD",Orders!$F$2:$F$20001,"RTO"))</f>
        <v/>
      </c>
      <c r="C685" s="17" t="str">
        <f aca="false">IF($A685="","",COUNTIFS(Orders!$C$2:$C$20001,$A685,Orders!$E$2:$E$20001,"COD",Orders!$F$2:$F$20001,"RTO"))</f>
        <v/>
      </c>
      <c r="D685" s="18" t="str">
        <f aca="false">IF($A685="","",IFERROR(C685/B685,0))</f>
        <v/>
      </c>
      <c r="E685" s="17" t="str">
        <f aca="false">IF($A685="","",COUNTIFS(Orders!$C$2:$C$20001,$A685,Orders!$E$2:$E$20001,"Prepaid",Orders!$F$2:$F$20001,"Delivered")+COUNTIFS(Orders!$C$2:$C$20001,$A685,Orders!$E$2:$E$20001,"Prepaid",Orders!$F$2:$F$20001,"RTO"))</f>
        <v/>
      </c>
      <c r="F685" s="17" t="str">
        <f aca="false">IF($A685="","",COUNTIFS(Orders!$C$2:$C$20001,$A685,Orders!$E$2:$E$20001,"Prepaid",Orders!$F$2:$F$20001,"RTO"))</f>
        <v/>
      </c>
      <c r="G685" s="18" t="str">
        <f aca="false">IF($A685="","",IFERROR(F685/E685,0))</f>
        <v/>
      </c>
      <c r="H685" s="19" t="str">
        <f aca="false">IF($A685="","",C685*Settings!$B$11)</f>
        <v/>
      </c>
      <c r="I685" s="20" t="str">
        <f aca="false">IF($A685="","",IF(N(H685)=0,"",RANK(H685,$H$5:$H$2004)))</f>
        <v/>
      </c>
      <c r="J685" s="21" t="str">
        <f aca="false">IF($A685="","",IF(B685=0,"No COD orders",IF(B685&lt;Settings!$B$8,"Too few orders",IF(D685&gt;=Settings!$B$9,"Restrict COD or verify","Keep COD"))))</f>
        <v/>
      </c>
    </row>
    <row r="686" customFormat="false" ht="15" hidden="false" customHeight="false" outlineLevel="0" collapsed="false">
      <c r="A686" s="27"/>
      <c r="B686" s="17" t="str">
        <f aca="false">IF($A686="","",COUNTIFS(Orders!$C$2:$C$20001,$A686,Orders!$E$2:$E$20001,"COD",Orders!$F$2:$F$20001,"Delivered")+COUNTIFS(Orders!$C$2:$C$20001,$A686,Orders!$E$2:$E$20001,"COD",Orders!$F$2:$F$20001,"RTO"))</f>
        <v/>
      </c>
      <c r="C686" s="17" t="str">
        <f aca="false">IF($A686="","",COUNTIFS(Orders!$C$2:$C$20001,$A686,Orders!$E$2:$E$20001,"COD",Orders!$F$2:$F$20001,"RTO"))</f>
        <v/>
      </c>
      <c r="D686" s="18" t="str">
        <f aca="false">IF($A686="","",IFERROR(C686/B686,0))</f>
        <v/>
      </c>
      <c r="E686" s="17" t="str">
        <f aca="false">IF($A686="","",COUNTIFS(Orders!$C$2:$C$20001,$A686,Orders!$E$2:$E$20001,"Prepaid",Orders!$F$2:$F$20001,"Delivered")+COUNTIFS(Orders!$C$2:$C$20001,$A686,Orders!$E$2:$E$20001,"Prepaid",Orders!$F$2:$F$20001,"RTO"))</f>
        <v/>
      </c>
      <c r="F686" s="17" t="str">
        <f aca="false">IF($A686="","",COUNTIFS(Orders!$C$2:$C$20001,$A686,Orders!$E$2:$E$20001,"Prepaid",Orders!$F$2:$F$20001,"RTO"))</f>
        <v/>
      </c>
      <c r="G686" s="18" t="str">
        <f aca="false">IF($A686="","",IFERROR(F686/E686,0))</f>
        <v/>
      </c>
      <c r="H686" s="19" t="str">
        <f aca="false">IF($A686="","",C686*Settings!$B$11)</f>
        <v/>
      </c>
      <c r="I686" s="20" t="str">
        <f aca="false">IF($A686="","",IF(N(H686)=0,"",RANK(H686,$H$5:$H$2004)))</f>
        <v/>
      </c>
      <c r="J686" s="21" t="str">
        <f aca="false">IF($A686="","",IF(B686=0,"No COD orders",IF(B686&lt;Settings!$B$8,"Too few orders",IF(D686&gt;=Settings!$B$9,"Restrict COD or verify","Keep COD"))))</f>
        <v/>
      </c>
    </row>
    <row r="687" customFormat="false" ht="15" hidden="false" customHeight="false" outlineLevel="0" collapsed="false">
      <c r="A687" s="27"/>
      <c r="B687" s="17" t="str">
        <f aca="false">IF($A687="","",COUNTIFS(Orders!$C$2:$C$20001,$A687,Orders!$E$2:$E$20001,"COD",Orders!$F$2:$F$20001,"Delivered")+COUNTIFS(Orders!$C$2:$C$20001,$A687,Orders!$E$2:$E$20001,"COD",Orders!$F$2:$F$20001,"RTO"))</f>
        <v/>
      </c>
      <c r="C687" s="17" t="str">
        <f aca="false">IF($A687="","",COUNTIFS(Orders!$C$2:$C$20001,$A687,Orders!$E$2:$E$20001,"COD",Orders!$F$2:$F$20001,"RTO"))</f>
        <v/>
      </c>
      <c r="D687" s="18" t="str">
        <f aca="false">IF($A687="","",IFERROR(C687/B687,0))</f>
        <v/>
      </c>
      <c r="E687" s="17" t="str">
        <f aca="false">IF($A687="","",COUNTIFS(Orders!$C$2:$C$20001,$A687,Orders!$E$2:$E$20001,"Prepaid",Orders!$F$2:$F$20001,"Delivered")+COUNTIFS(Orders!$C$2:$C$20001,$A687,Orders!$E$2:$E$20001,"Prepaid",Orders!$F$2:$F$20001,"RTO"))</f>
        <v/>
      </c>
      <c r="F687" s="17" t="str">
        <f aca="false">IF($A687="","",COUNTIFS(Orders!$C$2:$C$20001,$A687,Orders!$E$2:$E$20001,"Prepaid",Orders!$F$2:$F$20001,"RTO"))</f>
        <v/>
      </c>
      <c r="G687" s="18" t="str">
        <f aca="false">IF($A687="","",IFERROR(F687/E687,0))</f>
        <v/>
      </c>
      <c r="H687" s="19" t="str">
        <f aca="false">IF($A687="","",C687*Settings!$B$11)</f>
        <v/>
      </c>
      <c r="I687" s="20" t="str">
        <f aca="false">IF($A687="","",IF(N(H687)=0,"",RANK(H687,$H$5:$H$2004)))</f>
        <v/>
      </c>
      <c r="J687" s="21" t="str">
        <f aca="false">IF($A687="","",IF(B687=0,"No COD orders",IF(B687&lt;Settings!$B$8,"Too few orders",IF(D687&gt;=Settings!$B$9,"Restrict COD or verify","Keep COD"))))</f>
        <v/>
      </c>
    </row>
    <row r="688" customFormat="false" ht="15" hidden="false" customHeight="false" outlineLevel="0" collapsed="false">
      <c r="A688" s="27"/>
      <c r="B688" s="17" t="str">
        <f aca="false">IF($A688="","",COUNTIFS(Orders!$C$2:$C$20001,$A688,Orders!$E$2:$E$20001,"COD",Orders!$F$2:$F$20001,"Delivered")+COUNTIFS(Orders!$C$2:$C$20001,$A688,Orders!$E$2:$E$20001,"COD",Orders!$F$2:$F$20001,"RTO"))</f>
        <v/>
      </c>
      <c r="C688" s="17" t="str">
        <f aca="false">IF($A688="","",COUNTIFS(Orders!$C$2:$C$20001,$A688,Orders!$E$2:$E$20001,"COD",Orders!$F$2:$F$20001,"RTO"))</f>
        <v/>
      </c>
      <c r="D688" s="18" t="str">
        <f aca="false">IF($A688="","",IFERROR(C688/B688,0))</f>
        <v/>
      </c>
      <c r="E688" s="17" t="str">
        <f aca="false">IF($A688="","",COUNTIFS(Orders!$C$2:$C$20001,$A688,Orders!$E$2:$E$20001,"Prepaid",Orders!$F$2:$F$20001,"Delivered")+COUNTIFS(Orders!$C$2:$C$20001,$A688,Orders!$E$2:$E$20001,"Prepaid",Orders!$F$2:$F$20001,"RTO"))</f>
        <v/>
      </c>
      <c r="F688" s="17" t="str">
        <f aca="false">IF($A688="","",COUNTIFS(Orders!$C$2:$C$20001,$A688,Orders!$E$2:$E$20001,"Prepaid",Orders!$F$2:$F$20001,"RTO"))</f>
        <v/>
      </c>
      <c r="G688" s="18" t="str">
        <f aca="false">IF($A688="","",IFERROR(F688/E688,0))</f>
        <v/>
      </c>
      <c r="H688" s="19" t="str">
        <f aca="false">IF($A688="","",C688*Settings!$B$11)</f>
        <v/>
      </c>
      <c r="I688" s="20" t="str">
        <f aca="false">IF($A688="","",IF(N(H688)=0,"",RANK(H688,$H$5:$H$2004)))</f>
        <v/>
      </c>
      <c r="J688" s="21" t="str">
        <f aca="false">IF($A688="","",IF(B688=0,"No COD orders",IF(B688&lt;Settings!$B$8,"Too few orders",IF(D688&gt;=Settings!$B$9,"Restrict COD or verify","Keep COD"))))</f>
        <v/>
      </c>
    </row>
    <row r="689" customFormat="false" ht="15" hidden="false" customHeight="false" outlineLevel="0" collapsed="false">
      <c r="A689" s="27"/>
      <c r="B689" s="17" t="str">
        <f aca="false">IF($A689="","",COUNTIFS(Orders!$C$2:$C$20001,$A689,Orders!$E$2:$E$20001,"COD",Orders!$F$2:$F$20001,"Delivered")+COUNTIFS(Orders!$C$2:$C$20001,$A689,Orders!$E$2:$E$20001,"COD",Orders!$F$2:$F$20001,"RTO"))</f>
        <v/>
      </c>
      <c r="C689" s="17" t="str">
        <f aca="false">IF($A689="","",COUNTIFS(Orders!$C$2:$C$20001,$A689,Orders!$E$2:$E$20001,"COD",Orders!$F$2:$F$20001,"RTO"))</f>
        <v/>
      </c>
      <c r="D689" s="18" t="str">
        <f aca="false">IF($A689="","",IFERROR(C689/B689,0))</f>
        <v/>
      </c>
      <c r="E689" s="17" t="str">
        <f aca="false">IF($A689="","",COUNTIFS(Orders!$C$2:$C$20001,$A689,Orders!$E$2:$E$20001,"Prepaid",Orders!$F$2:$F$20001,"Delivered")+COUNTIFS(Orders!$C$2:$C$20001,$A689,Orders!$E$2:$E$20001,"Prepaid",Orders!$F$2:$F$20001,"RTO"))</f>
        <v/>
      </c>
      <c r="F689" s="17" t="str">
        <f aca="false">IF($A689="","",COUNTIFS(Orders!$C$2:$C$20001,$A689,Orders!$E$2:$E$20001,"Prepaid",Orders!$F$2:$F$20001,"RTO"))</f>
        <v/>
      </c>
      <c r="G689" s="18" t="str">
        <f aca="false">IF($A689="","",IFERROR(F689/E689,0))</f>
        <v/>
      </c>
      <c r="H689" s="19" t="str">
        <f aca="false">IF($A689="","",C689*Settings!$B$11)</f>
        <v/>
      </c>
      <c r="I689" s="20" t="str">
        <f aca="false">IF($A689="","",IF(N(H689)=0,"",RANK(H689,$H$5:$H$2004)))</f>
        <v/>
      </c>
      <c r="J689" s="21" t="str">
        <f aca="false">IF($A689="","",IF(B689=0,"No COD orders",IF(B689&lt;Settings!$B$8,"Too few orders",IF(D689&gt;=Settings!$B$9,"Restrict COD or verify","Keep COD"))))</f>
        <v/>
      </c>
    </row>
    <row r="690" customFormat="false" ht="15" hidden="false" customHeight="false" outlineLevel="0" collapsed="false">
      <c r="A690" s="27"/>
      <c r="B690" s="17" t="str">
        <f aca="false">IF($A690="","",COUNTIFS(Orders!$C$2:$C$20001,$A690,Orders!$E$2:$E$20001,"COD",Orders!$F$2:$F$20001,"Delivered")+COUNTIFS(Orders!$C$2:$C$20001,$A690,Orders!$E$2:$E$20001,"COD",Orders!$F$2:$F$20001,"RTO"))</f>
        <v/>
      </c>
      <c r="C690" s="17" t="str">
        <f aca="false">IF($A690="","",COUNTIFS(Orders!$C$2:$C$20001,$A690,Orders!$E$2:$E$20001,"COD",Orders!$F$2:$F$20001,"RTO"))</f>
        <v/>
      </c>
      <c r="D690" s="18" t="str">
        <f aca="false">IF($A690="","",IFERROR(C690/B690,0))</f>
        <v/>
      </c>
      <c r="E690" s="17" t="str">
        <f aca="false">IF($A690="","",COUNTIFS(Orders!$C$2:$C$20001,$A690,Orders!$E$2:$E$20001,"Prepaid",Orders!$F$2:$F$20001,"Delivered")+COUNTIFS(Orders!$C$2:$C$20001,$A690,Orders!$E$2:$E$20001,"Prepaid",Orders!$F$2:$F$20001,"RTO"))</f>
        <v/>
      </c>
      <c r="F690" s="17" t="str">
        <f aca="false">IF($A690="","",COUNTIFS(Orders!$C$2:$C$20001,$A690,Orders!$E$2:$E$20001,"Prepaid",Orders!$F$2:$F$20001,"RTO"))</f>
        <v/>
      </c>
      <c r="G690" s="18" t="str">
        <f aca="false">IF($A690="","",IFERROR(F690/E690,0))</f>
        <v/>
      </c>
      <c r="H690" s="19" t="str">
        <f aca="false">IF($A690="","",C690*Settings!$B$11)</f>
        <v/>
      </c>
      <c r="I690" s="20" t="str">
        <f aca="false">IF($A690="","",IF(N(H690)=0,"",RANK(H690,$H$5:$H$2004)))</f>
        <v/>
      </c>
      <c r="J690" s="21" t="str">
        <f aca="false">IF($A690="","",IF(B690=0,"No COD orders",IF(B690&lt;Settings!$B$8,"Too few orders",IF(D690&gt;=Settings!$B$9,"Restrict COD or verify","Keep COD"))))</f>
        <v/>
      </c>
    </row>
    <row r="691" customFormat="false" ht="15" hidden="false" customHeight="false" outlineLevel="0" collapsed="false">
      <c r="A691" s="27"/>
      <c r="B691" s="17" t="str">
        <f aca="false">IF($A691="","",COUNTIFS(Orders!$C$2:$C$20001,$A691,Orders!$E$2:$E$20001,"COD",Orders!$F$2:$F$20001,"Delivered")+COUNTIFS(Orders!$C$2:$C$20001,$A691,Orders!$E$2:$E$20001,"COD",Orders!$F$2:$F$20001,"RTO"))</f>
        <v/>
      </c>
      <c r="C691" s="17" t="str">
        <f aca="false">IF($A691="","",COUNTIFS(Orders!$C$2:$C$20001,$A691,Orders!$E$2:$E$20001,"COD",Orders!$F$2:$F$20001,"RTO"))</f>
        <v/>
      </c>
      <c r="D691" s="18" t="str">
        <f aca="false">IF($A691="","",IFERROR(C691/B691,0))</f>
        <v/>
      </c>
      <c r="E691" s="17" t="str">
        <f aca="false">IF($A691="","",COUNTIFS(Orders!$C$2:$C$20001,$A691,Orders!$E$2:$E$20001,"Prepaid",Orders!$F$2:$F$20001,"Delivered")+COUNTIFS(Orders!$C$2:$C$20001,$A691,Orders!$E$2:$E$20001,"Prepaid",Orders!$F$2:$F$20001,"RTO"))</f>
        <v/>
      </c>
      <c r="F691" s="17" t="str">
        <f aca="false">IF($A691="","",COUNTIFS(Orders!$C$2:$C$20001,$A691,Orders!$E$2:$E$20001,"Prepaid",Orders!$F$2:$F$20001,"RTO"))</f>
        <v/>
      </c>
      <c r="G691" s="18" t="str">
        <f aca="false">IF($A691="","",IFERROR(F691/E691,0))</f>
        <v/>
      </c>
      <c r="H691" s="19" t="str">
        <f aca="false">IF($A691="","",C691*Settings!$B$11)</f>
        <v/>
      </c>
      <c r="I691" s="20" t="str">
        <f aca="false">IF($A691="","",IF(N(H691)=0,"",RANK(H691,$H$5:$H$2004)))</f>
        <v/>
      </c>
      <c r="J691" s="21" t="str">
        <f aca="false">IF($A691="","",IF(B691=0,"No COD orders",IF(B691&lt;Settings!$B$8,"Too few orders",IF(D691&gt;=Settings!$B$9,"Restrict COD or verify","Keep COD"))))</f>
        <v/>
      </c>
    </row>
    <row r="692" customFormat="false" ht="15" hidden="false" customHeight="false" outlineLevel="0" collapsed="false">
      <c r="A692" s="27"/>
      <c r="B692" s="17" t="str">
        <f aca="false">IF($A692="","",COUNTIFS(Orders!$C$2:$C$20001,$A692,Orders!$E$2:$E$20001,"COD",Orders!$F$2:$F$20001,"Delivered")+COUNTIFS(Orders!$C$2:$C$20001,$A692,Orders!$E$2:$E$20001,"COD",Orders!$F$2:$F$20001,"RTO"))</f>
        <v/>
      </c>
      <c r="C692" s="17" t="str">
        <f aca="false">IF($A692="","",COUNTIFS(Orders!$C$2:$C$20001,$A692,Orders!$E$2:$E$20001,"COD",Orders!$F$2:$F$20001,"RTO"))</f>
        <v/>
      </c>
      <c r="D692" s="18" t="str">
        <f aca="false">IF($A692="","",IFERROR(C692/B692,0))</f>
        <v/>
      </c>
      <c r="E692" s="17" t="str">
        <f aca="false">IF($A692="","",COUNTIFS(Orders!$C$2:$C$20001,$A692,Orders!$E$2:$E$20001,"Prepaid",Orders!$F$2:$F$20001,"Delivered")+COUNTIFS(Orders!$C$2:$C$20001,$A692,Orders!$E$2:$E$20001,"Prepaid",Orders!$F$2:$F$20001,"RTO"))</f>
        <v/>
      </c>
      <c r="F692" s="17" t="str">
        <f aca="false">IF($A692="","",COUNTIFS(Orders!$C$2:$C$20001,$A692,Orders!$E$2:$E$20001,"Prepaid",Orders!$F$2:$F$20001,"RTO"))</f>
        <v/>
      </c>
      <c r="G692" s="18" t="str">
        <f aca="false">IF($A692="","",IFERROR(F692/E692,0))</f>
        <v/>
      </c>
      <c r="H692" s="19" t="str">
        <f aca="false">IF($A692="","",C692*Settings!$B$11)</f>
        <v/>
      </c>
      <c r="I692" s="20" t="str">
        <f aca="false">IF($A692="","",IF(N(H692)=0,"",RANK(H692,$H$5:$H$2004)))</f>
        <v/>
      </c>
      <c r="J692" s="21" t="str">
        <f aca="false">IF($A692="","",IF(B692=0,"No COD orders",IF(B692&lt;Settings!$B$8,"Too few orders",IF(D692&gt;=Settings!$B$9,"Restrict COD or verify","Keep COD"))))</f>
        <v/>
      </c>
    </row>
    <row r="693" customFormat="false" ht="15" hidden="false" customHeight="false" outlineLevel="0" collapsed="false">
      <c r="A693" s="27"/>
      <c r="B693" s="17" t="str">
        <f aca="false">IF($A693="","",COUNTIFS(Orders!$C$2:$C$20001,$A693,Orders!$E$2:$E$20001,"COD",Orders!$F$2:$F$20001,"Delivered")+COUNTIFS(Orders!$C$2:$C$20001,$A693,Orders!$E$2:$E$20001,"COD",Orders!$F$2:$F$20001,"RTO"))</f>
        <v/>
      </c>
      <c r="C693" s="17" t="str">
        <f aca="false">IF($A693="","",COUNTIFS(Orders!$C$2:$C$20001,$A693,Orders!$E$2:$E$20001,"COD",Orders!$F$2:$F$20001,"RTO"))</f>
        <v/>
      </c>
      <c r="D693" s="18" t="str">
        <f aca="false">IF($A693="","",IFERROR(C693/B693,0))</f>
        <v/>
      </c>
      <c r="E693" s="17" t="str">
        <f aca="false">IF($A693="","",COUNTIFS(Orders!$C$2:$C$20001,$A693,Orders!$E$2:$E$20001,"Prepaid",Orders!$F$2:$F$20001,"Delivered")+COUNTIFS(Orders!$C$2:$C$20001,$A693,Orders!$E$2:$E$20001,"Prepaid",Orders!$F$2:$F$20001,"RTO"))</f>
        <v/>
      </c>
      <c r="F693" s="17" t="str">
        <f aca="false">IF($A693="","",COUNTIFS(Orders!$C$2:$C$20001,$A693,Orders!$E$2:$E$20001,"Prepaid",Orders!$F$2:$F$20001,"RTO"))</f>
        <v/>
      </c>
      <c r="G693" s="18" t="str">
        <f aca="false">IF($A693="","",IFERROR(F693/E693,0))</f>
        <v/>
      </c>
      <c r="H693" s="19" t="str">
        <f aca="false">IF($A693="","",C693*Settings!$B$11)</f>
        <v/>
      </c>
      <c r="I693" s="20" t="str">
        <f aca="false">IF($A693="","",IF(N(H693)=0,"",RANK(H693,$H$5:$H$2004)))</f>
        <v/>
      </c>
      <c r="J693" s="21" t="str">
        <f aca="false">IF($A693="","",IF(B693=0,"No COD orders",IF(B693&lt;Settings!$B$8,"Too few orders",IF(D693&gt;=Settings!$B$9,"Restrict COD or verify","Keep COD"))))</f>
        <v/>
      </c>
    </row>
    <row r="694" customFormat="false" ht="15" hidden="false" customHeight="false" outlineLevel="0" collapsed="false">
      <c r="A694" s="27"/>
      <c r="B694" s="17" t="str">
        <f aca="false">IF($A694="","",COUNTIFS(Orders!$C$2:$C$20001,$A694,Orders!$E$2:$E$20001,"COD",Orders!$F$2:$F$20001,"Delivered")+COUNTIFS(Orders!$C$2:$C$20001,$A694,Orders!$E$2:$E$20001,"COD",Orders!$F$2:$F$20001,"RTO"))</f>
        <v/>
      </c>
      <c r="C694" s="17" t="str">
        <f aca="false">IF($A694="","",COUNTIFS(Orders!$C$2:$C$20001,$A694,Orders!$E$2:$E$20001,"COD",Orders!$F$2:$F$20001,"RTO"))</f>
        <v/>
      </c>
      <c r="D694" s="18" t="str">
        <f aca="false">IF($A694="","",IFERROR(C694/B694,0))</f>
        <v/>
      </c>
      <c r="E694" s="17" t="str">
        <f aca="false">IF($A694="","",COUNTIFS(Orders!$C$2:$C$20001,$A694,Orders!$E$2:$E$20001,"Prepaid",Orders!$F$2:$F$20001,"Delivered")+COUNTIFS(Orders!$C$2:$C$20001,$A694,Orders!$E$2:$E$20001,"Prepaid",Orders!$F$2:$F$20001,"RTO"))</f>
        <v/>
      </c>
      <c r="F694" s="17" t="str">
        <f aca="false">IF($A694="","",COUNTIFS(Orders!$C$2:$C$20001,$A694,Orders!$E$2:$E$20001,"Prepaid",Orders!$F$2:$F$20001,"RTO"))</f>
        <v/>
      </c>
      <c r="G694" s="18" t="str">
        <f aca="false">IF($A694="","",IFERROR(F694/E694,0))</f>
        <v/>
      </c>
      <c r="H694" s="19" t="str">
        <f aca="false">IF($A694="","",C694*Settings!$B$11)</f>
        <v/>
      </c>
      <c r="I694" s="20" t="str">
        <f aca="false">IF($A694="","",IF(N(H694)=0,"",RANK(H694,$H$5:$H$2004)))</f>
        <v/>
      </c>
      <c r="J694" s="21" t="str">
        <f aca="false">IF($A694="","",IF(B694=0,"No COD orders",IF(B694&lt;Settings!$B$8,"Too few orders",IF(D694&gt;=Settings!$B$9,"Restrict COD or verify","Keep COD"))))</f>
        <v/>
      </c>
    </row>
    <row r="695" customFormat="false" ht="15" hidden="false" customHeight="false" outlineLevel="0" collapsed="false">
      <c r="A695" s="27"/>
      <c r="B695" s="17" t="str">
        <f aca="false">IF($A695="","",COUNTIFS(Orders!$C$2:$C$20001,$A695,Orders!$E$2:$E$20001,"COD",Orders!$F$2:$F$20001,"Delivered")+COUNTIFS(Orders!$C$2:$C$20001,$A695,Orders!$E$2:$E$20001,"COD",Orders!$F$2:$F$20001,"RTO"))</f>
        <v/>
      </c>
      <c r="C695" s="17" t="str">
        <f aca="false">IF($A695="","",COUNTIFS(Orders!$C$2:$C$20001,$A695,Orders!$E$2:$E$20001,"COD",Orders!$F$2:$F$20001,"RTO"))</f>
        <v/>
      </c>
      <c r="D695" s="18" t="str">
        <f aca="false">IF($A695="","",IFERROR(C695/B695,0))</f>
        <v/>
      </c>
      <c r="E695" s="17" t="str">
        <f aca="false">IF($A695="","",COUNTIFS(Orders!$C$2:$C$20001,$A695,Orders!$E$2:$E$20001,"Prepaid",Orders!$F$2:$F$20001,"Delivered")+COUNTIFS(Orders!$C$2:$C$20001,$A695,Orders!$E$2:$E$20001,"Prepaid",Orders!$F$2:$F$20001,"RTO"))</f>
        <v/>
      </c>
      <c r="F695" s="17" t="str">
        <f aca="false">IF($A695="","",COUNTIFS(Orders!$C$2:$C$20001,$A695,Orders!$E$2:$E$20001,"Prepaid",Orders!$F$2:$F$20001,"RTO"))</f>
        <v/>
      </c>
      <c r="G695" s="18" t="str">
        <f aca="false">IF($A695="","",IFERROR(F695/E695,0))</f>
        <v/>
      </c>
      <c r="H695" s="19" t="str">
        <f aca="false">IF($A695="","",C695*Settings!$B$11)</f>
        <v/>
      </c>
      <c r="I695" s="20" t="str">
        <f aca="false">IF($A695="","",IF(N(H695)=0,"",RANK(H695,$H$5:$H$2004)))</f>
        <v/>
      </c>
      <c r="J695" s="21" t="str">
        <f aca="false">IF($A695="","",IF(B695=0,"No COD orders",IF(B695&lt;Settings!$B$8,"Too few orders",IF(D695&gt;=Settings!$B$9,"Restrict COD or verify","Keep COD"))))</f>
        <v/>
      </c>
    </row>
    <row r="696" customFormat="false" ht="15" hidden="false" customHeight="false" outlineLevel="0" collapsed="false">
      <c r="A696" s="27"/>
      <c r="B696" s="17" t="str">
        <f aca="false">IF($A696="","",COUNTIFS(Orders!$C$2:$C$20001,$A696,Orders!$E$2:$E$20001,"COD",Orders!$F$2:$F$20001,"Delivered")+COUNTIFS(Orders!$C$2:$C$20001,$A696,Orders!$E$2:$E$20001,"COD",Orders!$F$2:$F$20001,"RTO"))</f>
        <v/>
      </c>
      <c r="C696" s="17" t="str">
        <f aca="false">IF($A696="","",COUNTIFS(Orders!$C$2:$C$20001,$A696,Orders!$E$2:$E$20001,"COD",Orders!$F$2:$F$20001,"RTO"))</f>
        <v/>
      </c>
      <c r="D696" s="18" t="str">
        <f aca="false">IF($A696="","",IFERROR(C696/B696,0))</f>
        <v/>
      </c>
      <c r="E696" s="17" t="str">
        <f aca="false">IF($A696="","",COUNTIFS(Orders!$C$2:$C$20001,$A696,Orders!$E$2:$E$20001,"Prepaid",Orders!$F$2:$F$20001,"Delivered")+COUNTIFS(Orders!$C$2:$C$20001,$A696,Orders!$E$2:$E$20001,"Prepaid",Orders!$F$2:$F$20001,"RTO"))</f>
        <v/>
      </c>
      <c r="F696" s="17" t="str">
        <f aca="false">IF($A696="","",COUNTIFS(Orders!$C$2:$C$20001,$A696,Orders!$E$2:$E$20001,"Prepaid",Orders!$F$2:$F$20001,"RTO"))</f>
        <v/>
      </c>
      <c r="G696" s="18" t="str">
        <f aca="false">IF($A696="","",IFERROR(F696/E696,0))</f>
        <v/>
      </c>
      <c r="H696" s="19" t="str">
        <f aca="false">IF($A696="","",C696*Settings!$B$11)</f>
        <v/>
      </c>
      <c r="I696" s="20" t="str">
        <f aca="false">IF($A696="","",IF(N(H696)=0,"",RANK(H696,$H$5:$H$2004)))</f>
        <v/>
      </c>
      <c r="J696" s="21" t="str">
        <f aca="false">IF($A696="","",IF(B696=0,"No COD orders",IF(B696&lt;Settings!$B$8,"Too few orders",IF(D696&gt;=Settings!$B$9,"Restrict COD or verify","Keep COD"))))</f>
        <v/>
      </c>
    </row>
    <row r="697" customFormat="false" ht="15" hidden="false" customHeight="false" outlineLevel="0" collapsed="false">
      <c r="A697" s="27"/>
      <c r="B697" s="17" t="str">
        <f aca="false">IF($A697="","",COUNTIFS(Orders!$C$2:$C$20001,$A697,Orders!$E$2:$E$20001,"COD",Orders!$F$2:$F$20001,"Delivered")+COUNTIFS(Orders!$C$2:$C$20001,$A697,Orders!$E$2:$E$20001,"COD",Orders!$F$2:$F$20001,"RTO"))</f>
        <v/>
      </c>
      <c r="C697" s="17" t="str">
        <f aca="false">IF($A697="","",COUNTIFS(Orders!$C$2:$C$20001,$A697,Orders!$E$2:$E$20001,"COD",Orders!$F$2:$F$20001,"RTO"))</f>
        <v/>
      </c>
      <c r="D697" s="18" t="str">
        <f aca="false">IF($A697="","",IFERROR(C697/B697,0))</f>
        <v/>
      </c>
      <c r="E697" s="17" t="str">
        <f aca="false">IF($A697="","",COUNTIFS(Orders!$C$2:$C$20001,$A697,Orders!$E$2:$E$20001,"Prepaid",Orders!$F$2:$F$20001,"Delivered")+COUNTIFS(Orders!$C$2:$C$20001,$A697,Orders!$E$2:$E$20001,"Prepaid",Orders!$F$2:$F$20001,"RTO"))</f>
        <v/>
      </c>
      <c r="F697" s="17" t="str">
        <f aca="false">IF($A697="","",COUNTIFS(Orders!$C$2:$C$20001,$A697,Orders!$E$2:$E$20001,"Prepaid",Orders!$F$2:$F$20001,"RTO"))</f>
        <v/>
      </c>
      <c r="G697" s="18" t="str">
        <f aca="false">IF($A697="","",IFERROR(F697/E697,0))</f>
        <v/>
      </c>
      <c r="H697" s="19" t="str">
        <f aca="false">IF($A697="","",C697*Settings!$B$11)</f>
        <v/>
      </c>
      <c r="I697" s="20" t="str">
        <f aca="false">IF($A697="","",IF(N(H697)=0,"",RANK(H697,$H$5:$H$2004)))</f>
        <v/>
      </c>
      <c r="J697" s="21" t="str">
        <f aca="false">IF($A697="","",IF(B697=0,"No COD orders",IF(B697&lt;Settings!$B$8,"Too few orders",IF(D697&gt;=Settings!$B$9,"Restrict COD or verify","Keep COD"))))</f>
        <v/>
      </c>
    </row>
    <row r="698" customFormat="false" ht="15" hidden="false" customHeight="false" outlineLevel="0" collapsed="false">
      <c r="A698" s="27"/>
      <c r="B698" s="17" t="str">
        <f aca="false">IF($A698="","",COUNTIFS(Orders!$C$2:$C$20001,$A698,Orders!$E$2:$E$20001,"COD",Orders!$F$2:$F$20001,"Delivered")+COUNTIFS(Orders!$C$2:$C$20001,$A698,Orders!$E$2:$E$20001,"COD",Orders!$F$2:$F$20001,"RTO"))</f>
        <v/>
      </c>
      <c r="C698" s="17" t="str">
        <f aca="false">IF($A698="","",COUNTIFS(Orders!$C$2:$C$20001,$A698,Orders!$E$2:$E$20001,"COD",Orders!$F$2:$F$20001,"RTO"))</f>
        <v/>
      </c>
      <c r="D698" s="18" t="str">
        <f aca="false">IF($A698="","",IFERROR(C698/B698,0))</f>
        <v/>
      </c>
      <c r="E698" s="17" t="str">
        <f aca="false">IF($A698="","",COUNTIFS(Orders!$C$2:$C$20001,$A698,Orders!$E$2:$E$20001,"Prepaid",Orders!$F$2:$F$20001,"Delivered")+COUNTIFS(Orders!$C$2:$C$20001,$A698,Orders!$E$2:$E$20001,"Prepaid",Orders!$F$2:$F$20001,"RTO"))</f>
        <v/>
      </c>
      <c r="F698" s="17" t="str">
        <f aca="false">IF($A698="","",COUNTIFS(Orders!$C$2:$C$20001,$A698,Orders!$E$2:$E$20001,"Prepaid",Orders!$F$2:$F$20001,"RTO"))</f>
        <v/>
      </c>
      <c r="G698" s="18" t="str">
        <f aca="false">IF($A698="","",IFERROR(F698/E698,0))</f>
        <v/>
      </c>
      <c r="H698" s="19" t="str">
        <f aca="false">IF($A698="","",C698*Settings!$B$11)</f>
        <v/>
      </c>
      <c r="I698" s="20" t="str">
        <f aca="false">IF($A698="","",IF(N(H698)=0,"",RANK(H698,$H$5:$H$2004)))</f>
        <v/>
      </c>
      <c r="J698" s="21" t="str">
        <f aca="false">IF($A698="","",IF(B698=0,"No COD orders",IF(B698&lt;Settings!$B$8,"Too few orders",IF(D698&gt;=Settings!$B$9,"Restrict COD or verify","Keep COD"))))</f>
        <v/>
      </c>
    </row>
    <row r="699" customFormat="false" ht="15" hidden="false" customHeight="false" outlineLevel="0" collapsed="false">
      <c r="A699" s="27"/>
      <c r="B699" s="17" t="str">
        <f aca="false">IF($A699="","",COUNTIFS(Orders!$C$2:$C$20001,$A699,Orders!$E$2:$E$20001,"COD",Orders!$F$2:$F$20001,"Delivered")+COUNTIFS(Orders!$C$2:$C$20001,$A699,Orders!$E$2:$E$20001,"COD",Orders!$F$2:$F$20001,"RTO"))</f>
        <v/>
      </c>
      <c r="C699" s="17" t="str">
        <f aca="false">IF($A699="","",COUNTIFS(Orders!$C$2:$C$20001,$A699,Orders!$E$2:$E$20001,"COD",Orders!$F$2:$F$20001,"RTO"))</f>
        <v/>
      </c>
      <c r="D699" s="18" t="str">
        <f aca="false">IF($A699="","",IFERROR(C699/B699,0))</f>
        <v/>
      </c>
      <c r="E699" s="17" t="str">
        <f aca="false">IF($A699="","",COUNTIFS(Orders!$C$2:$C$20001,$A699,Orders!$E$2:$E$20001,"Prepaid",Orders!$F$2:$F$20001,"Delivered")+COUNTIFS(Orders!$C$2:$C$20001,$A699,Orders!$E$2:$E$20001,"Prepaid",Orders!$F$2:$F$20001,"RTO"))</f>
        <v/>
      </c>
      <c r="F699" s="17" t="str">
        <f aca="false">IF($A699="","",COUNTIFS(Orders!$C$2:$C$20001,$A699,Orders!$E$2:$E$20001,"Prepaid",Orders!$F$2:$F$20001,"RTO"))</f>
        <v/>
      </c>
      <c r="G699" s="18" t="str">
        <f aca="false">IF($A699="","",IFERROR(F699/E699,0))</f>
        <v/>
      </c>
      <c r="H699" s="19" t="str">
        <f aca="false">IF($A699="","",C699*Settings!$B$11)</f>
        <v/>
      </c>
      <c r="I699" s="20" t="str">
        <f aca="false">IF($A699="","",IF(N(H699)=0,"",RANK(H699,$H$5:$H$2004)))</f>
        <v/>
      </c>
      <c r="J699" s="21" t="str">
        <f aca="false">IF($A699="","",IF(B699=0,"No COD orders",IF(B699&lt;Settings!$B$8,"Too few orders",IF(D699&gt;=Settings!$B$9,"Restrict COD or verify","Keep COD"))))</f>
        <v/>
      </c>
    </row>
    <row r="700" customFormat="false" ht="15" hidden="false" customHeight="false" outlineLevel="0" collapsed="false">
      <c r="A700" s="27"/>
      <c r="B700" s="17" t="str">
        <f aca="false">IF($A700="","",COUNTIFS(Orders!$C$2:$C$20001,$A700,Orders!$E$2:$E$20001,"COD",Orders!$F$2:$F$20001,"Delivered")+COUNTIFS(Orders!$C$2:$C$20001,$A700,Orders!$E$2:$E$20001,"COD",Orders!$F$2:$F$20001,"RTO"))</f>
        <v/>
      </c>
      <c r="C700" s="17" t="str">
        <f aca="false">IF($A700="","",COUNTIFS(Orders!$C$2:$C$20001,$A700,Orders!$E$2:$E$20001,"COD",Orders!$F$2:$F$20001,"RTO"))</f>
        <v/>
      </c>
      <c r="D700" s="18" t="str">
        <f aca="false">IF($A700="","",IFERROR(C700/B700,0))</f>
        <v/>
      </c>
      <c r="E700" s="17" t="str">
        <f aca="false">IF($A700="","",COUNTIFS(Orders!$C$2:$C$20001,$A700,Orders!$E$2:$E$20001,"Prepaid",Orders!$F$2:$F$20001,"Delivered")+COUNTIFS(Orders!$C$2:$C$20001,$A700,Orders!$E$2:$E$20001,"Prepaid",Orders!$F$2:$F$20001,"RTO"))</f>
        <v/>
      </c>
      <c r="F700" s="17" t="str">
        <f aca="false">IF($A700="","",COUNTIFS(Orders!$C$2:$C$20001,$A700,Orders!$E$2:$E$20001,"Prepaid",Orders!$F$2:$F$20001,"RTO"))</f>
        <v/>
      </c>
      <c r="G700" s="18" t="str">
        <f aca="false">IF($A700="","",IFERROR(F700/E700,0))</f>
        <v/>
      </c>
      <c r="H700" s="19" t="str">
        <f aca="false">IF($A700="","",C700*Settings!$B$11)</f>
        <v/>
      </c>
      <c r="I700" s="20" t="str">
        <f aca="false">IF($A700="","",IF(N(H700)=0,"",RANK(H700,$H$5:$H$2004)))</f>
        <v/>
      </c>
      <c r="J700" s="21" t="str">
        <f aca="false">IF($A700="","",IF(B700=0,"No COD orders",IF(B700&lt;Settings!$B$8,"Too few orders",IF(D700&gt;=Settings!$B$9,"Restrict COD or verify","Keep COD"))))</f>
        <v/>
      </c>
    </row>
    <row r="701" customFormat="false" ht="15" hidden="false" customHeight="false" outlineLevel="0" collapsed="false">
      <c r="A701" s="27"/>
      <c r="B701" s="17" t="str">
        <f aca="false">IF($A701="","",COUNTIFS(Orders!$C$2:$C$20001,$A701,Orders!$E$2:$E$20001,"COD",Orders!$F$2:$F$20001,"Delivered")+COUNTIFS(Orders!$C$2:$C$20001,$A701,Orders!$E$2:$E$20001,"COD",Orders!$F$2:$F$20001,"RTO"))</f>
        <v/>
      </c>
      <c r="C701" s="17" t="str">
        <f aca="false">IF($A701="","",COUNTIFS(Orders!$C$2:$C$20001,$A701,Orders!$E$2:$E$20001,"COD",Orders!$F$2:$F$20001,"RTO"))</f>
        <v/>
      </c>
      <c r="D701" s="18" t="str">
        <f aca="false">IF($A701="","",IFERROR(C701/B701,0))</f>
        <v/>
      </c>
      <c r="E701" s="17" t="str">
        <f aca="false">IF($A701="","",COUNTIFS(Orders!$C$2:$C$20001,$A701,Orders!$E$2:$E$20001,"Prepaid",Orders!$F$2:$F$20001,"Delivered")+COUNTIFS(Orders!$C$2:$C$20001,$A701,Orders!$E$2:$E$20001,"Prepaid",Orders!$F$2:$F$20001,"RTO"))</f>
        <v/>
      </c>
      <c r="F701" s="17" t="str">
        <f aca="false">IF($A701="","",COUNTIFS(Orders!$C$2:$C$20001,$A701,Orders!$E$2:$E$20001,"Prepaid",Orders!$F$2:$F$20001,"RTO"))</f>
        <v/>
      </c>
      <c r="G701" s="18" t="str">
        <f aca="false">IF($A701="","",IFERROR(F701/E701,0))</f>
        <v/>
      </c>
      <c r="H701" s="19" t="str">
        <f aca="false">IF($A701="","",C701*Settings!$B$11)</f>
        <v/>
      </c>
      <c r="I701" s="20" t="str">
        <f aca="false">IF($A701="","",IF(N(H701)=0,"",RANK(H701,$H$5:$H$2004)))</f>
        <v/>
      </c>
      <c r="J701" s="21" t="str">
        <f aca="false">IF($A701="","",IF(B701=0,"No COD orders",IF(B701&lt;Settings!$B$8,"Too few orders",IF(D701&gt;=Settings!$B$9,"Restrict COD or verify","Keep COD"))))</f>
        <v/>
      </c>
    </row>
    <row r="702" customFormat="false" ht="15" hidden="false" customHeight="false" outlineLevel="0" collapsed="false">
      <c r="A702" s="27"/>
      <c r="B702" s="17" t="str">
        <f aca="false">IF($A702="","",COUNTIFS(Orders!$C$2:$C$20001,$A702,Orders!$E$2:$E$20001,"COD",Orders!$F$2:$F$20001,"Delivered")+COUNTIFS(Orders!$C$2:$C$20001,$A702,Orders!$E$2:$E$20001,"COD",Orders!$F$2:$F$20001,"RTO"))</f>
        <v/>
      </c>
      <c r="C702" s="17" t="str">
        <f aca="false">IF($A702="","",COUNTIFS(Orders!$C$2:$C$20001,$A702,Orders!$E$2:$E$20001,"COD",Orders!$F$2:$F$20001,"RTO"))</f>
        <v/>
      </c>
      <c r="D702" s="18" t="str">
        <f aca="false">IF($A702="","",IFERROR(C702/B702,0))</f>
        <v/>
      </c>
      <c r="E702" s="17" t="str">
        <f aca="false">IF($A702="","",COUNTIFS(Orders!$C$2:$C$20001,$A702,Orders!$E$2:$E$20001,"Prepaid",Orders!$F$2:$F$20001,"Delivered")+COUNTIFS(Orders!$C$2:$C$20001,$A702,Orders!$E$2:$E$20001,"Prepaid",Orders!$F$2:$F$20001,"RTO"))</f>
        <v/>
      </c>
      <c r="F702" s="17" t="str">
        <f aca="false">IF($A702="","",COUNTIFS(Orders!$C$2:$C$20001,$A702,Orders!$E$2:$E$20001,"Prepaid",Orders!$F$2:$F$20001,"RTO"))</f>
        <v/>
      </c>
      <c r="G702" s="18" t="str">
        <f aca="false">IF($A702="","",IFERROR(F702/E702,0))</f>
        <v/>
      </c>
      <c r="H702" s="19" t="str">
        <f aca="false">IF($A702="","",C702*Settings!$B$11)</f>
        <v/>
      </c>
      <c r="I702" s="20" t="str">
        <f aca="false">IF($A702="","",IF(N(H702)=0,"",RANK(H702,$H$5:$H$2004)))</f>
        <v/>
      </c>
      <c r="J702" s="21" t="str">
        <f aca="false">IF($A702="","",IF(B702=0,"No COD orders",IF(B702&lt;Settings!$B$8,"Too few orders",IF(D702&gt;=Settings!$B$9,"Restrict COD or verify","Keep COD"))))</f>
        <v/>
      </c>
    </row>
    <row r="703" customFormat="false" ht="15" hidden="false" customHeight="false" outlineLevel="0" collapsed="false">
      <c r="A703" s="27"/>
      <c r="B703" s="17" t="str">
        <f aca="false">IF($A703="","",COUNTIFS(Orders!$C$2:$C$20001,$A703,Orders!$E$2:$E$20001,"COD",Orders!$F$2:$F$20001,"Delivered")+COUNTIFS(Orders!$C$2:$C$20001,$A703,Orders!$E$2:$E$20001,"COD",Orders!$F$2:$F$20001,"RTO"))</f>
        <v/>
      </c>
      <c r="C703" s="17" t="str">
        <f aca="false">IF($A703="","",COUNTIFS(Orders!$C$2:$C$20001,$A703,Orders!$E$2:$E$20001,"COD",Orders!$F$2:$F$20001,"RTO"))</f>
        <v/>
      </c>
      <c r="D703" s="18" t="str">
        <f aca="false">IF($A703="","",IFERROR(C703/B703,0))</f>
        <v/>
      </c>
      <c r="E703" s="17" t="str">
        <f aca="false">IF($A703="","",COUNTIFS(Orders!$C$2:$C$20001,$A703,Orders!$E$2:$E$20001,"Prepaid",Orders!$F$2:$F$20001,"Delivered")+COUNTIFS(Orders!$C$2:$C$20001,$A703,Orders!$E$2:$E$20001,"Prepaid",Orders!$F$2:$F$20001,"RTO"))</f>
        <v/>
      </c>
      <c r="F703" s="17" t="str">
        <f aca="false">IF($A703="","",COUNTIFS(Orders!$C$2:$C$20001,$A703,Orders!$E$2:$E$20001,"Prepaid",Orders!$F$2:$F$20001,"RTO"))</f>
        <v/>
      </c>
      <c r="G703" s="18" t="str">
        <f aca="false">IF($A703="","",IFERROR(F703/E703,0))</f>
        <v/>
      </c>
      <c r="H703" s="19" t="str">
        <f aca="false">IF($A703="","",C703*Settings!$B$11)</f>
        <v/>
      </c>
      <c r="I703" s="20" t="str">
        <f aca="false">IF($A703="","",IF(N(H703)=0,"",RANK(H703,$H$5:$H$2004)))</f>
        <v/>
      </c>
      <c r="J703" s="21" t="str">
        <f aca="false">IF($A703="","",IF(B703=0,"No COD orders",IF(B703&lt;Settings!$B$8,"Too few orders",IF(D703&gt;=Settings!$B$9,"Restrict COD or verify","Keep COD"))))</f>
        <v/>
      </c>
    </row>
    <row r="704" customFormat="false" ht="15" hidden="false" customHeight="false" outlineLevel="0" collapsed="false">
      <c r="A704" s="27"/>
      <c r="B704" s="17" t="str">
        <f aca="false">IF($A704="","",COUNTIFS(Orders!$C$2:$C$20001,$A704,Orders!$E$2:$E$20001,"COD",Orders!$F$2:$F$20001,"Delivered")+COUNTIFS(Orders!$C$2:$C$20001,$A704,Orders!$E$2:$E$20001,"COD",Orders!$F$2:$F$20001,"RTO"))</f>
        <v/>
      </c>
      <c r="C704" s="17" t="str">
        <f aca="false">IF($A704="","",COUNTIFS(Orders!$C$2:$C$20001,$A704,Orders!$E$2:$E$20001,"COD",Orders!$F$2:$F$20001,"RTO"))</f>
        <v/>
      </c>
      <c r="D704" s="18" t="str">
        <f aca="false">IF($A704="","",IFERROR(C704/B704,0))</f>
        <v/>
      </c>
      <c r="E704" s="17" t="str">
        <f aca="false">IF($A704="","",COUNTIFS(Orders!$C$2:$C$20001,$A704,Orders!$E$2:$E$20001,"Prepaid",Orders!$F$2:$F$20001,"Delivered")+COUNTIFS(Orders!$C$2:$C$20001,$A704,Orders!$E$2:$E$20001,"Prepaid",Orders!$F$2:$F$20001,"RTO"))</f>
        <v/>
      </c>
      <c r="F704" s="17" t="str">
        <f aca="false">IF($A704="","",COUNTIFS(Orders!$C$2:$C$20001,$A704,Orders!$E$2:$E$20001,"Prepaid",Orders!$F$2:$F$20001,"RTO"))</f>
        <v/>
      </c>
      <c r="G704" s="18" t="str">
        <f aca="false">IF($A704="","",IFERROR(F704/E704,0))</f>
        <v/>
      </c>
      <c r="H704" s="19" t="str">
        <f aca="false">IF($A704="","",C704*Settings!$B$11)</f>
        <v/>
      </c>
      <c r="I704" s="20" t="str">
        <f aca="false">IF($A704="","",IF(N(H704)=0,"",RANK(H704,$H$5:$H$2004)))</f>
        <v/>
      </c>
      <c r="J704" s="21" t="str">
        <f aca="false">IF($A704="","",IF(B704=0,"No COD orders",IF(B704&lt;Settings!$B$8,"Too few orders",IF(D704&gt;=Settings!$B$9,"Restrict COD or verify","Keep COD"))))</f>
        <v/>
      </c>
    </row>
    <row r="705" customFormat="false" ht="15" hidden="false" customHeight="false" outlineLevel="0" collapsed="false">
      <c r="A705" s="27"/>
      <c r="B705" s="17" t="str">
        <f aca="false">IF($A705="","",COUNTIFS(Orders!$C$2:$C$20001,$A705,Orders!$E$2:$E$20001,"COD",Orders!$F$2:$F$20001,"Delivered")+COUNTIFS(Orders!$C$2:$C$20001,$A705,Orders!$E$2:$E$20001,"COD",Orders!$F$2:$F$20001,"RTO"))</f>
        <v/>
      </c>
      <c r="C705" s="17" t="str">
        <f aca="false">IF($A705="","",COUNTIFS(Orders!$C$2:$C$20001,$A705,Orders!$E$2:$E$20001,"COD",Orders!$F$2:$F$20001,"RTO"))</f>
        <v/>
      </c>
      <c r="D705" s="18" t="str">
        <f aca="false">IF($A705="","",IFERROR(C705/B705,0))</f>
        <v/>
      </c>
      <c r="E705" s="17" t="str">
        <f aca="false">IF($A705="","",COUNTIFS(Orders!$C$2:$C$20001,$A705,Orders!$E$2:$E$20001,"Prepaid",Orders!$F$2:$F$20001,"Delivered")+COUNTIFS(Orders!$C$2:$C$20001,$A705,Orders!$E$2:$E$20001,"Prepaid",Orders!$F$2:$F$20001,"RTO"))</f>
        <v/>
      </c>
      <c r="F705" s="17" t="str">
        <f aca="false">IF($A705="","",COUNTIFS(Orders!$C$2:$C$20001,$A705,Orders!$E$2:$E$20001,"Prepaid",Orders!$F$2:$F$20001,"RTO"))</f>
        <v/>
      </c>
      <c r="G705" s="18" t="str">
        <f aca="false">IF($A705="","",IFERROR(F705/E705,0))</f>
        <v/>
      </c>
      <c r="H705" s="19" t="str">
        <f aca="false">IF($A705="","",C705*Settings!$B$11)</f>
        <v/>
      </c>
      <c r="I705" s="20" t="str">
        <f aca="false">IF($A705="","",IF(N(H705)=0,"",RANK(H705,$H$5:$H$2004)))</f>
        <v/>
      </c>
      <c r="J705" s="21" t="str">
        <f aca="false">IF($A705="","",IF(B705=0,"No COD orders",IF(B705&lt;Settings!$B$8,"Too few orders",IF(D705&gt;=Settings!$B$9,"Restrict COD or verify","Keep COD"))))</f>
        <v/>
      </c>
    </row>
    <row r="706" customFormat="false" ht="15" hidden="false" customHeight="false" outlineLevel="0" collapsed="false">
      <c r="A706" s="27"/>
      <c r="B706" s="17" t="str">
        <f aca="false">IF($A706="","",COUNTIFS(Orders!$C$2:$C$20001,$A706,Orders!$E$2:$E$20001,"COD",Orders!$F$2:$F$20001,"Delivered")+COUNTIFS(Orders!$C$2:$C$20001,$A706,Orders!$E$2:$E$20001,"COD",Orders!$F$2:$F$20001,"RTO"))</f>
        <v/>
      </c>
      <c r="C706" s="17" t="str">
        <f aca="false">IF($A706="","",COUNTIFS(Orders!$C$2:$C$20001,$A706,Orders!$E$2:$E$20001,"COD",Orders!$F$2:$F$20001,"RTO"))</f>
        <v/>
      </c>
      <c r="D706" s="18" t="str">
        <f aca="false">IF($A706="","",IFERROR(C706/B706,0))</f>
        <v/>
      </c>
      <c r="E706" s="17" t="str">
        <f aca="false">IF($A706="","",COUNTIFS(Orders!$C$2:$C$20001,$A706,Orders!$E$2:$E$20001,"Prepaid",Orders!$F$2:$F$20001,"Delivered")+COUNTIFS(Orders!$C$2:$C$20001,$A706,Orders!$E$2:$E$20001,"Prepaid",Orders!$F$2:$F$20001,"RTO"))</f>
        <v/>
      </c>
      <c r="F706" s="17" t="str">
        <f aca="false">IF($A706="","",COUNTIFS(Orders!$C$2:$C$20001,$A706,Orders!$E$2:$E$20001,"Prepaid",Orders!$F$2:$F$20001,"RTO"))</f>
        <v/>
      </c>
      <c r="G706" s="18" t="str">
        <f aca="false">IF($A706="","",IFERROR(F706/E706,0))</f>
        <v/>
      </c>
      <c r="H706" s="19" t="str">
        <f aca="false">IF($A706="","",C706*Settings!$B$11)</f>
        <v/>
      </c>
      <c r="I706" s="20" t="str">
        <f aca="false">IF($A706="","",IF(N(H706)=0,"",RANK(H706,$H$5:$H$2004)))</f>
        <v/>
      </c>
      <c r="J706" s="21" t="str">
        <f aca="false">IF($A706="","",IF(B706=0,"No COD orders",IF(B706&lt;Settings!$B$8,"Too few orders",IF(D706&gt;=Settings!$B$9,"Restrict COD or verify","Keep COD"))))</f>
        <v/>
      </c>
    </row>
    <row r="707" customFormat="false" ht="15" hidden="false" customHeight="false" outlineLevel="0" collapsed="false">
      <c r="A707" s="27"/>
      <c r="B707" s="17" t="str">
        <f aca="false">IF($A707="","",COUNTIFS(Orders!$C$2:$C$20001,$A707,Orders!$E$2:$E$20001,"COD",Orders!$F$2:$F$20001,"Delivered")+COUNTIFS(Orders!$C$2:$C$20001,$A707,Orders!$E$2:$E$20001,"COD",Orders!$F$2:$F$20001,"RTO"))</f>
        <v/>
      </c>
      <c r="C707" s="17" t="str">
        <f aca="false">IF($A707="","",COUNTIFS(Orders!$C$2:$C$20001,$A707,Orders!$E$2:$E$20001,"COD",Orders!$F$2:$F$20001,"RTO"))</f>
        <v/>
      </c>
      <c r="D707" s="18" t="str">
        <f aca="false">IF($A707="","",IFERROR(C707/B707,0))</f>
        <v/>
      </c>
      <c r="E707" s="17" t="str">
        <f aca="false">IF($A707="","",COUNTIFS(Orders!$C$2:$C$20001,$A707,Orders!$E$2:$E$20001,"Prepaid",Orders!$F$2:$F$20001,"Delivered")+COUNTIFS(Orders!$C$2:$C$20001,$A707,Orders!$E$2:$E$20001,"Prepaid",Orders!$F$2:$F$20001,"RTO"))</f>
        <v/>
      </c>
      <c r="F707" s="17" t="str">
        <f aca="false">IF($A707="","",COUNTIFS(Orders!$C$2:$C$20001,$A707,Orders!$E$2:$E$20001,"Prepaid",Orders!$F$2:$F$20001,"RTO"))</f>
        <v/>
      </c>
      <c r="G707" s="18" t="str">
        <f aca="false">IF($A707="","",IFERROR(F707/E707,0))</f>
        <v/>
      </c>
      <c r="H707" s="19" t="str">
        <f aca="false">IF($A707="","",C707*Settings!$B$11)</f>
        <v/>
      </c>
      <c r="I707" s="20" t="str">
        <f aca="false">IF($A707="","",IF(N(H707)=0,"",RANK(H707,$H$5:$H$2004)))</f>
        <v/>
      </c>
      <c r="J707" s="21" t="str">
        <f aca="false">IF($A707="","",IF(B707=0,"No COD orders",IF(B707&lt;Settings!$B$8,"Too few orders",IF(D707&gt;=Settings!$B$9,"Restrict COD or verify","Keep COD"))))</f>
        <v/>
      </c>
    </row>
    <row r="708" customFormat="false" ht="15" hidden="false" customHeight="false" outlineLevel="0" collapsed="false">
      <c r="A708" s="27"/>
      <c r="B708" s="17" t="str">
        <f aca="false">IF($A708="","",COUNTIFS(Orders!$C$2:$C$20001,$A708,Orders!$E$2:$E$20001,"COD",Orders!$F$2:$F$20001,"Delivered")+COUNTIFS(Orders!$C$2:$C$20001,$A708,Orders!$E$2:$E$20001,"COD",Orders!$F$2:$F$20001,"RTO"))</f>
        <v/>
      </c>
      <c r="C708" s="17" t="str">
        <f aca="false">IF($A708="","",COUNTIFS(Orders!$C$2:$C$20001,$A708,Orders!$E$2:$E$20001,"COD",Orders!$F$2:$F$20001,"RTO"))</f>
        <v/>
      </c>
      <c r="D708" s="18" t="str">
        <f aca="false">IF($A708="","",IFERROR(C708/B708,0))</f>
        <v/>
      </c>
      <c r="E708" s="17" t="str">
        <f aca="false">IF($A708="","",COUNTIFS(Orders!$C$2:$C$20001,$A708,Orders!$E$2:$E$20001,"Prepaid",Orders!$F$2:$F$20001,"Delivered")+COUNTIFS(Orders!$C$2:$C$20001,$A708,Orders!$E$2:$E$20001,"Prepaid",Orders!$F$2:$F$20001,"RTO"))</f>
        <v/>
      </c>
      <c r="F708" s="17" t="str">
        <f aca="false">IF($A708="","",COUNTIFS(Orders!$C$2:$C$20001,$A708,Orders!$E$2:$E$20001,"Prepaid",Orders!$F$2:$F$20001,"RTO"))</f>
        <v/>
      </c>
      <c r="G708" s="18" t="str">
        <f aca="false">IF($A708="","",IFERROR(F708/E708,0))</f>
        <v/>
      </c>
      <c r="H708" s="19" t="str">
        <f aca="false">IF($A708="","",C708*Settings!$B$11)</f>
        <v/>
      </c>
      <c r="I708" s="20" t="str">
        <f aca="false">IF($A708="","",IF(N(H708)=0,"",RANK(H708,$H$5:$H$2004)))</f>
        <v/>
      </c>
      <c r="J708" s="21" t="str">
        <f aca="false">IF($A708="","",IF(B708=0,"No COD orders",IF(B708&lt;Settings!$B$8,"Too few orders",IF(D708&gt;=Settings!$B$9,"Restrict COD or verify","Keep COD"))))</f>
        <v/>
      </c>
    </row>
    <row r="709" customFormat="false" ht="15" hidden="false" customHeight="false" outlineLevel="0" collapsed="false">
      <c r="A709" s="27"/>
      <c r="B709" s="17" t="str">
        <f aca="false">IF($A709="","",COUNTIFS(Orders!$C$2:$C$20001,$A709,Orders!$E$2:$E$20001,"COD",Orders!$F$2:$F$20001,"Delivered")+COUNTIFS(Orders!$C$2:$C$20001,$A709,Orders!$E$2:$E$20001,"COD",Orders!$F$2:$F$20001,"RTO"))</f>
        <v/>
      </c>
      <c r="C709" s="17" t="str">
        <f aca="false">IF($A709="","",COUNTIFS(Orders!$C$2:$C$20001,$A709,Orders!$E$2:$E$20001,"COD",Orders!$F$2:$F$20001,"RTO"))</f>
        <v/>
      </c>
      <c r="D709" s="18" t="str">
        <f aca="false">IF($A709="","",IFERROR(C709/B709,0))</f>
        <v/>
      </c>
      <c r="E709" s="17" t="str">
        <f aca="false">IF($A709="","",COUNTIFS(Orders!$C$2:$C$20001,$A709,Orders!$E$2:$E$20001,"Prepaid",Orders!$F$2:$F$20001,"Delivered")+COUNTIFS(Orders!$C$2:$C$20001,$A709,Orders!$E$2:$E$20001,"Prepaid",Orders!$F$2:$F$20001,"RTO"))</f>
        <v/>
      </c>
      <c r="F709" s="17" t="str">
        <f aca="false">IF($A709="","",COUNTIFS(Orders!$C$2:$C$20001,$A709,Orders!$E$2:$E$20001,"Prepaid",Orders!$F$2:$F$20001,"RTO"))</f>
        <v/>
      </c>
      <c r="G709" s="18" t="str">
        <f aca="false">IF($A709="","",IFERROR(F709/E709,0))</f>
        <v/>
      </c>
      <c r="H709" s="19" t="str">
        <f aca="false">IF($A709="","",C709*Settings!$B$11)</f>
        <v/>
      </c>
      <c r="I709" s="20" t="str">
        <f aca="false">IF($A709="","",IF(N(H709)=0,"",RANK(H709,$H$5:$H$2004)))</f>
        <v/>
      </c>
      <c r="J709" s="21" t="str">
        <f aca="false">IF($A709="","",IF(B709=0,"No COD orders",IF(B709&lt;Settings!$B$8,"Too few orders",IF(D709&gt;=Settings!$B$9,"Restrict COD or verify","Keep COD"))))</f>
        <v/>
      </c>
    </row>
    <row r="710" customFormat="false" ht="15" hidden="false" customHeight="false" outlineLevel="0" collapsed="false">
      <c r="A710" s="27"/>
      <c r="B710" s="17" t="str">
        <f aca="false">IF($A710="","",COUNTIFS(Orders!$C$2:$C$20001,$A710,Orders!$E$2:$E$20001,"COD",Orders!$F$2:$F$20001,"Delivered")+COUNTIFS(Orders!$C$2:$C$20001,$A710,Orders!$E$2:$E$20001,"COD",Orders!$F$2:$F$20001,"RTO"))</f>
        <v/>
      </c>
      <c r="C710" s="17" t="str">
        <f aca="false">IF($A710="","",COUNTIFS(Orders!$C$2:$C$20001,$A710,Orders!$E$2:$E$20001,"COD",Orders!$F$2:$F$20001,"RTO"))</f>
        <v/>
      </c>
      <c r="D710" s="18" t="str">
        <f aca="false">IF($A710="","",IFERROR(C710/B710,0))</f>
        <v/>
      </c>
      <c r="E710" s="17" t="str">
        <f aca="false">IF($A710="","",COUNTIFS(Orders!$C$2:$C$20001,$A710,Orders!$E$2:$E$20001,"Prepaid",Orders!$F$2:$F$20001,"Delivered")+COUNTIFS(Orders!$C$2:$C$20001,$A710,Orders!$E$2:$E$20001,"Prepaid",Orders!$F$2:$F$20001,"RTO"))</f>
        <v/>
      </c>
      <c r="F710" s="17" t="str">
        <f aca="false">IF($A710="","",COUNTIFS(Orders!$C$2:$C$20001,$A710,Orders!$E$2:$E$20001,"Prepaid",Orders!$F$2:$F$20001,"RTO"))</f>
        <v/>
      </c>
      <c r="G710" s="18" t="str">
        <f aca="false">IF($A710="","",IFERROR(F710/E710,0))</f>
        <v/>
      </c>
      <c r="H710" s="19" t="str">
        <f aca="false">IF($A710="","",C710*Settings!$B$11)</f>
        <v/>
      </c>
      <c r="I710" s="20" t="str">
        <f aca="false">IF($A710="","",IF(N(H710)=0,"",RANK(H710,$H$5:$H$2004)))</f>
        <v/>
      </c>
      <c r="J710" s="21" t="str">
        <f aca="false">IF($A710="","",IF(B710=0,"No COD orders",IF(B710&lt;Settings!$B$8,"Too few orders",IF(D710&gt;=Settings!$B$9,"Restrict COD or verify","Keep COD"))))</f>
        <v/>
      </c>
    </row>
    <row r="711" customFormat="false" ht="15" hidden="false" customHeight="false" outlineLevel="0" collapsed="false">
      <c r="A711" s="27"/>
      <c r="B711" s="17" t="str">
        <f aca="false">IF($A711="","",COUNTIFS(Orders!$C$2:$C$20001,$A711,Orders!$E$2:$E$20001,"COD",Orders!$F$2:$F$20001,"Delivered")+COUNTIFS(Orders!$C$2:$C$20001,$A711,Orders!$E$2:$E$20001,"COD",Orders!$F$2:$F$20001,"RTO"))</f>
        <v/>
      </c>
      <c r="C711" s="17" t="str">
        <f aca="false">IF($A711="","",COUNTIFS(Orders!$C$2:$C$20001,$A711,Orders!$E$2:$E$20001,"COD",Orders!$F$2:$F$20001,"RTO"))</f>
        <v/>
      </c>
      <c r="D711" s="18" t="str">
        <f aca="false">IF($A711="","",IFERROR(C711/B711,0))</f>
        <v/>
      </c>
      <c r="E711" s="17" t="str">
        <f aca="false">IF($A711="","",COUNTIFS(Orders!$C$2:$C$20001,$A711,Orders!$E$2:$E$20001,"Prepaid",Orders!$F$2:$F$20001,"Delivered")+COUNTIFS(Orders!$C$2:$C$20001,$A711,Orders!$E$2:$E$20001,"Prepaid",Orders!$F$2:$F$20001,"RTO"))</f>
        <v/>
      </c>
      <c r="F711" s="17" t="str">
        <f aca="false">IF($A711="","",COUNTIFS(Orders!$C$2:$C$20001,$A711,Orders!$E$2:$E$20001,"Prepaid",Orders!$F$2:$F$20001,"RTO"))</f>
        <v/>
      </c>
      <c r="G711" s="18" t="str">
        <f aca="false">IF($A711="","",IFERROR(F711/E711,0))</f>
        <v/>
      </c>
      <c r="H711" s="19" t="str">
        <f aca="false">IF($A711="","",C711*Settings!$B$11)</f>
        <v/>
      </c>
      <c r="I711" s="20" t="str">
        <f aca="false">IF($A711="","",IF(N(H711)=0,"",RANK(H711,$H$5:$H$2004)))</f>
        <v/>
      </c>
      <c r="J711" s="21" t="str">
        <f aca="false">IF($A711="","",IF(B711=0,"No COD orders",IF(B711&lt;Settings!$B$8,"Too few orders",IF(D711&gt;=Settings!$B$9,"Restrict COD or verify","Keep COD"))))</f>
        <v/>
      </c>
    </row>
    <row r="712" customFormat="false" ht="15" hidden="false" customHeight="false" outlineLevel="0" collapsed="false">
      <c r="A712" s="27"/>
      <c r="B712" s="17" t="str">
        <f aca="false">IF($A712="","",COUNTIFS(Orders!$C$2:$C$20001,$A712,Orders!$E$2:$E$20001,"COD",Orders!$F$2:$F$20001,"Delivered")+COUNTIFS(Orders!$C$2:$C$20001,$A712,Orders!$E$2:$E$20001,"COD",Orders!$F$2:$F$20001,"RTO"))</f>
        <v/>
      </c>
      <c r="C712" s="17" t="str">
        <f aca="false">IF($A712="","",COUNTIFS(Orders!$C$2:$C$20001,$A712,Orders!$E$2:$E$20001,"COD",Orders!$F$2:$F$20001,"RTO"))</f>
        <v/>
      </c>
      <c r="D712" s="18" t="str">
        <f aca="false">IF($A712="","",IFERROR(C712/B712,0))</f>
        <v/>
      </c>
      <c r="E712" s="17" t="str">
        <f aca="false">IF($A712="","",COUNTIFS(Orders!$C$2:$C$20001,$A712,Orders!$E$2:$E$20001,"Prepaid",Orders!$F$2:$F$20001,"Delivered")+COUNTIFS(Orders!$C$2:$C$20001,$A712,Orders!$E$2:$E$20001,"Prepaid",Orders!$F$2:$F$20001,"RTO"))</f>
        <v/>
      </c>
      <c r="F712" s="17" t="str">
        <f aca="false">IF($A712="","",COUNTIFS(Orders!$C$2:$C$20001,$A712,Orders!$E$2:$E$20001,"Prepaid",Orders!$F$2:$F$20001,"RTO"))</f>
        <v/>
      </c>
      <c r="G712" s="18" t="str">
        <f aca="false">IF($A712="","",IFERROR(F712/E712,0))</f>
        <v/>
      </c>
      <c r="H712" s="19" t="str">
        <f aca="false">IF($A712="","",C712*Settings!$B$11)</f>
        <v/>
      </c>
      <c r="I712" s="20" t="str">
        <f aca="false">IF($A712="","",IF(N(H712)=0,"",RANK(H712,$H$5:$H$2004)))</f>
        <v/>
      </c>
      <c r="J712" s="21" t="str">
        <f aca="false">IF($A712="","",IF(B712=0,"No COD orders",IF(B712&lt;Settings!$B$8,"Too few orders",IF(D712&gt;=Settings!$B$9,"Restrict COD or verify","Keep COD"))))</f>
        <v/>
      </c>
    </row>
    <row r="713" customFormat="false" ht="15" hidden="false" customHeight="false" outlineLevel="0" collapsed="false">
      <c r="A713" s="27"/>
      <c r="B713" s="17" t="str">
        <f aca="false">IF($A713="","",COUNTIFS(Orders!$C$2:$C$20001,$A713,Orders!$E$2:$E$20001,"COD",Orders!$F$2:$F$20001,"Delivered")+COUNTIFS(Orders!$C$2:$C$20001,$A713,Orders!$E$2:$E$20001,"COD",Orders!$F$2:$F$20001,"RTO"))</f>
        <v/>
      </c>
      <c r="C713" s="17" t="str">
        <f aca="false">IF($A713="","",COUNTIFS(Orders!$C$2:$C$20001,$A713,Orders!$E$2:$E$20001,"COD",Orders!$F$2:$F$20001,"RTO"))</f>
        <v/>
      </c>
      <c r="D713" s="18" t="str">
        <f aca="false">IF($A713="","",IFERROR(C713/B713,0))</f>
        <v/>
      </c>
      <c r="E713" s="17" t="str">
        <f aca="false">IF($A713="","",COUNTIFS(Orders!$C$2:$C$20001,$A713,Orders!$E$2:$E$20001,"Prepaid",Orders!$F$2:$F$20001,"Delivered")+COUNTIFS(Orders!$C$2:$C$20001,$A713,Orders!$E$2:$E$20001,"Prepaid",Orders!$F$2:$F$20001,"RTO"))</f>
        <v/>
      </c>
      <c r="F713" s="17" t="str">
        <f aca="false">IF($A713="","",COUNTIFS(Orders!$C$2:$C$20001,$A713,Orders!$E$2:$E$20001,"Prepaid",Orders!$F$2:$F$20001,"RTO"))</f>
        <v/>
      </c>
      <c r="G713" s="18" t="str">
        <f aca="false">IF($A713="","",IFERROR(F713/E713,0))</f>
        <v/>
      </c>
      <c r="H713" s="19" t="str">
        <f aca="false">IF($A713="","",C713*Settings!$B$11)</f>
        <v/>
      </c>
      <c r="I713" s="20" t="str">
        <f aca="false">IF($A713="","",IF(N(H713)=0,"",RANK(H713,$H$5:$H$2004)))</f>
        <v/>
      </c>
      <c r="J713" s="21" t="str">
        <f aca="false">IF($A713="","",IF(B713=0,"No COD orders",IF(B713&lt;Settings!$B$8,"Too few orders",IF(D713&gt;=Settings!$B$9,"Restrict COD or verify","Keep COD"))))</f>
        <v/>
      </c>
    </row>
    <row r="714" customFormat="false" ht="15" hidden="false" customHeight="false" outlineLevel="0" collapsed="false">
      <c r="A714" s="27"/>
      <c r="B714" s="17" t="str">
        <f aca="false">IF($A714="","",COUNTIFS(Orders!$C$2:$C$20001,$A714,Orders!$E$2:$E$20001,"COD",Orders!$F$2:$F$20001,"Delivered")+COUNTIFS(Orders!$C$2:$C$20001,$A714,Orders!$E$2:$E$20001,"COD",Orders!$F$2:$F$20001,"RTO"))</f>
        <v/>
      </c>
      <c r="C714" s="17" t="str">
        <f aca="false">IF($A714="","",COUNTIFS(Orders!$C$2:$C$20001,$A714,Orders!$E$2:$E$20001,"COD",Orders!$F$2:$F$20001,"RTO"))</f>
        <v/>
      </c>
      <c r="D714" s="18" t="str">
        <f aca="false">IF($A714="","",IFERROR(C714/B714,0))</f>
        <v/>
      </c>
      <c r="E714" s="17" t="str">
        <f aca="false">IF($A714="","",COUNTIFS(Orders!$C$2:$C$20001,$A714,Orders!$E$2:$E$20001,"Prepaid",Orders!$F$2:$F$20001,"Delivered")+COUNTIFS(Orders!$C$2:$C$20001,$A714,Orders!$E$2:$E$20001,"Prepaid",Orders!$F$2:$F$20001,"RTO"))</f>
        <v/>
      </c>
      <c r="F714" s="17" t="str">
        <f aca="false">IF($A714="","",COUNTIFS(Orders!$C$2:$C$20001,$A714,Orders!$E$2:$E$20001,"Prepaid",Orders!$F$2:$F$20001,"RTO"))</f>
        <v/>
      </c>
      <c r="G714" s="18" t="str">
        <f aca="false">IF($A714="","",IFERROR(F714/E714,0))</f>
        <v/>
      </c>
      <c r="H714" s="19" t="str">
        <f aca="false">IF($A714="","",C714*Settings!$B$11)</f>
        <v/>
      </c>
      <c r="I714" s="20" t="str">
        <f aca="false">IF($A714="","",IF(N(H714)=0,"",RANK(H714,$H$5:$H$2004)))</f>
        <v/>
      </c>
      <c r="J714" s="21" t="str">
        <f aca="false">IF($A714="","",IF(B714=0,"No COD orders",IF(B714&lt;Settings!$B$8,"Too few orders",IF(D714&gt;=Settings!$B$9,"Restrict COD or verify","Keep COD"))))</f>
        <v/>
      </c>
    </row>
    <row r="715" customFormat="false" ht="15" hidden="false" customHeight="false" outlineLevel="0" collapsed="false">
      <c r="A715" s="27"/>
      <c r="B715" s="17" t="str">
        <f aca="false">IF($A715="","",COUNTIFS(Orders!$C$2:$C$20001,$A715,Orders!$E$2:$E$20001,"COD",Orders!$F$2:$F$20001,"Delivered")+COUNTIFS(Orders!$C$2:$C$20001,$A715,Orders!$E$2:$E$20001,"COD",Orders!$F$2:$F$20001,"RTO"))</f>
        <v/>
      </c>
      <c r="C715" s="17" t="str">
        <f aca="false">IF($A715="","",COUNTIFS(Orders!$C$2:$C$20001,$A715,Orders!$E$2:$E$20001,"COD",Orders!$F$2:$F$20001,"RTO"))</f>
        <v/>
      </c>
      <c r="D715" s="18" t="str">
        <f aca="false">IF($A715="","",IFERROR(C715/B715,0))</f>
        <v/>
      </c>
      <c r="E715" s="17" t="str">
        <f aca="false">IF($A715="","",COUNTIFS(Orders!$C$2:$C$20001,$A715,Orders!$E$2:$E$20001,"Prepaid",Orders!$F$2:$F$20001,"Delivered")+COUNTIFS(Orders!$C$2:$C$20001,$A715,Orders!$E$2:$E$20001,"Prepaid",Orders!$F$2:$F$20001,"RTO"))</f>
        <v/>
      </c>
      <c r="F715" s="17" t="str">
        <f aca="false">IF($A715="","",COUNTIFS(Orders!$C$2:$C$20001,$A715,Orders!$E$2:$E$20001,"Prepaid",Orders!$F$2:$F$20001,"RTO"))</f>
        <v/>
      </c>
      <c r="G715" s="18" t="str">
        <f aca="false">IF($A715="","",IFERROR(F715/E715,0))</f>
        <v/>
      </c>
      <c r="H715" s="19" t="str">
        <f aca="false">IF($A715="","",C715*Settings!$B$11)</f>
        <v/>
      </c>
      <c r="I715" s="20" t="str">
        <f aca="false">IF($A715="","",IF(N(H715)=0,"",RANK(H715,$H$5:$H$2004)))</f>
        <v/>
      </c>
      <c r="J715" s="21" t="str">
        <f aca="false">IF($A715="","",IF(B715=0,"No COD orders",IF(B715&lt;Settings!$B$8,"Too few orders",IF(D715&gt;=Settings!$B$9,"Restrict COD or verify","Keep COD"))))</f>
        <v/>
      </c>
    </row>
    <row r="716" customFormat="false" ht="15" hidden="false" customHeight="false" outlineLevel="0" collapsed="false">
      <c r="A716" s="27"/>
      <c r="B716" s="17" t="str">
        <f aca="false">IF($A716="","",COUNTIFS(Orders!$C$2:$C$20001,$A716,Orders!$E$2:$E$20001,"COD",Orders!$F$2:$F$20001,"Delivered")+COUNTIFS(Orders!$C$2:$C$20001,$A716,Orders!$E$2:$E$20001,"COD",Orders!$F$2:$F$20001,"RTO"))</f>
        <v/>
      </c>
      <c r="C716" s="17" t="str">
        <f aca="false">IF($A716="","",COUNTIFS(Orders!$C$2:$C$20001,$A716,Orders!$E$2:$E$20001,"COD",Orders!$F$2:$F$20001,"RTO"))</f>
        <v/>
      </c>
      <c r="D716" s="18" t="str">
        <f aca="false">IF($A716="","",IFERROR(C716/B716,0))</f>
        <v/>
      </c>
      <c r="E716" s="17" t="str">
        <f aca="false">IF($A716="","",COUNTIFS(Orders!$C$2:$C$20001,$A716,Orders!$E$2:$E$20001,"Prepaid",Orders!$F$2:$F$20001,"Delivered")+COUNTIFS(Orders!$C$2:$C$20001,$A716,Orders!$E$2:$E$20001,"Prepaid",Orders!$F$2:$F$20001,"RTO"))</f>
        <v/>
      </c>
      <c r="F716" s="17" t="str">
        <f aca="false">IF($A716="","",COUNTIFS(Orders!$C$2:$C$20001,$A716,Orders!$E$2:$E$20001,"Prepaid",Orders!$F$2:$F$20001,"RTO"))</f>
        <v/>
      </c>
      <c r="G716" s="18" t="str">
        <f aca="false">IF($A716="","",IFERROR(F716/E716,0))</f>
        <v/>
      </c>
      <c r="H716" s="19" t="str">
        <f aca="false">IF($A716="","",C716*Settings!$B$11)</f>
        <v/>
      </c>
      <c r="I716" s="20" t="str">
        <f aca="false">IF($A716="","",IF(N(H716)=0,"",RANK(H716,$H$5:$H$2004)))</f>
        <v/>
      </c>
      <c r="J716" s="21" t="str">
        <f aca="false">IF($A716="","",IF(B716=0,"No COD orders",IF(B716&lt;Settings!$B$8,"Too few orders",IF(D716&gt;=Settings!$B$9,"Restrict COD or verify","Keep COD"))))</f>
        <v/>
      </c>
    </row>
    <row r="717" customFormat="false" ht="15" hidden="false" customHeight="false" outlineLevel="0" collapsed="false">
      <c r="A717" s="27"/>
      <c r="B717" s="17" t="str">
        <f aca="false">IF($A717="","",COUNTIFS(Orders!$C$2:$C$20001,$A717,Orders!$E$2:$E$20001,"COD",Orders!$F$2:$F$20001,"Delivered")+COUNTIFS(Orders!$C$2:$C$20001,$A717,Orders!$E$2:$E$20001,"COD",Orders!$F$2:$F$20001,"RTO"))</f>
        <v/>
      </c>
      <c r="C717" s="17" t="str">
        <f aca="false">IF($A717="","",COUNTIFS(Orders!$C$2:$C$20001,$A717,Orders!$E$2:$E$20001,"COD",Orders!$F$2:$F$20001,"RTO"))</f>
        <v/>
      </c>
      <c r="D717" s="18" t="str">
        <f aca="false">IF($A717="","",IFERROR(C717/B717,0))</f>
        <v/>
      </c>
      <c r="E717" s="17" t="str">
        <f aca="false">IF($A717="","",COUNTIFS(Orders!$C$2:$C$20001,$A717,Orders!$E$2:$E$20001,"Prepaid",Orders!$F$2:$F$20001,"Delivered")+COUNTIFS(Orders!$C$2:$C$20001,$A717,Orders!$E$2:$E$20001,"Prepaid",Orders!$F$2:$F$20001,"RTO"))</f>
        <v/>
      </c>
      <c r="F717" s="17" t="str">
        <f aca="false">IF($A717="","",COUNTIFS(Orders!$C$2:$C$20001,$A717,Orders!$E$2:$E$20001,"Prepaid",Orders!$F$2:$F$20001,"RTO"))</f>
        <v/>
      </c>
      <c r="G717" s="18" t="str">
        <f aca="false">IF($A717="","",IFERROR(F717/E717,0))</f>
        <v/>
      </c>
      <c r="H717" s="19" t="str">
        <f aca="false">IF($A717="","",C717*Settings!$B$11)</f>
        <v/>
      </c>
      <c r="I717" s="20" t="str">
        <f aca="false">IF($A717="","",IF(N(H717)=0,"",RANK(H717,$H$5:$H$2004)))</f>
        <v/>
      </c>
      <c r="J717" s="21" t="str">
        <f aca="false">IF($A717="","",IF(B717=0,"No COD orders",IF(B717&lt;Settings!$B$8,"Too few orders",IF(D717&gt;=Settings!$B$9,"Restrict COD or verify","Keep COD"))))</f>
        <v/>
      </c>
    </row>
    <row r="718" customFormat="false" ht="15" hidden="false" customHeight="false" outlineLevel="0" collapsed="false">
      <c r="A718" s="27"/>
      <c r="B718" s="17" t="str">
        <f aca="false">IF($A718="","",COUNTIFS(Orders!$C$2:$C$20001,$A718,Orders!$E$2:$E$20001,"COD",Orders!$F$2:$F$20001,"Delivered")+COUNTIFS(Orders!$C$2:$C$20001,$A718,Orders!$E$2:$E$20001,"COD",Orders!$F$2:$F$20001,"RTO"))</f>
        <v/>
      </c>
      <c r="C718" s="17" t="str">
        <f aca="false">IF($A718="","",COUNTIFS(Orders!$C$2:$C$20001,$A718,Orders!$E$2:$E$20001,"COD",Orders!$F$2:$F$20001,"RTO"))</f>
        <v/>
      </c>
      <c r="D718" s="18" t="str">
        <f aca="false">IF($A718="","",IFERROR(C718/B718,0))</f>
        <v/>
      </c>
      <c r="E718" s="17" t="str">
        <f aca="false">IF($A718="","",COUNTIFS(Orders!$C$2:$C$20001,$A718,Orders!$E$2:$E$20001,"Prepaid",Orders!$F$2:$F$20001,"Delivered")+COUNTIFS(Orders!$C$2:$C$20001,$A718,Orders!$E$2:$E$20001,"Prepaid",Orders!$F$2:$F$20001,"RTO"))</f>
        <v/>
      </c>
      <c r="F718" s="17" t="str">
        <f aca="false">IF($A718="","",COUNTIFS(Orders!$C$2:$C$20001,$A718,Orders!$E$2:$E$20001,"Prepaid",Orders!$F$2:$F$20001,"RTO"))</f>
        <v/>
      </c>
      <c r="G718" s="18" t="str">
        <f aca="false">IF($A718="","",IFERROR(F718/E718,0))</f>
        <v/>
      </c>
      <c r="H718" s="19" t="str">
        <f aca="false">IF($A718="","",C718*Settings!$B$11)</f>
        <v/>
      </c>
      <c r="I718" s="20" t="str">
        <f aca="false">IF($A718="","",IF(N(H718)=0,"",RANK(H718,$H$5:$H$2004)))</f>
        <v/>
      </c>
      <c r="J718" s="21" t="str">
        <f aca="false">IF($A718="","",IF(B718=0,"No COD orders",IF(B718&lt;Settings!$B$8,"Too few orders",IF(D718&gt;=Settings!$B$9,"Restrict COD or verify","Keep COD"))))</f>
        <v/>
      </c>
    </row>
    <row r="719" customFormat="false" ht="15" hidden="false" customHeight="false" outlineLevel="0" collapsed="false">
      <c r="A719" s="27"/>
      <c r="B719" s="17" t="str">
        <f aca="false">IF($A719="","",COUNTIFS(Orders!$C$2:$C$20001,$A719,Orders!$E$2:$E$20001,"COD",Orders!$F$2:$F$20001,"Delivered")+COUNTIFS(Orders!$C$2:$C$20001,$A719,Orders!$E$2:$E$20001,"COD",Orders!$F$2:$F$20001,"RTO"))</f>
        <v/>
      </c>
      <c r="C719" s="17" t="str">
        <f aca="false">IF($A719="","",COUNTIFS(Orders!$C$2:$C$20001,$A719,Orders!$E$2:$E$20001,"COD",Orders!$F$2:$F$20001,"RTO"))</f>
        <v/>
      </c>
      <c r="D719" s="18" t="str">
        <f aca="false">IF($A719="","",IFERROR(C719/B719,0))</f>
        <v/>
      </c>
      <c r="E719" s="17" t="str">
        <f aca="false">IF($A719="","",COUNTIFS(Orders!$C$2:$C$20001,$A719,Orders!$E$2:$E$20001,"Prepaid",Orders!$F$2:$F$20001,"Delivered")+COUNTIFS(Orders!$C$2:$C$20001,$A719,Orders!$E$2:$E$20001,"Prepaid",Orders!$F$2:$F$20001,"RTO"))</f>
        <v/>
      </c>
      <c r="F719" s="17" t="str">
        <f aca="false">IF($A719="","",COUNTIFS(Orders!$C$2:$C$20001,$A719,Orders!$E$2:$E$20001,"Prepaid",Orders!$F$2:$F$20001,"RTO"))</f>
        <v/>
      </c>
      <c r="G719" s="18" t="str">
        <f aca="false">IF($A719="","",IFERROR(F719/E719,0))</f>
        <v/>
      </c>
      <c r="H719" s="19" t="str">
        <f aca="false">IF($A719="","",C719*Settings!$B$11)</f>
        <v/>
      </c>
      <c r="I719" s="20" t="str">
        <f aca="false">IF($A719="","",IF(N(H719)=0,"",RANK(H719,$H$5:$H$2004)))</f>
        <v/>
      </c>
      <c r="J719" s="21" t="str">
        <f aca="false">IF($A719="","",IF(B719=0,"No COD orders",IF(B719&lt;Settings!$B$8,"Too few orders",IF(D719&gt;=Settings!$B$9,"Restrict COD or verify","Keep COD"))))</f>
        <v/>
      </c>
    </row>
    <row r="720" customFormat="false" ht="15" hidden="false" customHeight="false" outlineLevel="0" collapsed="false">
      <c r="A720" s="27"/>
      <c r="B720" s="17" t="str">
        <f aca="false">IF($A720="","",COUNTIFS(Orders!$C$2:$C$20001,$A720,Orders!$E$2:$E$20001,"COD",Orders!$F$2:$F$20001,"Delivered")+COUNTIFS(Orders!$C$2:$C$20001,$A720,Orders!$E$2:$E$20001,"COD",Orders!$F$2:$F$20001,"RTO"))</f>
        <v/>
      </c>
      <c r="C720" s="17" t="str">
        <f aca="false">IF($A720="","",COUNTIFS(Orders!$C$2:$C$20001,$A720,Orders!$E$2:$E$20001,"COD",Orders!$F$2:$F$20001,"RTO"))</f>
        <v/>
      </c>
      <c r="D720" s="18" t="str">
        <f aca="false">IF($A720="","",IFERROR(C720/B720,0))</f>
        <v/>
      </c>
      <c r="E720" s="17" t="str">
        <f aca="false">IF($A720="","",COUNTIFS(Orders!$C$2:$C$20001,$A720,Orders!$E$2:$E$20001,"Prepaid",Orders!$F$2:$F$20001,"Delivered")+COUNTIFS(Orders!$C$2:$C$20001,$A720,Orders!$E$2:$E$20001,"Prepaid",Orders!$F$2:$F$20001,"RTO"))</f>
        <v/>
      </c>
      <c r="F720" s="17" t="str">
        <f aca="false">IF($A720="","",COUNTIFS(Orders!$C$2:$C$20001,$A720,Orders!$E$2:$E$20001,"Prepaid",Orders!$F$2:$F$20001,"RTO"))</f>
        <v/>
      </c>
      <c r="G720" s="18" t="str">
        <f aca="false">IF($A720="","",IFERROR(F720/E720,0))</f>
        <v/>
      </c>
      <c r="H720" s="19" t="str">
        <f aca="false">IF($A720="","",C720*Settings!$B$11)</f>
        <v/>
      </c>
      <c r="I720" s="20" t="str">
        <f aca="false">IF($A720="","",IF(N(H720)=0,"",RANK(H720,$H$5:$H$2004)))</f>
        <v/>
      </c>
      <c r="J720" s="21" t="str">
        <f aca="false">IF($A720="","",IF(B720=0,"No COD orders",IF(B720&lt;Settings!$B$8,"Too few orders",IF(D720&gt;=Settings!$B$9,"Restrict COD or verify","Keep COD"))))</f>
        <v/>
      </c>
    </row>
    <row r="721" customFormat="false" ht="15" hidden="false" customHeight="false" outlineLevel="0" collapsed="false">
      <c r="A721" s="27"/>
      <c r="B721" s="17" t="str">
        <f aca="false">IF($A721="","",COUNTIFS(Orders!$C$2:$C$20001,$A721,Orders!$E$2:$E$20001,"COD",Orders!$F$2:$F$20001,"Delivered")+COUNTIFS(Orders!$C$2:$C$20001,$A721,Orders!$E$2:$E$20001,"COD",Orders!$F$2:$F$20001,"RTO"))</f>
        <v/>
      </c>
      <c r="C721" s="17" t="str">
        <f aca="false">IF($A721="","",COUNTIFS(Orders!$C$2:$C$20001,$A721,Orders!$E$2:$E$20001,"COD",Orders!$F$2:$F$20001,"RTO"))</f>
        <v/>
      </c>
      <c r="D721" s="18" t="str">
        <f aca="false">IF($A721="","",IFERROR(C721/B721,0))</f>
        <v/>
      </c>
      <c r="E721" s="17" t="str">
        <f aca="false">IF($A721="","",COUNTIFS(Orders!$C$2:$C$20001,$A721,Orders!$E$2:$E$20001,"Prepaid",Orders!$F$2:$F$20001,"Delivered")+COUNTIFS(Orders!$C$2:$C$20001,$A721,Orders!$E$2:$E$20001,"Prepaid",Orders!$F$2:$F$20001,"RTO"))</f>
        <v/>
      </c>
      <c r="F721" s="17" t="str">
        <f aca="false">IF($A721="","",COUNTIFS(Orders!$C$2:$C$20001,$A721,Orders!$E$2:$E$20001,"Prepaid",Orders!$F$2:$F$20001,"RTO"))</f>
        <v/>
      </c>
      <c r="G721" s="18" t="str">
        <f aca="false">IF($A721="","",IFERROR(F721/E721,0))</f>
        <v/>
      </c>
      <c r="H721" s="19" t="str">
        <f aca="false">IF($A721="","",C721*Settings!$B$11)</f>
        <v/>
      </c>
      <c r="I721" s="20" t="str">
        <f aca="false">IF($A721="","",IF(N(H721)=0,"",RANK(H721,$H$5:$H$2004)))</f>
        <v/>
      </c>
      <c r="J721" s="21" t="str">
        <f aca="false">IF($A721="","",IF(B721=0,"No COD orders",IF(B721&lt;Settings!$B$8,"Too few orders",IF(D721&gt;=Settings!$B$9,"Restrict COD or verify","Keep COD"))))</f>
        <v/>
      </c>
    </row>
    <row r="722" customFormat="false" ht="15" hidden="false" customHeight="false" outlineLevel="0" collapsed="false">
      <c r="A722" s="27"/>
      <c r="B722" s="17" t="str">
        <f aca="false">IF($A722="","",COUNTIFS(Orders!$C$2:$C$20001,$A722,Orders!$E$2:$E$20001,"COD",Orders!$F$2:$F$20001,"Delivered")+COUNTIFS(Orders!$C$2:$C$20001,$A722,Orders!$E$2:$E$20001,"COD",Orders!$F$2:$F$20001,"RTO"))</f>
        <v/>
      </c>
      <c r="C722" s="17" t="str">
        <f aca="false">IF($A722="","",COUNTIFS(Orders!$C$2:$C$20001,$A722,Orders!$E$2:$E$20001,"COD",Orders!$F$2:$F$20001,"RTO"))</f>
        <v/>
      </c>
      <c r="D722" s="18" t="str">
        <f aca="false">IF($A722="","",IFERROR(C722/B722,0))</f>
        <v/>
      </c>
      <c r="E722" s="17" t="str">
        <f aca="false">IF($A722="","",COUNTIFS(Orders!$C$2:$C$20001,$A722,Orders!$E$2:$E$20001,"Prepaid",Orders!$F$2:$F$20001,"Delivered")+COUNTIFS(Orders!$C$2:$C$20001,$A722,Orders!$E$2:$E$20001,"Prepaid",Orders!$F$2:$F$20001,"RTO"))</f>
        <v/>
      </c>
      <c r="F722" s="17" t="str">
        <f aca="false">IF($A722="","",COUNTIFS(Orders!$C$2:$C$20001,$A722,Orders!$E$2:$E$20001,"Prepaid",Orders!$F$2:$F$20001,"RTO"))</f>
        <v/>
      </c>
      <c r="G722" s="18" t="str">
        <f aca="false">IF($A722="","",IFERROR(F722/E722,0))</f>
        <v/>
      </c>
      <c r="H722" s="19" t="str">
        <f aca="false">IF($A722="","",C722*Settings!$B$11)</f>
        <v/>
      </c>
      <c r="I722" s="20" t="str">
        <f aca="false">IF($A722="","",IF(N(H722)=0,"",RANK(H722,$H$5:$H$2004)))</f>
        <v/>
      </c>
      <c r="J722" s="21" t="str">
        <f aca="false">IF($A722="","",IF(B722=0,"No COD orders",IF(B722&lt;Settings!$B$8,"Too few orders",IF(D722&gt;=Settings!$B$9,"Restrict COD or verify","Keep COD"))))</f>
        <v/>
      </c>
    </row>
    <row r="723" customFormat="false" ht="15" hidden="false" customHeight="false" outlineLevel="0" collapsed="false">
      <c r="A723" s="27"/>
      <c r="B723" s="17" t="str">
        <f aca="false">IF($A723="","",COUNTIFS(Orders!$C$2:$C$20001,$A723,Orders!$E$2:$E$20001,"COD",Orders!$F$2:$F$20001,"Delivered")+COUNTIFS(Orders!$C$2:$C$20001,$A723,Orders!$E$2:$E$20001,"COD",Orders!$F$2:$F$20001,"RTO"))</f>
        <v/>
      </c>
      <c r="C723" s="17" t="str">
        <f aca="false">IF($A723="","",COUNTIFS(Orders!$C$2:$C$20001,$A723,Orders!$E$2:$E$20001,"COD",Orders!$F$2:$F$20001,"RTO"))</f>
        <v/>
      </c>
      <c r="D723" s="18" t="str">
        <f aca="false">IF($A723="","",IFERROR(C723/B723,0))</f>
        <v/>
      </c>
      <c r="E723" s="17" t="str">
        <f aca="false">IF($A723="","",COUNTIFS(Orders!$C$2:$C$20001,$A723,Orders!$E$2:$E$20001,"Prepaid",Orders!$F$2:$F$20001,"Delivered")+COUNTIFS(Orders!$C$2:$C$20001,$A723,Orders!$E$2:$E$20001,"Prepaid",Orders!$F$2:$F$20001,"RTO"))</f>
        <v/>
      </c>
      <c r="F723" s="17" t="str">
        <f aca="false">IF($A723="","",COUNTIFS(Orders!$C$2:$C$20001,$A723,Orders!$E$2:$E$20001,"Prepaid",Orders!$F$2:$F$20001,"RTO"))</f>
        <v/>
      </c>
      <c r="G723" s="18" t="str">
        <f aca="false">IF($A723="","",IFERROR(F723/E723,0))</f>
        <v/>
      </c>
      <c r="H723" s="19" t="str">
        <f aca="false">IF($A723="","",C723*Settings!$B$11)</f>
        <v/>
      </c>
      <c r="I723" s="20" t="str">
        <f aca="false">IF($A723="","",IF(N(H723)=0,"",RANK(H723,$H$5:$H$2004)))</f>
        <v/>
      </c>
      <c r="J723" s="21" t="str">
        <f aca="false">IF($A723="","",IF(B723=0,"No COD orders",IF(B723&lt;Settings!$B$8,"Too few orders",IF(D723&gt;=Settings!$B$9,"Restrict COD or verify","Keep COD"))))</f>
        <v/>
      </c>
    </row>
    <row r="724" customFormat="false" ht="15" hidden="false" customHeight="false" outlineLevel="0" collapsed="false">
      <c r="A724" s="27"/>
      <c r="B724" s="17" t="str">
        <f aca="false">IF($A724="","",COUNTIFS(Orders!$C$2:$C$20001,$A724,Orders!$E$2:$E$20001,"COD",Orders!$F$2:$F$20001,"Delivered")+COUNTIFS(Orders!$C$2:$C$20001,$A724,Orders!$E$2:$E$20001,"COD",Orders!$F$2:$F$20001,"RTO"))</f>
        <v/>
      </c>
      <c r="C724" s="17" t="str">
        <f aca="false">IF($A724="","",COUNTIFS(Orders!$C$2:$C$20001,$A724,Orders!$E$2:$E$20001,"COD",Orders!$F$2:$F$20001,"RTO"))</f>
        <v/>
      </c>
      <c r="D724" s="18" t="str">
        <f aca="false">IF($A724="","",IFERROR(C724/B724,0))</f>
        <v/>
      </c>
      <c r="E724" s="17" t="str">
        <f aca="false">IF($A724="","",COUNTIFS(Orders!$C$2:$C$20001,$A724,Orders!$E$2:$E$20001,"Prepaid",Orders!$F$2:$F$20001,"Delivered")+COUNTIFS(Orders!$C$2:$C$20001,$A724,Orders!$E$2:$E$20001,"Prepaid",Orders!$F$2:$F$20001,"RTO"))</f>
        <v/>
      </c>
      <c r="F724" s="17" t="str">
        <f aca="false">IF($A724="","",COUNTIFS(Orders!$C$2:$C$20001,$A724,Orders!$E$2:$E$20001,"Prepaid",Orders!$F$2:$F$20001,"RTO"))</f>
        <v/>
      </c>
      <c r="G724" s="18" t="str">
        <f aca="false">IF($A724="","",IFERROR(F724/E724,0))</f>
        <v/>
      </c>
      <c r="H724" s="19" t="str">
        <f aca="false">IF($A724="","",C724*Settings!$B$11)</f>
        <v/>
      </c>
      <c r="I724" s="20" t="str">
        <f aca="false">IF($A724="","",IF(N(H724)=0,"",RANK(H724,$H$5:$H$2004)))</f>
        <v/>
      </c>
      <c r="J724" s="21" t="str">
        <f aca="false">IF($A724="","",IF(B724=0,"No COD orders",IF(B724&lt;Settings!$B$8,"Too few orders",IF(D724&gt;=Settings!$B$9,"Restrict COD or verify","Keep COD"))))</f>
        <v/>
      </c>
    </row>
    <row r="725" customFormat="false" ht="15" hidden="false" customHeight="false" outlineLevel="0" collapsed="false">
      <c r="A725" s="27"/>
      <c r="B725" s="17" t="str">
        <f aca="false">IF($A725="","",COUNTIFS(Orders!$C$2:$C$20001,$A725,Orders!$E$2:$E$20001,"COD",Orders!$F$2:$F$20001,"Delivered")+COUNTIFS(Orders!$C$2:$C$20001,$A725,Orders!$E$2:$E$20001,"COD",Orders!$F$2:$F$20001,"RTO"))</f>
        <v/>
      </c>
      <c r="C725" s="17" t="str">
        <f aca="false">IF($A725="","",COUNTIFS(Orders!$C$2:$C$20001,$A725,Orders!$E$2:$E$20001,"COD",Orders!$F$2:$F$20001,"RTO"))</f>
        <v/>
      </c>
      <c r="D725" s="18" t="str">
        <f aca="false">IF($A725="","",IFERROR(C725/B725,0))</f>
        <v/>
      </c>
      <c r="E725" s="17" t="str">
        <f aca="false">IF($A725="","",COUNTIFS(Orders!$C$2:$C$20001,$A725,Orders!$E$2:$E$20001,"Prepaid",Orders!$F$2:$F$20001,"Delivered")+COUNTIFS(Orders!$C$2:$C$20001,$A725,Orders!$E$2:$E$20001,"Prepaid",Orders!$F$2:$F$20001,"RTO"))</f>
        <v/>
      </c>
      <c r="F725" s="17" t="str">
        <f aca="false">IF($A725="","",COUNTIFS(Orders!$C$2:$C$20001,$A725,Orders!$E$2:$E$20001,"Prepaid",Orders!$F$2:$F$20001,"RTO"))</f>
        <v/>
      </c>
      <c r="G725" s="18" t="str">
        <f aca="false">IF($A725="","",IFERROR(F725/E725,0))</f>
        <v/>
      </c>
      <c r="H725" s="19" t="str">
        <f aca="false">IF($A725="","",C725*Settings!$B$11)</f>
        <v/>
      </c>
      <c r="I725" s="20" t="str">
        <f aca="false">IF($A725="","",IF(N(H725)=0,"",RANK(H725,$H$5:$H$2004)))</f>
        <v/>
      </c>
      <c r="J725" s="21" t="str">
        <f aca="false">IF($A725="","",IF(B725=0,"No COD orders",IF(B725&lt;Settings!$B$8,"Too few orders",IF(D725&gt;=Settings!$B$9,"Restrict COD or verify","Keep COD"))))</f>
        <v/>
      </c>
    </row>
    <row r="726" customFormat="false" ht="15" hidden="false" customHeight="false" outlineLevel="0" collapsed="false">
      <c r="A726" s="27"/>
      <c r="B726" s="17" t="str">
        <f aca="false">IF($A726="","",COUNTIFS(Orders!$C$2:$C$20001,$A726,Orders!$E$2:$E$20001,"COD",Orders!$F$2:$F$20001,"Delivered")+COUNTIFS(Orders!$C$2:$C$20001,$A726,Orders!$E$2:$E$20001,"COD",Orders!$F$2:$F$20001,"RTO"))</f>
        <v/>
      </c>
      <c r="C726" s="17" t="str">
        <f aca="false">IF($A726="","",COUNTIFS(Orders!$C$2:$C$20001,$A726,Orders!$E$2:$E$20001,"COD",Orders!$F$2:$F$20001,"RTO"))</f>
        <v/>
      </c>
      <c r="D726" s="18" t="str">
        <f aca="false">IF($A726="","",IFERROR(C726/B726,0))</f>
        <v/>
      </c>
      <c r="E726" s="17" t="str">
        <f aca="false">IF($A726="","",COUNTIFS(Orders!$C$2:$C$20001,$A726,Orders!$E$2:$E$20001,"Prepaid",Orders!$F$2:$F$20001,"Delivered")+COUNTIFS(Orders!$C$2:$C$20001,$A726,Orders!$E$2:$E$20001,"Prepaid",Orders!$F$2:$F$20001,"RTO"))</f>
        <v/>
      </c>
      <c r="F726" s="17" t="str">
        <f aca="false">IF($A726="","",COUNTIFS(Orders!$C$2:$C$20001,$A726,Orders!$E$2:$E$20001,"Prepaid",Orders!$F$2:$F$20001,"RTO"))</f>
        <v/>
      </c>
      <c r="G726" s="18" t="str">
        <f aca="false">IF($A726="","",IFERROR(F726/E726,0))</f>
        <v/>
      </c>
      <c r="H726" s="19" t="str">
        <f aca="false">IF($A726="","",C726*Settings!$B$11)</f>
        <v/>
      </c>
      <c r="I726" s="20" t="str">
        <f aca="false">IF($A726="","",IF(N(H726)=0,"",RANK(H726,$H$5:$H$2004)))</f>
        <v/>
      </c>
      <c r="J726" s="21" t="str">
        <f aca="false">IF($A726="","",IF(B726=0,"No COD orders",IF(B726&lt;Settings!$B$8,"Too few orders",IF(D726&gt;=Settings!$B$9,"Restrict COD or verify","Keep COD"))))</f>
        <v/>
      </c>
    </row>
    <row r="727" customFormat="false" ht="15" hidden="false" customHeight="false" outlineLevel="0" collapsed="false">
      <c r="A727" s="27"/>
      <c r="B727" s="17" t="str">
        <f aca="false">IF($A727="","",COUNTIFS(Orders!$C$2:$C$20001,$A727,Orders!$E$2:$E$20001,"COD",Orders!$F$2:$F$20001,"Delivered")+COUNTIFS(Orders!$C$2:$C$20001,$A727,Orders!$E$2:$E$20001,"COD",Orders!$F$2:$F$20001,"RTO"))</f>
        <v/>
      </c>
      <c r="C727" s="17" t="str">
        <f aca="false">IF($A727="","",COUNTIFS(Orders!$C$2:$C$20001,$A727,Orders!$E$2:$E$20001,"COD",Orders!$F$2:$F$20001,"RTO"))</f>
        <v/>
      </c>
      <c r="D727" s="18" t="str">
        <f aca="false">IF($A727="","",IFERROR(C727/B727,0))</f>
        <v/>
      </c>
      <c r="E727" s="17" t="str">
        <f aca="false">IF($A727="","",COUNTIFS(Orders!$C$2:$C$20001,$A727,Orders!$E$2:$E$20001,"Prepaid",Orders!$F$2:$F$20001,"Delivered")+COUNTIFS(Orders!$C$2:$C$20001,$A727,Orders!$E$2:$E$20001,"Prepaid",Orders!$F$2:$F$20001,"RTO"))</f>
        <v/>
      </c>
      <c r="F727" s="17" t="str">
        <f aca="false">IF($A727="","",COUNTIFS(Orders!$C$2:$C$20001,$A727,Orders!$E$2:$E$20001,"Prepaid",Orders!$F$2:$F$20001,"RTO"))</f>
        <v/>
      </c>
      <c r="G727" s="18" t="str">
        <f aca="false">IF($A727="","",IFERROR(F727/E727,0))</f>
        <v/>
      </c>
      <c r="H727" s="19" t="str">
        <f aca="false">IF($A727="","",C727*Settings!$B$11)</f>
        <v/>
      </c>
      <c r="I727" s="20" t="str">
        <f aca="false">IF($A727="","",IF(N(H727)=0,"",RANK(H727,$H$5:$H$2004)))</f>
        <v/>
      </c>
      <c r="J727" s="21" t="str">
        <f aca="false">IF($A727="","",IF(B727=0,"No COD orders",IF(B727&lt;Settings!$B$8,"Too few orders",IF(D727&gt;=Settings!$B$9,"Restrict COD or verify","Keep COD"))))</f>
        <v/>
      </c>
    </row>
    <row r="728" customFormat="false" ht="15" hidden="false" customHeight="false" outlineLevel="0" collapsed="false">
      <c r="A728" s="27"/>
      <c r="B728" s="17" t="str">
        <f aca="false">IF($A728="","",COUNTIFS(Orders!$C$2:$C$20001,$A728,Orders!$E$2:$E$20001,"COD",Orders!$F$2:$F$20001,"Delivered")+COUNTIFS(Orders!$C$2:$C$20001,$A728,Orders!$E$2:$E$20001,"COD",Orders!$F$2:$F$20001,"RTO"))</f>
        <v/>
      </c>
      <c r="C728" s="17" t="str">
        <f aca="false">IF($A728="","",COUNTIFS(Orders!$C$2:$C$20001,$A728,Orders!$E$2:$E$20001,"COD",Orders!$F$2:$F$20001,"RTO"))</f>
        <v/>
      </c>
      <c r="D728" s="18" t="str">
        <f aca="false">IF($A728="","",IFERROR(C728/B728,0))</f>
        <v/>
      </c>
      <c r="E728" s="17" t="str">
        <f aca="false">IF($A728="","",COUNTIFS(Orders!$C$2:$C$20001,$A728,Orders!$E$2:$E$20001,"Prepaid",Orders!$F$2:$F$20001,"Delivered")+COUNTIFS(Orders!$C$2:$C$20001,$A728,Orders!$E$2:$E$20001,"Prepaid",Orders!$F$2:$F$20001,"RTO"))</f>
        <v/>
      </c>
      <c r="F728" s="17" t="str">
        <f aca="false">IF($A728="","",COUNTIFS(Orders!$C$2:$C$20001,$A728,Orders!$E$2:$E$20001,"Prepaid",Orders!$F$2:$F$20001,"RTO"))</f>
        <v/>
      </c>
      <c r="G728" s="18" t="str">
        <f aca="false">IF($A728="","",IFERROR(F728/E728,0))</f>
        <v/>
      </c>
      <c r="H728" s="19" t="str">
        <f aca="false">IF($A728="","",C728*Settings!$B$11)</f>
        <v/>
      </c>
      <c r="I728" s="20" t="str">
        <f aca="false">IF($A728="","",IF(N(H728)=0,"",RANK(H728,$H$5:$H$2004)))</f>
        <v/>
      </c>
      <c r="J728" s="21" t="str">
        <f aca="false">IF($A728="","",IF(B728=0,"No COD orders",IF(B728&lt;Settings!$B$8,"Too few orders",IF(D728&gt;=Settings!$B$9,"Restrict COD or verify","Keep COD"))))</f>
        <v/>
      </c>
    </row>
    <row r="729" customFormat="false" ht="15" hidden="false" customHeight="false" outlineLevel="0" collapsed="false">
      <c r="A729" s="27"/>
      <c r="B729" s="17" t="str">
        <f aca="false">IF($A729="","",COUNTIFS(Orders!$C$2:$C$20001,$A729,Orders!$E$2:$E$20001,"COD",Orders!$F$2:$F$20001,"Delivered")+COUNTIFS(Orders!$C$2:$C$20001,$A729,Orders!$E$2:$E$20001,"COD",Orders!$F$2:$F$20001,"RTO"))</f>
        <v/>
      </c>
      <c r="C729" s="17" t="str">
        <f aca="false">IF($A729="","",COUNTIFS(Orders!$C$2:$C$20001,$A729,Orders!$E$2:$E$20001,"COD",Orders!$F$2:$F$20001,"RTO"))</f>
        <v/>
      </c>
      <c r="D729" s="18" t="str">
        <f aca="false">IF($A729="","",IFERROR(C729/B729,0))</f>
        <v/>
      </c>
      <c r="E729" s="17" t="str">
        <f aca="false">IF($A729="","",COUNTIFS(Orders!$C$2:$C$20001,$A729,Orders!$E$2:$E$20001,"Prepaid",Orders!$F$2:$F$20001,"Delivered")+COUNTIFS(Orders!$C$2:$C$20001,$A729,Orders!$E$2:$E$20001,"Prepaid",Orders!$F$2:$F$20001,"RTO"))</f>
        <v/>
      </c>
      <c r="F729" s="17" t="str">
        <f aca="false">IF($A729="","",COUNTIFS(Orders!$C$2:$C$20001,$A729,Orders!$E$2:$E$20001,"Prepaid",Orders!$F$2:$F$20001,"RTO"))</f>
        <v/>
      </c>
      <c r="G729" s="18" t="str">
        <f aca="false">IF($A729="","",IFERROR(F729/E729,0))</f>
        <v/>
      </c>
      <c r="H729" s="19" t="str">
        <f aca="false">IF($A729="","",C729*Settings!$B$11)</f>
        <v/>
      </c>
      <c r="I729" s="20" t="str">
        <f aca="false">IF($A729="","",IF(N(H729)=0,"",RANK(H729,$H$5:$H$2004)))</f>
        <v/>
      </c>
      <c r="J729" s="21" t="str">
        <f aca="false">IF($A729="","",IF(B729=0,"No COD orders",IF(B729&lt;Settings!$B$8,"Too few orders",IF(D729&gt;=Settings!$B$9,"Restrict COD or verify","Keep COD"))))</f>
        <v/>
      </c>
    </row>
    <row r="730" customFormat="false" ht="15" hidden="false" customHeight="false" outlineLevel="0" collapsed="false">
      <c r="A730" s="27"/>
      <c r="B730" s="17" t="str">
        <f aca="false">IF($A730="","",COUNTIFS(Orders!$C$2:$C$20001,$A730,Orders!$E$2:$E$20001,"COD",Orders!$F$2:$F$20001,"Delivered")+COUNTIFS(Orders!$C$2:$C$20001,$A730,Orders!$E$2:$E$20001,"COD",Orders!$F$2:$F$20001,"RTO"))</f>
        <v/>
      </c>
      <c r="C730" s="17" t="str">
        <f aca="false">IF($A730="","",COUNTIFS(Orders!$C$2:$C$20001,$A730,Orders!$E$2:$E$20001,"COD",Orders!$F$2:$F$20001,"RTO"))</f>
        <v/>
      </c>
      <c r="D730" s="18" t="str">
        <f aca="false">IF($A730="","",IFERROR(C730/B730,0))</f>
        <v/>
      </c>
      <c r="E730" s="17" t="str">
        <f aca="false">IF($A730="","",COUNTIFS(Orders!$C$2:$C$20001,$A730,Orders!$E$2:$E$20001,"Prepaid",Orders!$F$2:$F$20001,"Delivered")+COUNTIFS(Orders!$C$2:$C$20001,$A730,Orders!$E$2:$E$20001,"Prepaid",Orders!$F$2:$F$20001,"RTO"))</f>
        <v/>
      </c>
      <c r="F730" s="17" t="str">
        <f aca="false">IF($A730="","",COUNTIFS(Orders!$C$2:$C$20001,$A730,Orders!$E$2:$E$20001,"Prepaid",Orders!$F$2:$F$20001,"RTO"))</f>
        <v/>
      </c>
      <c r="G730" s="18" t="str">
        <f aca="false">IF($A730="","",IFERROR(F730/E730,0))</f>
        <v/>
      </c>
      <c r="H730" s="19" t="str">
        <f aca="false">IF($A730="","",C730*Settings!$B$11)</f>
        <v/>
      </c>
      <c r="I730" s="20" t="str">
        <f aca="false">IF($A730="","",IF(N(H730)=0,"",RANK(H730,$H$5:$H$2004)))</f>
        <v/>
      </c>
      <c r="J730" s="21" t="str">
        <f aca="false">IF($A730="","",IF(B730=0,"No COD orders",IF(B730&lt;Settings!$B$8,"Too few orders",IF(D730&gt;=Settings!$B$9,"Restrict COD or verify","Keep COD"))))</f>
        <v/>
      </c>
    </row>
    <row r="731" customFormat="false" ht="15" hidden="false" customHeight="false" outlineLevel="0" collapsed="false">
      <c r="A731" s="27"/>
      <c r="B731" s="17" t="str">
        <f aca="false">IF($A731="","",COUNTIFS(Orders!$C$2:$C$20001,$A731,Orders!$E$2:$E$20001,"COD",Orders!$F$2:$F$20001,"Delivered")+COUNTIFS(Orders!$C$2:$C$20001,$A731,Orders!$E$2:$E$20001,"COD",Orders!$F$2:$F$20001,"RTO"))</f>
        <v/>
      </c>
      <c r="C731" s="17" t="str">
        <f aca="false">IF($A731="","",COUNTIFS(Orders!$C$2:$C$20001,$A731,Orders!$E$2:$E$20001,"COD",Orders!$F$2:$F$20001,"RTO"))</f>
        <v/>
      </c>
      <c r="D731" s="18" t="str">
        <f aca="false">IF($A731="","",IFERROR(C731/B731,0))</f>
        <v/>
      </c>
      <c r="E731" s="17" t="str">
        <f aca="false">IF($A731="","",COUNTIFS(Orders!$C$2:$C$20001,$A731,Orders!$E$2:$E$20001,"Prepaid",Orders!$F$2:$F$20001,"Delivered")+COUNTIFS(Orders!$C$2:$C$20001,$A731,Orders!$E$2:$E$20001,"Prepaid",Orders!$F$2:$F$20001,"RTO"))</f>
        <v/>
      </c>
      <c r="F731" s="17" t="str">
        <f aca="false">IF($A731="","",COUNTIFS(Orders!$C$2:$C$20001,$A731,Orders!$E$2:$E$20001,"Prepaid",Orders!$F$2:$F$20001,"RTO"))</f>
        <v/>
      </c>
      <c r="G731" s="18" t="str">
        <f aca="false">IF($A731="","",IFERROR(F731/E731,0))</f>
        <v/>
      </c>
      <c r="H731" s="19" t="str">
        <f aca="false">IF($A731="","",C731*Settings!$B$11)</f>
        <v/>
      </c>
      <c r="I731" s="20" t="str">
        <f aca="false">IF($A731="","",IF(N(H731)=0,"",RANK(H731,$H$5:$H$2004)))</f>
        <v/>
      </c>
      <c r="J731" s="21" t="str">
        <f aca="false">IF($A731="","",IF(B731=0,"No COD orders",IF(B731&lt;Settings!$B$8,"Too few orders",IF(D731&gt;=Settings!$B$9,"Restrict COD or verify","Keep COD"))))</f>
        <v/>
      </c>
    </row>
    <row r="732" customFormat="false" ht="15" hidden="false" customHeight="false" outlineLevel="0" collapsed="false">
      <c r="A732" s="27"/>
      <c r="B732" s="17" t="str">
        <f aca="false">IF($A732="","",COUNTIFS(Orders!$C$2:$C$20001,$A732,Orders!$E$2:$E$20001,"COD",Orders!$F$2:$F$20001,"Delivered")+COUNTIFS(Orders!$C$2:$C$20001,$A732,Orders!$E$2:$E$20001,"COD",Orders!$F$2:$F$20001,"RTO"))</f>
        <v/>
      </c>
      <c r="C732" s="17" t="str">
        <f aca="false">IF($A732="","",COUNTIFS(Orders!$C$2:$C$20001,$A732,Orders!$E$2:$E$20001,"COD",Orders!$F$2:$F$20001,"RTO"))</f>
        <v/>
      </c>
      <c r="D732" s="18" t="str">
        <f aca="false">IF($A732="","",IFERROR(C732/B732,0))</f>
        <v/>
      </c>
      <c r="E732" s="17" t="str">
        <f aca="false">IF($A732="","",COUNTIFS(Orders!$C$2:$C$20001,$A732,Orders!$E$2:$E$20001,"Prepaid",Orders!$F$2:$F$20001,"Delivered")+COUNTIFS(Orders!$C$2:$C$20001,$A732,Orders!$E$2:$E$20001,"Prepaid",Orders!$F$2:$F$20001,"RTO"))</f>
        <v/>
      </c>
      <c r="F732" s="17" t="str">
        <f aca="false">IF($A732="","",COUNTIFS(Orders!$C$2:$C$20001,$A732,Orders!$E$2:$E$20001,"Prepaid",Orders!$F$2:$F$20001,"RTO"))</f>
        <v/>
      </c>
      <c r="G732" s="18" t="str">
        <f aca="false">IF($A732="","",IFERROR(F732/E732,0))</f>
        <v/>
      </c>
      <c r="H732" s="19" t="str">
        <f aca="false">IF($A732="","",C732*Settings!$B$11)</f>
        <v/>
      </c>
      <c r="I732" s="20" t="str">
        <f aca="false">IF($A732="","",IF(N(H732)=0,"",RANK(H732,$H$5:$H$2004)))</f>
        <v/>
      </c>
      <c r="J732" s="21" t="str">
        <f aca="false">IF($A732="","",IF(B732=0,"No COD orders",IF(B732&lt;Settings!$B$8,"Too few orders",IF(D732&gt;=Settings!$B$9,"Restrict COD or verify","Keep COD"))))</f>
        <v/>
      </c>
    </row>
    <row r="733" customFormat="false" ht="15" hidden="false" customHeight="false" outlineLevel="0" collapsed="false">
      <c r="A733" s="27"/>
      <c r="B733" s="17" t="str">
        <f aca="false">IF($A733="","",COUNTIFS(Orders!$C$2:$C$20001,$A733,Orders!$E$2:$E$20001,"COD",Orders!$F$2:$F$20001,"Delivered")+COUNTIFS(Orders!$C$2:$C$20001,$A733,Orders!$E$2:$E$20001,"COD",Orders!$F$2:$F$20001,"RTO"))</f>
        <v/>
      </c>
      <c r="C733" s="17" t="str">
        <f aca="false">IF($A733="","",COUNTIFS(Orders!$C$2:$C$20001,$A733,Orders!$E$2:$E$20001,"COD",Orders!$F$2:$F$20001,"RTO"))</f>
        <v/>
      </c>
      <c r="D733" s="18" t="str">
        <f aca="false">IF($A733="","",IFERROR(C733/B733,0))</f>
        <v/>
      </c>
      <c r="E733" s="17" t="str">
        <f aca="false">IF($A733="","",COUNTIFS(Orders!$C$2:$C$20001,$A733,Orders!$E$2:$E$20001,"Prepaid",Orders!$F$2:$F$20001,"Delivered")+COUNTIFS(Orders!$C$2:$C$20001,$A733,Orders!$E$2:$E$20001,"Prepaid",Orders!$F$2:$F$20001,"RTO"))</f>
        <v/>
      </c>
      <c r="F733" s="17" t="str">
        <f aca="false">IF($A733="","",COUNTIFS(Orders!$C$2:$C$20001,$A733,Orders!$E$2:$E$20001,"Prepaid",Orders!$F$2:$F$20001,"RTO"))</f>
        <v/>
      </c>
      <c r="G733" s="18" t="str">
        <f aca="false">IF($A733="","",IFERROR(F733/E733,0))</f>
        <v/>
      </c>
      <c r="H733" s="19" t="str">
        <f aca="false">IF($A733="","",C733*Settings!$B$11)</f>
        <v/>
      </c>
      <c r="I733" s="20" t="str">
        <f aca="false">IF($A733="","",IF(N(H733)=0,"",RANK(H733,$H$5:$H$2004)))</f>
        <v/>
      </c>
      <c r="J733" s="21" t="str">
        <f aca="false">IF($A733="","",IF(B733=0,"No COD orders",IF(B733&lt;Settings!$B$8,"Too few orders",IF(D733&gt;=Settings!$B$9,"Restrict COD or verify","Keep COD"))))</f>
        <v/>
      </c>
    </row>
    <row r="734" customFormat="false" ht="15" hidden="false" customHeight="false" outlineLevel="0" collapsed="false">
      <c r="A734" s="27"/>
      <c r="B734" s="17" t="str">
        <f aca="false">IF($A734="","",COUNTIFS(Orders!$C$2:$C$20001,$A734,Orders!$E$2:$E$20001,"COD",Orders!$F$2:$F$20001,"Delivered")+COUNTIFS(Orders!$C$2:$C$20001,$A734,Orders!$E$2:$E$20001,"COD",Orders!$F$2:$F$20001,"RTO"))</f>
        <v/>
      </c>
      <c r="C734" s="17" t="str">
        <f aca="false">IF($A734="","",COUNTIFS(Orders!$C$2:$C$20001,$A734,Orders!$E$2:$E$20001,"COD",Orders!$F$2:$F$20001,"RTO"))</f>
        <v/>
      </c>
      <c r="D734" s="18" t="str">
        <f aca="false">IF($A734="","",IFERROR(C734/B734,0))</f>
        <v/>
      </c>
      <c r="E734" s="17" t="str">
        <f aca="false">IF($A734="","",COUNTIFS(Orders!$C$2:$C$20001,$A734,Orders!$E$2:$E$20001,"Prepaid",Orders!$F$2:$F$20001,"Delivered")+COUNTIFS(Orders!$C$2:$C$20001,$A734,Orders!$E$2:$E$20001,"Prepaid",Orders!$F$2:$F$20001,"RTO"))</f>
        <v/>
      </c>
      <c r="F734" s="17" t="str">
        <f aca="false">IF($A734="","",COUNTIFS(Orders!$C$2:$C$20001,$A734,Orders!$E$2:$E$20001,"Prepaid",Orders!$F$2:$F$20001,"RTO"))</f>
        <v/>
      </c>
      <c r="G734" s="18" t="str">
        <f aca="false">IF($A734="","",IFERROR(F734/E734,0))</f>
        <v/>
      </c>
      <c r="H734" s="19" t="str">
        <f aca="false">IF($A734="","",C734*Settings!$B$11)</f>
        <v/>
      </c>
      <c r="I734" s="20" t="str">
        <f aca="false">IF($A734="","",IF(N(H734)=0,"",RANK(H734,$H$5:$H$2004)))</f>
        <v/>
      </c>
      <c r="J734" s="21" t="str">
        <f aca="false">IF($A734="","",IF(B734=0,"No COD orders",IF(B734&lt;Settings!$B$8,"Too few orders",IF(D734&gt;=Settings!$B$9,"Restrict COD or verify","Keep COD"))))</f>
        <v/>
      </c>
    </row>
    <row r="735" customFormat="false" ht="15" hidden="false" customHeight="false" outlineLevel="0" collapsed="false">
      <c r="A735" s="27"/>
      <c r="B735" s="17" t="str">
        <f aca="false">IF($A735="","",COUNTIFS(Orders!$C$2:$C$20001,$A735,Orders!$E$2:$E$20001,"COD",Orders!$F$2:$F$20001,"Delivered")+COUNTIFS(Orders!$C$2:$C$20001,$A735,Orders!$E$2:$E$20001,"COD",Orders!$F$2:$F$20001,"RTO"))</f>
        <v/>
      </c>
      <c r="C735" s="17" t="str">
        <f aca="false">IF($A735="","",COUNTIFS(Orders!$C$2:$C$20001,$A735,Orders!$E$2:$E$20001,"COD",Orders!$F$2:$F$20001,"RTO"))</f>
        <v/>
      </c>
      <c r="D735" s="18" t="str">
        <f aca="false">IF($A735="","",IFERROR(C735/B735,0))</f>
        <v/>
      </c>
      <c r="E735" s="17" t="str">
        <f aca="false">IF($A735="","",COUNTIFS(Orders!$C$2:$C$20001,$A735,Orders!$E$2:$E$20001,"Prepaid",Orders!$F$2:$F$20001,"Delivered")+COUNTIFS(Orders!$C$2:$C$20001,$A735,Orders!$E$2:$E$20001,"Prepaid",Orders!$F$2:$F$20001,"RTO"))</f>
        <v/>
      </c>
      <c r="F735" s="17" t="str">
        <f aca="false">IF($A735="","",COUNTIFS(Orders!$C$2:$C$20001,$A735,Orders!$E$2:$E$20001,"Prepaid",Orders!$F$2:$F$20001,"RTO"))</f>
        <v/>
      </c>
      <c r="G735" s="18" t="str">
        <f aca="false">IF($A735="","",IFERROR(F735/E735,0))</f>
        <v/>
      </c>
      <c r="H735" s="19" t="str">
        <f aca="false">IF($A735="","",C735*Settings!$B$11)</f>
        <v/>
      </c>
      <c r="I735" s="20" t="str">
        <f aca="false">IF($A735="","",IF(N(H735)=0,"",RANK(H735,$H$5:$H$2004)))</f>
        <v/>
      </c>
      <c r="J735" s="21" t="str">
        <f aca="false">IF($A735="","",IF(B735=0,"No COD orders",IF(B735&lt;Settings!$B$8,"Too few orders",IF(D735&gt;=Settings!$B$9,"Restrict COD or verify","Keep COD"))))</f>
        <v/>
      </c>
    </row>
    <row r="736" customFormat="false" ht="15" hidden="false" customHeight="false" outlineLevel="0" collapsed="false">
      <c r="A736" s="27"/>
      <c r="B736" s="17" t="str">
        <f aca="false">IF($A736="","",COUNTIFS(Orders!$C$2:$C$20001,$A736,Orders!$E$2:$E$20001,"COD",Orders!$F$2:$F$20001,"Delivered")+COUNTIFS(Orders!$C$2:$C$20001,$A736,Orders!$E$2:$E$20001,"COD",Orders!$F$2:$F$20001,"RTO"))</f>
        <v/>
      </c>
      <c r="C736" s="17" t="str">
        <f aca="false">IF($A736="","",COUNTIFS(Orders!$C$2:$C$20001,$A736,Orders!$E$2:$E$20001,"COD",Orders!$F$2:$F$20001,"RTO"))</f>
        <v/>
      </c>
      <c r="D736" s="18" t="str">
        <f aca="false">IF($A736="","",IFERROR(C736/B736,0))</f>
        <v/>
      </c>
      <c r="E736" s="17" t="str">
        <f aca="false">IF($A736="","",COUNTIFS(Orders!$C$2:$C$20001,$A736,Orders!$E$2:$E$20001,"Prepaid",Orders!$F$2:$F$20001,"Delivered")+COUNTIFS(Orders!$C$2:$C$20001,$A736,Orders!$E$2:$E$20001,"Prepaid",Orders!$F$2:$F$20001,"RTO"))</f>
        <v/>
      </c>
      <c r="F736" s="17" t="str">
        <f aca="false">IF($A736="","",COUNTIFS(Orders!$C$2:$C$20001,$A736,Orders!$E$2:$E$20001,"Prepaid",Orders!$F$2:$F$20001,"RTO"))</f>
        <v/>
      </c>
      <c r="G736" s="18" t="str">
        <f aca="false">IF($A736="","",IFERROR(F736/E736,0))</f>
        <v/>
      </c>
      <c r="H736" s="19" t="str">
        <f aca="false">IF($A736="","",C736*Settings!$B$11)</f>
        <v/>
      </c>
      <c r="I736" s="20" t="str">
        <f aca="false">IF($A736="","",IF(N(H736)=0,"",RANK(H736,$H$5:$H$2004)))</f>
        <v/>
      </c>
      <c r="J736" s="21" t="str">
        <f aca="false">IF($A736="","",IF(B736=0,"No COD orders",IF(B736&lt;Settings!$B$8,"Too few orders",IF(D736&gt;=Settings!$B$9,"Restrict COD or verify","Keep COD"))))</f>
        <v/>
      </c>
    </row>
    <row r="737" customFormat="false" ht="15" hidden="false" customHeight="false" outlineLevel="0" collapsed="false">
      <c r="A737" s="27"/>
      <c r="B737" s="17" t="str">
        <f aca="false">IF($A737="","",COUNTIFS(Orders!$C$2:$C$20001,$A737,Orders!$E$2:$E$20001,"COD",Orders!$F$2:$F$20001,"Delivered")+COUNTIFS(Orders!$C$2:$C$20001,$A737,Orders!$E$2:$E$20001,"COD",Orders!$F$2:$F$20001,"RTO"))</f>
        <v/>
      </c>
      <c r="C737" s="17" t="str">
        <f aca="false">IF($A737="","",COUNTIFS(Orders!$C$2:$C$20001,$A737,Orders!$E$2:$E$20001,"COD",Orders!$F$2:$F$20001,"RTO"))</f>
        <v/>
      </c>
      <c r="D737" s="18" t="str">
        <f aca="false">IF($A737="","",IFERROR(C737/B737,0))</f>
        <v/>
      </c>
      <c r="E737" s="17" t="str">
        <f aca="false">IF($A737="","",COUNTIFS(Orders!$C$2:$C$20001,$A737,Orders!$E$2:$E$20001,"Prepaid",Orders!$F$2:$F$20001,"Delivered")+COUNTIFS(Orders!$C$2:$C$20001,$A737,Orders!$E$2:$E$20001,"Prepaid",Orders!$F$2:$F$20001,"RTO"))</f>
        <v/>
      </c>
      <c r="F737" s="17" t="str">
        <f aca="false">IF($A737="","",COUNTIFS(Orders!$C$2:$C$20001,$A737,Orders!$E$2:$E$20001,"Prepaid",Orders!$F$2:$F$20001,"RTO"))</f>
        <v/>
      </c>
      <c r="G737" s="18" t="str">
        <f aca="false">IF($A737="","",IFERROR(F737/E737,0))</f>
        <v/>
      </c>
      <c r="H737" s="19" t="str">
        <f aca="false">IF($A737="","",C737*Settings!$B$11)</f>
        <v/>
      </c>
      <c r="I737" s="20" t="str">
        <f aca="false">IF($A737="","",IF(N(H737)=0,"",RANK(H737,$H$5:$H$2004)))</f>
        <v/>
      </c>
      <c r="J737" s="21" t="str">
        <f aca="false">IF($A737="","",IF(B737=0,"No COD orders",IF(B737&lt;Settings!$B$8,"Too few orders",IF(D737&gt;=Settings!$B$9,"Restrict COD or verify","Keep COD"))))</f>
        <v/>
      </c>
    </row>
    <row r="738" customFormat="false" ht="15" hidden="false" customHeight="false" outlineLevel="0" collapsed="false">
      <c r="A738" s="27"/>
      <c r="B738" s="17" t="str">
        <f aca="false">IF($A738="","",COUNTIFS(Orders!$C$2:$C$20001,$A738,Orders!$E$2:$E$20001,"COD",Orders!$F$2:$F$20001,"Delivered")+COUNTIFS(Orders!$C$2:$C$20001,$A738,Orders!$E$2:$E$20001,"COD",Orders!$F$2:$F$20001,"RTO"))</f>
        <v/>
      </c>
      <c r="C738" s="17" t="str">
        <f aca="false">IF($A738="","",COUNTIFS(Orders!$C$2:$C$20001,$A738,Orders!$E$2:$E$20001,"COD",Orders!$F$2:$F$20001,"RTO"))</f>
        <v/>
      </c>
      <c r="D738" s="18" t="str">
        <f aca="false">IF($A738="","",IFERROR(C738/B738,0))</f>
        <v/>
      </c>
      <c r="E738" s="17" t="str">
        <f aca="false">IF($A738="","",COUNTIFS(Orders!$C$2:$C$20001,$A738,Orders!$E$2:$E$20001,"Prepaid",Orders!$F$2:$F$20001,"Delivered")+COUNTIFS(Orders!$C$2:$C$20001,$A738,Orders!$E$2:$E$20001,"Prepaid",Orders!$F$2:$F$20001,"RTO"))</f>
        <v/>
      </c>
      <c r="F738" s="17" t="str">
        <f aca="false">IF($A738="","",COUNTIFS(Orders!$C$2:$C$20001,$A738,Orders!$E$2:$E$20001,"Prepaid",Orders!$F$2:$F$20001,"RTO"))</f>
        <v/>
      </c>
      <c r="G738" s="18" t="str">
        <f aca="false">IF($A738="","",IFERROR(F738/E738,0))</f>
        <v/>
      </c>
      <c r="H738" s="19" t="str">
        <f aca="false">IF($A738="","",C738*Settings!$B$11)</f>
        <v/>
      </c>
      <c r="I738" s="20" t="str">
        <f aca="false">IF($A738="","",IF(N(H738)=0,"",RANK(H738,$H$5:$H$2004)))</f>
        <v/>
      </c>
      <c r="J738" s="21" t="str">
        <f aca="false">IF($A738="","",IF(B738=0,"No COD orders",IF(B738&lt;Settings!$B$8,"Too few orders",IF(D738&gt;=Settings!$B$9,"Restrict COD or verify","Keep COD"))))</f>
        <v/>
      </c>
    </row>
    <row r="739" customFormat="false" ht="15" hidden="false" customHeight="false" outlineLevel="0" collapsed="false">
      <c r="A739" s="27"/>
      <c r="B739" s="17" t="str">
        <f aca="false">IF($A739="","",COUNTIFS(Orders!$C$2:$C$20001,$A739,Orders!$E$2:$E$20001,"COD",Orders!$F$2:$F$20001,"Delivered")+COUNTIFS(Orders!$C$2:$C$20001,$A739,Orders!$E$2:$E$20001,"COD",Orders!$F$2:$F$20001,"RTO"))</f>
        <v/>
      </c>
      <c r="C739" s="17" t="str">
        <f aca="false">IF($A739="","",COUNTIFS(Orders!$C$2:$C$20001,$A739,Orders!$E$2:$E$20001,"COD",Orders!$F$2:$F$20001,"RTO"))</f>
        <v/>
      </c>
      <c r="D739" s="18" t="str">
        <f aca="false">IF($A739="","",IFERROR(C739/B739,0))</f>
        <v/>
      </c>
      <c r="E739" s="17" t="str">
        <f aca="false">IF($A739="","",COUNTIFS(Orders!$C$2:$C$20001,$A739,Orders!$E$2:$E$20001,"Prepaid",Orders!$F$2:$F$20001,"Delivered")+COUNTIFS(Orders!$C$2:$C$20001,$A739,Orders!$E$2:$E$20001,"Prepaid",Orders!$F$2:$F$20001,"RTO"))</f>
        <v/>
      </c>
      <c r="F739" s="17" t="str">
        <f aca="false">IF($A739="","",COUNTIFS(Orders!$C$2:$C$20001,$A739,Orders!$E$2:$E$20001,"Prepaid",Orders!$F$2:$F$20001,"RTO"))</f>
        <v/>
      </c>
      <c r="G739" s="18" t="str">
        <f aca="false">IF($A739="","",IFERROR(F739/E739,0))</f>
        <v/>
      </c>
      <c r="H739" s="19" t="str">
        <f aca="false">IF($A739="","",C739*Settings!$B$11)</f>
        <v/>
      </c>
      <c r="I739" s="20" t="str">
        <f aca="false">IF($A739="","",IF(N(H739)=0,"",RANK(H739,$H$5:$H$2004)))</f>
        <v/>
      </c>
      <c r="J739" s="21" t="str">
        <f aca="false">IF($A739="","",IF(B739=0,"No COD orders",IF(B739&lt;Settings!$B$8,"Too few orders",IF(D739&gt;=Settings!$B$9,"Restrict COD or verify","Keep COD"))))</f>
        <v/>
      </c>
    </row>
    <row r="740" customFormat="false" ht="15" hidden="false" customHeight="false" outlineLevel="0" collapsed="false">
      <c r="A740" s="27"/>
      <c r="B740" s="17" t="str">
        <f aca="false">IF($A740="","",COUNTIFS(Orders!$C$2:$C$20001,$A740,Orders!$E$2:$E$20001,"COD",Orders!$F$2:$F$20001,"Delivered")+COUNTIFS(Orders!$C$2:$C$20001,$A740,Orders!$E$2:$E$20001,"COD",Orders!$F$2:$F$20001,"RTO"))</f>
        <v/>
      </c>
      <c r="C740" s="17" t="str">
        <f aca="false">IF($A740="","",COUNTIFS(Orders!$C$2:$C$20001,$A740,Orders!$E$2:$E$20001,"COD",Orders!$F$2:$F$20001,"RTO"))</f>
        <v/>
      </c>
      <c r="D740" s="18" t="str">
        <f aca="false">IF($A740="","",IFERROR(C740/B740,0))</f>
        <v/>
      </c>
      <c r="E740" s="17" t="str">
        <f aca="false">IF($A740="","",COUNTIFS(Orders!$C$2:$C$20001,$A740,Orders!$E$2:$E$20001,"Prepaid",Orders!$F$2:$F$20001,"Delivered")+COUNTIFS(Orders!$C$2:$C$20001,$A740,Orders!$E$2:$E$20001,"Prepaid",Orders!$F$2:$F$20001,"RTO"))</f>
        <v/>
      </c>
      <c r="F740" s="17" t="str">
        <f aca="false">IF($A740="","",COUNTIFS(Orders!$C$2:$C$20001,$A740,Orders!$E$2:$E$20001,"Prepaid",Orders!$F$2:$F$20001,"RTO"))</f>
        <v/>
      </c>
      <c r="G740" s="18" t="str">
        <f aca="false">IF($A740="","",IFERROR(F740/E740,0))</f>
        <v/>
      </c>
      <c r="H740" s="19" t="str">
        <f aca="false">IF($A740="","",C740*Settings!$B$11)</f>
        <v/>
      </c>
      <c r="I740" s="20" t="str">
        <f aca="false">IF($A740="","",IF(N(H740)=0,"",RANK(H740,$H$5:$H$2004)))</f>
        <v/>
      </c>
      <c r="J740" s="21" t="str">
        <f aca="false">IF($A740="","",IF(B740=0,"No COD orders",IF(B740&lt;Settings!$B$8,"Too few orders",IF(D740&gt;=Settings!$B$9,"Restrict COD or verify","Keep COD"))))</f>
        <v/>
      </c>
    </row>
    <row r="741" customFormat="false" ht="15" hidden="false" customHeight="false" outlineLevel="0" collapsed="false">
      <c r="A741" s="27"/>
      <c r="B741" s="17" t="str">
        <f aca="false">IF($A741="","",COUNTIFS(Orders!$C$2:$C$20001,$A741,Orders!$E$2:$E$20001,"COD",Orders!$F$2:$F$20001,"Delivered")+COUNTIFS(Orders!$C$2:$C$20001,$A741,Orders!$E$2:$E$20001,"COD",Orders!$F$2:$F$20001,"RTO"))</f>
        <v/>
      </c>
      <c r="C741" s="17" t="str">
        <f aca="false">IF($A741="","",COUNTIFS(Orders!$C$2:$C$20001,$A741,Orders!$E$2:$E$20001,"COD",Orders!$F$2:$F$20001,"RTO"))</f>
        <v/>
      </c>
      <c r="D741" s="18" t="str">
        <f aca="false">IF($A741="","",IFERROR(C741/B741,0))</f>
        <v/>
      </c>
      <c r="E741" s="17" t="str">
        <f aca="false">IF($A741="","",COUNTIFS(Orders!$C$2:$C$20001,$A741,Orders!$E$2:$E$20001,"Prepaid",Orders!$F$2:$F$20001,"Delivered")+COUNTIFS(Orders!$C$2:$C$20001,$A741,Orders!$E$2:$E$20001,"Prepaid",Orders!$F$2:$F$20001,"RTO"))</f>
        <v/>
      </c>
      <c r="F741" s="17" t="str">
        <f aca="false">IF($A741="","",COUNTIFS(Orders!$C$2:$C$20001,$A741,Orders!$E$2:$E$20001,"Prepaid",Orders!$F$2:$F$20001,"RTO"))</f>
        <v/>
      </c>
      <c r="G741" s="18" t="str">
        <f aca="false">IF($A741="","",IFERROR(F741/E741,0))</f>
        <v/>
      </c>
      <c r="H741" s="19" t="str">
        <f aca="false">IF($A741="","",C741*Settings!$B$11)</f>
        <v/>
      </c>
      <c r="I741" s="20" t="str">
        <f aca="false">IF($A741="","",IF(N(H741)=0,"",RANK(H741,$H$5:$H$2004)))</f>
        <v/>
      </c>
      <c r="J741" s="21" t="str">
        <f aca="false">IF($A741="","",IF(B741=0,"No COD orders",IF(B741&lt;Settings!$B$8,"Too few orders",IF(D741&gt;=Settings!$B$9,"Restrict COD or verify","Keep COD"))))</f>
        <v/>
      </c>
    </row>
    <row r="742" customFormat="false" ht="15" hidden="false" customHeight="false" outlineLevel="0" collapsed="false">
      <c r="A742" s="27"/>
      <c r="B742" s="17" t="str">
        <f aca="false">IF($A742="","",COUNTIFS(Orders!$C$2:$C$20001,$A742,Orders!$E$2:$E$20001,"COD",Orders!$F$2:$F$20001,"Delivered")+COUNTIFS(Orders!$C$2:$C$20001,$A742,Orders!$E$2:$E$20001,"COD",Orders!$F$2:$F$20001,"RTO"))</f>
        <v/>
      </c>
      <c r="C742" s="17" t="str">
        <f aca="false">IF($A742="","",COUNTIFS(Orders!$C$2:$C$20001,$A742,Orders!$E$2:$E$20001,"COD",Orders!$F$2:$F$20001,"RTO"))</f>
        <v/>
      </c>
      <c r="D742" s="18" t="str">
        <f aca="false">IF($A742="","",IFERROR(C742/B742,0))</f>
        <v/>
      </c>
      <c r="E742" s="17" t="str">
        <f aca="false">IF($A742="","",COUNTIFS(Orders!$C$2:$C$20001,$A742,Orders!$E$2:$E$20001,"Prepaid",Orders!$F$2:$F$20001,"Delivered")+COUNTIFS(Orders!$C$2:$C$20001,$A742,Orders!$E$2:$E$20001,"Prepaid",Orders!$F$2:$F$20001,"RTO"))</f>
        <v/>
      </c>
      <c r="F742" s="17" t="str">
        <f aca="false">IF($A742="","",COUNTIFS(Orders!$C$2:$C$20001,$A742,Orders!$E$2:$E$20001,"Prepaid",Orders!$F$2:$F$20001,"RTO"))</f>
        <v/>
      </c>
      <c r="G742" s="18" t="str">
        <f aca="false">IF($A742="","",IFERROR(F742/E742,0))</f>
        <v/>
      </c>
      <c r="H742" s="19" t="str">
        <f aca="false">IF($A742="","",C742*Settings!$B$11)</f>
        <v/>
      </c>
      <c r="I742" s="20" t="str">
        <f aca="false">IF($A742="","",IF(N(H742)=0,"",RANK(H742,$H$5:$H$2004)))</f>
        <v/>
      </c>
      <c r="J742" s="21" t="str">
        <f aca="false">IF($A742="","",IF(B742=0,"No COD orders",IF(B742&lt;Settings!$B$8,"Too few orders",IF(D742&gt;=Settings!$B$9,"Restrict COD or verify","Keep COD"))))</f>
        <v/>
      </c>
    </row>
    <row r="743" customFormat="false" ht="15" hidden="false" customHeight="false" outlineLevel="0" collapsed="false">
      <c r="A743" s="27"/>
      <c r="B743" s="17" t="str">
        <f aca="false">IF($A743="","",COUNTIFS(Orders!$C$2:$C$20001,$A743,Orders!$E$2:$E$20001,"COD",Orders!$F$2:$F$20001,"Delivered")+COUNTIFS(Orders!$C$2:$C$20001,$A743,Orders!$E$2:$E$20001,"COD",Orders!$F$2:$F$20001,"RTO"))</f>
        <v/>
      </c>
      <c r="C743" s="17" t="str">
        <f aca="false">IF($A743="","",COUNTIFS(Orders!$C$2:$C$20001,$A743,Orders!$E$2:$E$20001,"COD",Orders!$F$2:$F$20001,"RTO"))</f>
        <v/>
      </c>
      <c r="D743" s="18" t="str">
        <f aca="false">IF($A743="","",IFERROR(C743/B743,0))</f>
        <v/>
      </c>
      <c r="E743" s="17" t="str">
        <f aca="false">IF($A743="","",COUNTIFS(Orders!$C$2:$C$20001,$A743,Orders!$E$2:$E$20001,"Prepaid",Orders!$F$2:$F$20001,"Delivered")+COUNTIFS(Orders!$C$2:$C$20001,$A743,Orders!$E$2:$E$20001,"Prepaid",Orders!$F$2:$F$20001,"RTO"))</f>
        <v/>
      </c>
      <c r="F743" s="17" t="str">
        <f aca="false">IF($A743="","",COUNTIFS(Orders!$C$2:$C$20001,$A743,Orders!$E$2:$E$20001,"Prepaid",Orders!$F$2:$F$20001,"RTO"))</f>
        <v/>
      </c>
      <c r="G743" s="18" t="str">
        <f aca="false">IF($A743="","",IFERROR(F743/E743,0))</f>
        <v/>
      </c>
      <c r="H743" s="19" t="str">
        <f aca="false">IF($A743="","",C743*Settings!$B$11)</f>
        <v/>
      </c>
      <c r="I743" s="20" t="str">
        <f aca="false">IF($A743="","",IF(N(H743)=0,"",RANK(H743,$H$5:$H$2004)))</f>
        <v/>
      </c>
      <c r="J743" s="21" t="str">
        <f aca="false">IF($A743="","",IF(B743=0,"No COD orders",IF(B743&lt;Settings!$B$8,"Too few orders",IF(D743&gt;=Settings!$B$9,"Restrict COD or verify","Keep COD"))))</f>
        <v/>
      </c>
    </row>
    <row r="744" customFormat="false" ht="15" hidden="false" customHeight="false" outlineLevel="0" collapsed="false">
      <c r="A744" s="27"/>
      <c r="B744" s="17" t="str">
        <f aca="false">IF($A744="","",COUNTIFS(Orders!$C$2:$C$20001,$A744,Orders!$E$2:$E$20001,"COD",Orders!$F$2:$F$20001,"Delivered")+COUNTIFS(Orders!$C$2:$C$20001,$A744,Orders!$E$2:$E$20001,"COD",Orders!$F$2:$F$20001,"RTO"))</f>
        <v/>
      </c>
      <c r="C744" s="17" t="str">
        <f aca="false">IF($A744="","",COUNTIFS(Orders!$C$2:$C$20001,$A744,Orders!$E$2:$E$20001,"COD",Orders!$F$2:$F$20001,"RTO"))</f>
        <v/>
      </c>
      <c r="D744" s="18" t="str">
        <f aca="false">IF($A744="","",IFERROR(C744/B744,0))</f>
        <v/>
      </c>
      <c r="E744" s="17" t="str">
        <f aca="false">IF($A744="","",COUNTIFS(Orders!$C$2:$C$20001,$A744,Orders!$E$2:$E$20001,"Prepaid",Orders!$F$2:$F$20001,"Delivered")+COUNTIFS(Orders!$C$2:$C$20001,$A744,Orders!$E$2:$E$20001,"Prepaid",Orders!$F$2:$F$20001,"RTO"))</f>
        <v/>
      </c>
      <c r="F744" s="17" t="str">
        <f aca="false">IF($A744="","",COUNTIFS(Orders!$C$2:$C$20001,$A744,Orders!$E$2:$E$20001,"Prepaid",Orders!$F$2:$F$20001,"RTO"))</f>
        <v/>
      </c>
      <c r="G744" s="18" t="str">
        <f aca="false">IF($A744="","",IFERROR(F744/E744,0))</f>
        <v/>
      </c>
      <c r="H744" s="19" t="str">
        <f aca="false">IF($A744="","",C744*Settings!$B$11)</f>
        <v/>
      </c>
      <c r="I744" s="20" t="str">
        <f aca="false">IF($A744="","",IF(N(H744)=0,"",RANK(H744,$H$5:$H$2004)))</f>
        <v/>
      </c>
      <c r="J744" s="21" t="str">
        <f aca="false">IF($A744="","",IF(B744=0,"No COD orders",IF(B744&lt;Settings!$B$8,"Too few orders",IF(D744&gt;=Settings!$B$9,"Restrict COD or verify","Keep COD"))))</f>
        <v/>
      </c>
    </row>
    <row r="745" customFormat="false" ht="15" hidden="false" customHeight="false" outlineLevel="0" collapsed="false">
      <c r="A745" s="27"/>
      <c r="B745" s="17" t="str">
        <f aca="false">IF($A745="","",COUNTIFS(Orders!$C$2:$C$20001,$A745,Orders!$E$2:$E$20001,"COD",Orders!$F$2:$F$20001,"Delivered")+COUNTIFS(Orders!$C$2:$C$20001,$A745,Orders!$E$2:$E$20001,"COD",Orders!$F$2:$F$20001,"RTO"))</f>
        <v/>
      </c>
      <c r="C745" s="17" t="str">
        <f aca="false">IF($A745="","",COUNTIFS(Orders!$C$2:$C$20001,$A745,Orders!$E$2:$E$20001,"COD",Orders!$F$2:$F$20001,"RTO"))</f>
        <v/>
      </c>
      <c r="D745" s="18" t="str">
        <f aca="false">IF($A745="","",IFERROR(C745/B745,0))</f>
        <v/>
      </c>
      <c r="E745" s="17" t="str">
        <f aca="false">IF($A745="","",COUNTIFS(Orders!$C$2:$C$20001,$A745,Orders!$E$2:$E$20001,"Prepaid",Orders!$F$2:$F$20001,"Delivered")+COUNTIFS(Orders!$C$2:$C$20001,$A745,Orders!$E$2:$E$20001,"Prepaid",Orders!$F$2:$F$20001,"RTO"))</f>
        <v/>
      </c>
      <c r="F745" s="17" t="str">
        <f aca="false">IF($A745="","",COUNTIFS(Orders!$C$2:$C$20001,$A745,Orders!$E$2:$E$20001,"Prepaid",Orders!$F$2:$F$20001,"RTO"))</f>
        <v/>
      </c>
      <c r="G745" s="18" t="str">
        <f aca="false">IF($A745="","",IFERROR(F745/E745,0))</f>
        <v/>
      </c>
      <c r="H745" s="19" t="str">
        <f aca="false">IF($A745="","",C745*Settings!$B$11)</f>
        <v/>
      </c>
      <c r="I745" s="20" t="str">
        <f aca="false">IF($A745="","",IF(N(H745)=0,"",RANK(H745,$H$5:$H$2004)))</f>
        <v/>
      </c>
      <c r="J745" s="21" t="str">
        <f aca="false">IF($A745="","",IF(B745=0,"No COD orders",IF(B745&lt;Settings!$B$8,"Too few orders",IF(D745&gt;=Settings!$B$9,"Restrict COD or verify","Keep COD"))))</f>
        <v/>
      </c>
    </row>
    <row r="746" customFormat="false" ht="15" hidden="false" customHeight="false" outlineLevel="0" collapsed="false">
      <c r="A746" s="27"/>
      <c r="B746" s="17" t="str">
        <f aca="false">IF($A746="","",COUNTIFS(Orders!$C$2:$C$20001,$A746,Orders!$E$2:$E$20001,"COD",Orders!$F$2:$F$20001,"Delivered")+COUNTIFS(Orders!$C$2:$C$20001,$A746,Orders!$E$2:$E$20001,"COD",Orders!$F$2:$F$20001,"RTO"))</f>
        <v/>
      </c>
      <c r="C746" s="17" t="str">
        <f aca="false">IF($A746="","",COUNTIFS(Orders!$C$2:$C$20001,$A746,Orders!$E$2:$E$20001,"COD",Orders!$F$2:$F$20001,"RTO"))</f>
        <v/>
      </c>
      <c r="D746" s="18" t="str">
        <f aca="false">IF($A746="","",IFERROR(C746/B746,0))</f>
        <v/>
      </c>
      <c r="E746" s="17" t="str">
        <f aca="false">IF($A746="","",COUNTIFS(Orders!$C$2:$C$20001,$A746,Orders!$E$2:$E$20001,"Prepaid",Orders!$F$2:$F$20001,"Delivered")+COUNTIFS(Orders!$C$2:$C$20001,$A746,Orders!$E$2:$E$20001,"Prepaid",Orders!$F$2:$F$20001,"RTO"))</f>
        <v/>
      </c>
      <c r="F746" s="17" t="str">
        <f aca="false">IF($A746="","",COUNTIFS(Orders!$C$2:$C$20001,$A746,Orders!$E$2:$E$20001,"Prepaid",Orders!$F$2:$F$20001,"RTO"))</f>
        <v/>
      </c>
      <c r="G746" s="18" t="str">
        <f aca="false">IF($A746="","",IFERROR(F746/E746,0))</f>
        <v/>
      </c>
      <c r="H746" s="19" t="str">
        <f aca="false">IF($A746="","",C746*Settings!$B$11)</f>
        <v/>
      </c>
      <c r="I746" s="20" t="str">
        <f aca="false">IF($A746="","",IF(N(H746)=0,"",RANK(H746,$H$5:$H$2004)))</f>
        <v/>
      </c>
      <c r="J746" s="21" t="str">
        <f aca="false">IF($A746="","",IF(B746=0,"No COD orders",IF(B746&lt;Settings!$B$8,"Too few orders",IF(D746&gt;=Settings!$B$9,"Restrict COD or verify","Keep COD"))))</f>
        <v/>
      </c>
    </row>
    <row r="747" customFormat="false" ht="15" hidden="false" customHeight="false" outlineLevel="0" collapsed="false">
      <c r="A747" s="27"/>
      <c r="B747" s="17" t="str">
        <f aca="false">IF($A747="","",COUNTIFS(Orders!$C$2:$C$20001,$A747,Orders!$E$2:$E$20001,"COD",Orders!$F$2:$F$20001,"Delivered")+COUNTIFS(Orders!$C$2:$C$20001,$A747,Orders!$E$2:$E$20001,"COD",Orders!$F$2:$F$20001,"RTO"))</f>
        <v/>
      </c>
      <c r="C747" s="17" t="str">
        <f aca="false">IF($A747="","",COUNTIFS(Orders!$C$2:$C$20001,$A747,Orders!$E$2:$E$20001,"COD",Orders!$F$2:$F$20001,"RTO"))</f>
        <v/>
      </c>
      <c r="D747" s="18" t="str">
        <f aca="false">IF($A747="","",IFERROR(C747/B747,0))</f>
        <v/>
      </c>
      <c r="E747" s="17" t="str">
        <f aca="false">IF($A747="","",COUNTIFS(Orders!$C$2:$C$20001,$A747,Orders!$E$2:$E$20001,"Prepaid",Orders!$F$2:$F$20001,"Delivered")+COUNTIFS(Orders!$C$2:$C$20001,$A747,Orders!$E$2:$E$20001,"Prepaid",Orders!$F$2:$F$20001,"RTO"))</f>
        <v/>
      </c>
      <c r="F747" s="17" t="str">
        <f aca="false">IF($A747="","",COUNTIFS(Orders!$C$2:$C$20001,$A747,Orders!$E$2:$E$20001,"Prepaid",Orders!$F$2:$F$20001,"RTO"))</f>
        <v/>
      </c>
      <c r="G747" s="18" t="str">
        <f aca="false">IF($A747="","",IFERROR(F747/E747,0))</f>
        <v/>
      </c>
      <c r="H747" s="19" t="str">
        <f aca="false">IF($A747="","",C747*Settings!$B$11)</f>
        <v/>
      </c>
      <c r="I747" s="20" t="str">
        <f aca="false">IF($A747="","",IF(N(H747)=0,"",RANK(H747,$H$5:$H$2004)))</f>
        <v/>
      </c>
      <c r="J747" s="21" t="str">
        <f aca="false">IF($A747="","",IF(B747=0,"No COD orders",IF(B747&lt;Settings!$B$8,"Too few orders",IF(D747&gt;=Settings!$B$9,"Restrict COD or verify","Keep COD"))))</f>
        <v/>
      </c>
    </row>
    <row r="748" customFormat="false" ht="15" hidden="false" customHeight="false" outlineLevel="0" collapsed="false">
      <c r="A748" s="27"/>
      <c r="B748" s="17" t="str">
        <f aca="false">IF($A748="","",COUNTIFS(Orders!$C$2:$C$20001,$A748,Orders!$E$2:$E$20001,"COD",Orders!$F$2:$F$20001,"Delivered")+COUNTIFS(Orders!$C$2:$C$20001,$A748,Orders!$E$2:$E$20001,"COD",Orders!$F$2:$F$20001,"RTO"))</f>
        <v/>
      </c>
      <c r="C748" s="17" t="str">
        <f aca="false">IF($A748="","",COUNTIFS(Orders!$C$2:$C$20001,$A748,Orders!$E$2:$E$20001,"COD",Orders!$F$2:$F$20001,"RTO"))</f>
        <v/>
      </c>
      <c r="D748" s="18" t="str">
        <f aca="false">IF($A748="","",IFERROR(C748/B748,0))</f>
        <v/>
      </c>
      <c r="E748" s="17" t="str">
        <f aca="false">IF($A748="","",COUNTIFS(Orders!$C$2:$C$20001,$A748,Orders!$E$2:$E$20001,"Prepaid",Orders!$F$2:$F$20001,"Delivered")+COUNTIFS(Orders!$C$2:$C$20001,$A748,Orders!$E$2:$E$20001,"Prepaid",Orders!$F$2:$F$20001,"RTO"))</f>
        <v/>
      </c>
      <c r="F748" s="17" t="str">
        <f aca="false">IF($A748="","",COUNTIFS(Orders!$C$2:$C$20001,$A748,Orders!$E$2:$E$20001,"Prepaid",Orders!$F$2:$F$20001,"RTO"))</f>
        <v/>
      </c>
      <c r="G748" s="18" t="str">
        <f aca="false">IF($A748="","",IFERROR(F748/E748,0))</f>
        <v/>
      </c>
      <c r="H748" s="19" t="str">
        <f aca="false">IF($A748="","",C748*Settings!$B$11)</f>
        <v/>
      </c>
      <c r="I748" s="20" t="str">
        <f aca="false">IF($A748="","",IF(N(H748)=0,"",RANK(H748,$H$5:$H$2004)))</f>
        <v/>
      </c>
      <c r="J748" s="21" t="str">
        <f aca="false">IF($A748="","",IF(B748=0,"No COD orders",IF(B748&lt;Settings!$B$8,"Too few orders",IF(D748&gt;=Settings!$B$9,"Restrict COD or verify","Keep COD"))))</f>
        <v/>
      </c>
    </row>
    <row r="749" customFormat="false" ht="15" hidden="false" customHeight="false" outlineLevel="0" collapsed="false">
      <c r="A749" s="27"/>
      <c r="B749" s="17" t="str">
        <f aca="false">IF($A749="","",COUNTIFS(Orders!$C$2:$C$20001,$A749,Orders!$E$2:$E$20001,"COD",Orders!$F$2:$F$20001,"Delivered")+COUNTIFS(Orders!$C$2:$C$20001,$A749,Orders!$E$2:$E$20001,"COD",Orders!$F$2:$F$20001,"RTO"))</f>
        <v/>
      </c>
      <c r="C749" s="17" t="str">
        <f aca="false">IF($A749="","",COUNTIFS(Orders!$C$2:$C$20001,$A749,Orders!$E$2:$E$20001,"COD",Orders!$F$2:$F$20001,"RTO"))</f>
        <v/>
      </c>
      <c r="D749" s="18" t="str">
        <f aca="false">IF($A749="","",IFERROR(C749/B749,0))</f>
        <v/>
      </c>
      <c r="E749" s="17" t="str">
        <f aca="false">IF($A749="","",COUNTIFS(Orders!$C$2:$C$20001,$A749,Orders!$E$2:$E$20001,"Prepaid",Orders!$F$2:$F$20001,"Delivered")+COUNTIFS(Orders!$C$2:$C$20001,$A749,Orders!$E$2:$E$20001,"Prepaid",Orders!$F$2:$F$20001,"RTO"))</f>
        <v/>
      </c>
      <c r="F749" s="17" t="str">
        <f aca="false">IF($A749="","",COUNTIFS(Orders!$C$2:$C$20001,$A749,Orders!$E$2:$E$20001,"Prepaid",Orders!$F$2:$F$20001,"RTO"))</f>
        <v/>
      </c>
      <c r="G749" s="18" t="str">
        <f aca="false">IF($A749="","",IFERROR(F749/E749,0))</f>
        <v/>
      </c>
      <c r="H749" s="19" t="str">
        <f aca="false">IF($A749="","",C749*Settings!$B$11)</f>
        <v/>
      </c>
      <c r="I749" s="20" t="str">
        <f aca="false">IF($A749="","",IF(N(H749)=0,"",RANK(H749,$H$5:$H$2004)))</f>
        <v/>
      </c>
      <c r="J749" s="21" t="str">
        <f aca="false">IF($A749="","",IF(B749=0,"No COD orders",IF(B749&lt;Settings!$B$8,"Too few orders",IF(D749&gt;=Settings!$B$9,"Restrict COD or verify","Keep COD"))))</f>
        <v/>
      </c>
    </row>
    <row r="750" customFormat="false" ht="15" hidden="false" customHeight="false" outlineLevel="0" collapsed="false">
      <c r="A750" s="27"/>
      <c r="B750" s="17" t="str">
        <f aca="false">IF($A750="","",COUNTIFS(Orders!$C$2:$C$20001,$A750,Orders!$E$2:$E$20001,"COD",Orders!$F$2:$F$20001,"Delivered")+COUNTIFS(Orders!$C$2:$C$20001,$A750,Orders!$E$2:$E$20001,"COD",Orders!$F$2:$F$20001,"RTO"))</f>
        <v/>
      </c>
      <c r="C750" s="17" t="str">
        <f aca="false">IF($A750="","",COUNTIFS(Orders!$C$2:$C$20001,$A750,Orders!$E$2:$E$20001,"COD",Orders!$F$2:$F$20001,"RTO"))</f>
        <v/>
      </c>
      <c r="D750" s="18" t="str">
        <f aca="false">IF($A750="","",IFERROR(C750/B750,0))</f>
        <v/>
      </c>
      <c r="E750" s="17" t="str">
        <f aca="false">IF($A750="","",COUNTIFS(Orders!$C$2:$C$20001,$A750,Orders!$E$2:$E$20001,"Prepaid",Orders!$F$2:$F$20001,"Delivered")+COUNTIFS(Orders!$C$2:$C$20001,$A750,Orders!$E$2:$E$20001,"Prepaid",Orders!$F$2:$F$20001,"RTO"))</f>
        <v/>
      </c>
      <c r="F750" s="17" t="str">
        <f aca="false">IF($A750="","",COUNTIFS(Orders!$C$2:$C$20001,$A750,Orders!$E$2:$E$20001,"Prepaid",Orders!$F$2:$F$20001,"RTO"))</f>
        <v/>
      </c>
      <c r="G750" s="18" t="str">
        <f aca="false">IF($A750="","",IFERROR(F750/E750,0))</f>
        <v/>
      </c>
      <c r="H750" s="19" t="str">
        <f aca="false">IF($A750="","",C750*Settings!$B$11)</f>
        <v/>
      </c>
      <c r="I750" s="20" t="str">
        <f aca="false">IF($A750="","",IF(N(H750)=0,"",RANK(H750,$H$5:$H$2004)))</f>
        <v/>
      </c>
      <c r="J750" s="21" t="str">
        <f aca="false">IF($A750="","",IF(B750=0,"No COD orders",IF(B750&lt;Settings!$B$8,"Too few orders",IF(D750&gt;=Settings!$B$9,"Restrict COD or verify","Keep COD"))))</f>
        <v/>
      </c>
    </row>
    <row r="751" customFormat="false" ht="15" hidden="false" customHeight="false" outlineLevel="0" collapsed="false">
      <c r="A751" s="27"/>
      <c r="B751" s="17" t="str">
        <f aca="false">IF($A751="","",COUNTIFS(Orders!$C$2:$C$20001,$A751,Orders!$E$2:$E$20001,"COD",Orders!$F$2:$F$20001,"Delivered")+COUNTIFS(Orders!$C$2:$C$20001,$A751,Orders!$E$2:$E$20001,"COD",Orders!$F$2:$F$20001,"RTO"))</f>
        <v/>
      </c>
      <c r="C751" s="17" t="str">
        <f aca="false">IF($A751="","",COUNTIFS(Orders!$C$2:$C$20001,$A751,Orders!$E$2:$E$20001,"COD",Orders!$F$2:$F$20001,"RTO"))</f>
        <v/>
      </c>
      <c r="D751" s="18" t="str">
        <f aca="false">IF($A751="","",IFERROR(C751/B751,0))</f>
        <v/>
      </c>
      <c r="E751" s="17" t="str">
        <f aca="false">IF($A751="","",COUNTIFS(Orders!$C$2:$C$20001,$A751,Orders!$E$2:$E$20001,"Prepaid",Orders!$F$2:$F$20001,"Delivered")+COUNTIFS(Orders!$C$2:$C$20001,$A751,Orders!$E$2:$E$20001,"Prepaid",Orders!$F$2:$F$20001,"RTO"))</f>
        <v/>
      </c>
      <c r="F751" s="17" t="str">
        <f aca="false">IF($A751="","",COUNTIFS(Orders!$C$2:$C$20001,$A751,Orders!$E$2:$E$20001,"Prepaid",Orders!$F$2:$F$20001,"RTO"))</f>
        <v/>
      </c>
      <c r="G751" s="18" t="str">
        <f aca="false">IF($A751="","",IFERROR(F751/E751,0))</f>
        <v/>
      </c>
      <c r="H751" s="19" t="str">
        <f aca="false">IF($A751="","",C751*Settings!$B$11)</f>
        <v/>
      </c>
      <c r="I751" s="20" t="str">
        <f aca="false">IF($A751="","",IF(N(H751)=0,"",RANK(H751,$H$5:$H$2004)))</f>
        <v/>
      </c>
      <c r="J751" s="21" t="str">
        <f aca="false">IF($A751="","",IF(B751=0,"No COD orders",IF(B751&lt;Settings!$B$8,"Too few orders",IF(D751&gt;=Settings!$B$9,"Restrict COD or verify","Keep COD"))))</f>
        <v/>
      </c>
    </row>
    <row r="752" customFormat="false" ht="15" hidden="false" customHeight="false" outlineLevel="0" collapsed="false">
      <c r="A752" s="27"/>
      <c r="B752" s="17" t="str">
        <f aca="false">IF($A752="","",COUNTIFS(Orders!$C$2:$C$20001,$A752,Orders!$E$2:$E$20001,"COD",Orders!$F$2:$F$20001,"Delivered")+COUNTIFS(Orders!$C$2:$C$20001,$A752,Orders!$E$2:$E$20001,"COD",Orders!$F$2:$F$20001,"RTO"))</f>
        <v/>
      </c>
      <c r="C752" s="17" t="str">
        <f aca="false">IF($A752="","",COUNTIFS(Orders!$C$2:$C$20001,$A752,Orders!$E$2:$E$20001,"COD",Orders!$F$2:$F$20001,"RTO"))</f>
        <v/>
      </c>
      <c r="D752" s="18" t="str">
        <f aca="false">IF($A752="","",IFERROR(C752/B752,0))</f>
        <v/>
      </c>
      <c r="E752" s="17" t="str">
        <f aca="false">IF($A752="","",COUNTIFS(Orders!$C$2:$C$20001,$A752,Orders!$E$2:$E$20001,"Prepaid",Orders!$F$2:$F$20001,"Delivered")+COUNTIFS(Orders!$C$2:$C$20001,$A752,Orders!$E$2:$E$20001,"Prepaid",Orders!$F$2:$F$20001,"RTO"))</f>
        <v/>
      </c>
      <c r="F752" s="17" t="str">
        <f aca="false">IF($A752="","",COUNTIFS(Orders!$C$2:$C$20001,$A752,Orders!$E$2:$E$20001,"Prepaid",Orders!$F$2:$F$20001,"RTO"))</f>
        <v/>
      </c>
      <c r="G752" s="18" t="str">
        <f aca="false">IF($A752="","",IFERROR(F752/E752,0))</f>
        <v/>
      </c>
      <c r="H752" s="19" t="str">
        <f aca="false">IF($A752="","",C752*Settings!$B$11)</f>
        <v/>
      </c>
      <c r="I752" s="20" t="str">
        <f aca="false">IF($A752="","",IF(N(H752)=0,"",RANK(H752,$H$5:$H$2004)))</f>
        <v/>
      </c>
      <c r="J752" s="21" t="str">
        <f aca="false">IF($A752="","",IF(B752=0,"No COD orders",IF(B752&lt;Settings!$B$8,"Too few orders",IF(D752&gt;=Settings!$B$9,"Restrict COD or verify","Keep COD"))))</f>
        <v/>
      </c>
    </row>
    <row r="753" customFormat="false" ht="15" hidden="false" customHeight="false" outlineLevel="0" collapsed="false">
      <c r="A753" s="27"/>
      <c r="B753" s="17" t="str">
        <f aca="false">IF($A753="","",COUNTIFS(Orders!$C$2:$C$20001,$A753,Orders!$E$2:$E$20001,"COD",Orders!$F$2:$F$20001,"Delivered")+COUNTIFS(Orders!$C$2:$C$20001,$A753,Orders!$E$2:$E$20001,"COD",Orders!$F$2:$F$20001,"RTO"))</f>
        <v/>
      </c>
      <c r="C753" s="17" t="str">
        <f aca="false">IF($A753="","",COUNTIFS(Orders!$C$2:$C$20001,$A753,Orders!$E$2:$E$20001,"COD",Orders!$F$2:$F$20001,"RTO"))</f>
        <v/>
      </c>
      <c r="D753" s="18" t="str">
        <f aca="false">IF($A753="","",IFERROR(C753/B753,0))</f>
        <v/>
      </c>
      <c r="E753" s="17" t="str">
        <f aca="false">IF($A753="","",COUNTIFS(Orders!$C$2:$C$20001,$A753,Orders!$E$2:$E$20001,"Prepaid",Orders!$F$2:$F$20001,"Delivered")+COUNTIFS(Orders!$C$2:$C$20001,$A753,Orders!$E$2:$E$20001,"Prepaid",Orders!$F$2:$F$20001,"RTO"))</f>
        <v/>
      </c>
      <c r="F753" s="17" t="str">
        <f aca="false">IF($A753="","",COUNTIFS(Orders!$C$2:$C$20001,$A753,Orders!$E$2:$E$20001,"Prepaid",Orders!$F$2:$F$20001,"RTO"))</f>
        <v/>
      </c>
      <c r="G753" s="18" t="str">
        <f aca="false">IF($A753="","",IFERROR(F753/E753,0))</f>
        <v/>
      </c>
      <c r="H753" s="19" t="str">
        <f aca="false">IF($A753="","",C753*Settings!$B$11)</f>
        <v/>
      </c>
      <c r="I753" s="20" t="str">
        <f aca="false">IF($A753="","",IF(N(H753)=0,"",RANK(H753,$H$5:$H$2004)))</f>
        <v/>
      </c>
      <c r="J753" s="21" t="str">
        <f aca="false">IF($A753="","",IF(B753=0,"No COD orders",IF(B753&lt;Settings!$B$8,"Too few orders",IF(D753&gt;=Settings!$B$9,"Restrict COD or verify","Keep COD"))))</f>
        <v/>
      </c>
    </row>
    <row r="754" customFormat="false" ht="15" hidden="false" customHeight="false" outlineLevel="0" collapsed="false">
      <c r="A754" s="27"/>
      <c r="B754" s="17" t="str">
        <f aca="false">IF($A754="","",COUNTIFS(Orders!$C$2:$C$20001,$A754,Orders!$E$2:$E$20001,"COD",Orders!$F$2:$F$20001,"Delivered")+COUNTIFS(Orders!$C$2:$C$20001,$A754,Orders!$E$2:$E$20001,"COD",Orders!$F$2:$F$20001,"RTO"))</f>
        <v/>
      </c>
      <c r="C754" s="17" t="str">
        <f aca="false">IF($A754="","",COUNTIFS(Orders!$C$2:$C$20001,$A754,Orders!$E$2:$E$20001,"COD",Orders!$F$2:$F$20001,"RTO"))</f>
        <v/>
      </c>
      <c r="D754" s="18" t="str">
        <f aca="false">IF($A754="","",IFERROR(C754/B754,0))</f>
        <v/>
      </c>
      <c r="E754" s="17" t="str">
        <f aca="false">IF($A754="","",COUNTIFS(Orders!$C$2:$C$20001,$A754,Orders!$E$2:$E$20001,"Prepaid",Orders!$F$2:$F$20001,"Delivered")+COUNTIFS(Orders!$C$2:$C$20001,$A754,Orders!$E$2:$E$20001,"Prepaid",Orders!$F$2:$F$20001,"RTO"))</f>
        <v/>
      </c>
      <c r="F754" s="17" t="str">
        <f aca="false">IF($A754="","",COUNTIFS(Orders!$C$2:$C$20001,$A754,Orders!$E$2:$E$20001,"Prepaid",Orders!$F$2:$F$20001,"RTO"))</f>
        <v/>
      </c>
      <c r="G754" s="18" t="str">
        <f aca="false">IF($A754="","",IFERROR(F754/E754,0))</f>
        <v/>
      </c>
      <c r="H754" s="19" t="str">
        <f aca="false">IF($A754="","",C754*Settings!$B$11)</f>
        <v/>
      </c>
      <c r="I754" s="20" t="str">
        <f aca="false">IF($A754="","",IF(N(H754)=0,"",RANK(H754,$H$5:$H$2004)))</f>
        <v/>
      </c>
      <c r="J754" s="21" t="str">
        <f aca="false">IF($A754="","",IF(B754=0,"No COD orders",IF(B754&lt;Settings!$B$8,"Too few orders",IF(D754&gt;=Settings!$B$9,"Restrict COD or verify","Keep COD"))))</f>
        <v/>
      </c>
    </row>
    <row r="755" customFormat="false" ht="15" hidden="false" customHeight="false" outlineLevel="0" collapsed="false">
      <c r="A755" s="27"/>
      <c r="B755" s="17" t="str">
        <f aca="false">IF($A755="","",COUNTIFS(Orders!$C$2:$C$20001,$A755,Orders!$E$2:$E$20001,"COD",Orders!$F$2:$F$20001,"Delivered")+COUNTIFS(Orders!$C$2:$C$20001,$A755,Orders!$E$2:$E$20001,"COD",Orders!$F$2:$F$20001,"RTO"))</f>
        <v/>
      </c>
      <c r="C755" s="17" t="str">
        <f aca="false">IF($A755="","",COUNTIFS(Orders!$C$2:$C$20001,$A755,Orders!$E$2:$E$20001,"COD",Orders!$F$2:$F$20001,"RTO"))</f>
        <v/>
      </c>
      <c r="D755" s="18" t="str">
        <f aca="false">IF($A755="","",IFERROR(C755/B755,0))</f>
        <v/>
      </c>
      <c r="E755" s="17" t="str">
        <f aca="false">IF($A755="","",COUNTIFS(Orders!$C$2:$C$20001,$A755,Orders!$E$2:$E$20001,"Prepaid",Orders!$F$2:$F$20001,"Delivered")+COUNTIFS(Orders!$C$2:$C$20001,$A755,Orders!$E$2:$E$20001,"Prepaid",Orders!$F$2:$F$20001,"RTO"))</f>
        <v/>
      </c>
      <c r="F755" s="17" t="str">
        <f aca="false">IF($A755="","",COUNTIFS(Orders!$C$2:$C$20001,$A755,Orders!$E$2:$E$20001,"Prepaid",Orders!$F$2:$F$20001,"RTO"))</f>
        <v/>
      </c>
      <c r="G755" s="18" t="str">
        <f aca="false">IF($A755="","",IFERROR(F755/E755,0))</f>
        <v/>
      </c>
      <c r="H755" s="19" t="str">
        <f aca="false">IF($A755="","",C755*Settings!$B$11)</f>
        <v/>
      </c>
      <c r="I755" s="20" t="str">
        <f aca="false">IF($A755="","",IF(N(H755)=0,"",RANK(H755,$H$5:$H$2004)))</f>
        <v/>
      </c>
      <c r="J755" s="21" t="str">
        <f aca="false">IF($A755="","",IF(B755=0,"No COD orders",IF(B755&lt;Settings!$B$8,"Too few orders",IF(D755&gt;=Settings!$B$9,"Restrict COD or verify","Keep COD"))))</f>
        <v/>
      </c>
    </row>
    <row r="756" customFormat="false" ht="15" hidden="false" customHeight="false" outlineLevel="0" collapsed="false">
      <c r="A756" s="27"/>
      <c r="B756" s="17" t="str">
        <f aca="false">IF($A756="","",COUNTIFS(Orders!$C$2:$C$20001,$A756,Orders!$E$2:$E$20001,"COD",Orders!$F$2:$F$20001,"Delivered")+COUNTIFS(Orders!$C$2:$C$20001,$A756,Orders!$E$2:$E$20001,"COD",Orders!$F$2:$F$20001,"RTO"))</f>
        <v/>
      </c>
      <c r="C756" s="17" t="str">
        <f aca="false">IF($A756="","",COUNTIFS(Orders!$C$2:$C$20001,$A756,Orders!$E$2:$E$20001,"COD",Orders!$F$2:$F$20001,"RTO"))</f>
        <v/>
      </c>
      <c r="D756" s="18" t="str">
        <f aca="false">IF($A756="","",IFERROR(C756/B756,0))</f>
        <v/>
      </c>
      <c r="E756" s="17" t="str">
        <f aca="false">IF($A756="","",COUNTIFS(Orders!$C$2:$C$20001,$A756,Orders!$E$2:$E$20001,"Prepaid",Orders!$F$2:$F$20001,"Delivered")+COUNTIFS(Orders!$C$2:$C$20001,$A756,Orders!$E$2:$E$20001,"Prepaid",Orders!$F$2:$F$20001,"RTO"))</f>
        <v/>
      </c>
      <c r="F756" s="17" t="str">
        <f aca="false">IF($A756="","",COUNTIFS(Orders!$C$2:$C$20001,$A756,Orders!$E$2:$E$20001,"Prepaid",Orders!$F$2:$F$20001,"RTO"))</f>
        <v/>
      </c>
      <c r="G756" s="18" t="str">
        <f aca="false">IF($A756="","",IFERROR(F756/E756,0))</f>
        <v/>
      </c>
      <c r="H756" s="19" t="str">
        <f aca="false">IF($A756="","",C756*Settings!$B$11)</f>
        <v/>
      </c>
      <c r="I756" s="20" t="str">
        <f aca="false">IF($A756="","",IF(N(H756)=0,"",RANK(H756,$H$5:$H$2004)))</f>
        <v/>
      </c>
      <c r="J756" s="21" t="str">
        <f aca="false">IF($A756="","",IF(B756=0,"No COD orders",IF(B756&lt;Settings!$B$8,"Too few orders",IF(D756&gt;=Settings!$B$9,"Restrict COD or verify","Keep COD"))))</f>
        <v/>
      </c>
    </row>
    <row r="757" customFormat="false" ht="15" hidden="false" customHeight="false" outlineLevel="0" collapsed="false">
      <c r="A757" s="27"/>
      <c r="B757" s="17" t="str">
        <f aca="false">IF($A757="","",COUNTIFS(Orders!$C$2:$C$20001,$A757,Orders!$E$2:$E$20001,"COD",Orders!$F$2:$F$20001,"Delivered")+COUNTIFS(Orders!$C$2:$C$20001,$A757,Orders!$E$2:$E$20001,"COD",Orders!$F$2:$F$20001,"RTO"))</f>
        <v/>
      </c>
      <c r="C757" s="17" t="str">
        <f aca="false">IF($A757="","",COUNTIFS(Orders!$C$2:$C$20001,$A757,Orders!$E$2:$E$20001,"COD",Orders!$F$2:$F$20001,"RTO"))</f>
        <v/>
      </c>
      <c r="D757" s="18" t="str">
        <f aca="false">IF($A757="","",IFERROR(C757/B757,0))</f>
        <v/>
      </c>
      <c r="E757" s="17" t="str">
        <f aca="false">IF($A757="","",COUNTIFS(Orders!$C$2:$C$20001,$A757,Orders!$E$2:$E$20001,"Prepaid",Orders!$F$2:$F$20001,"Delivered")+COUNTIFS(Orders!$C$2:$C$20001,$A757,Orders!$E$2:$E$20001,"Prepaid",Orders!$F$2:$F$20001,"RTO"))</f>
        <v/>
      </c>
      <c r="F757" s="17" t="str">
        <f aca="false">IF($A757="","",COUNTIFS(Orders!$C$2:$C$20001,$A757,Orders!$E$2:$E$20001,"Prepaid",Orders!$F$2:$F$20001,"RTO"))</f>
        <v/>
      </c>
      <c r="G757" s="18" t="str">
        <f aca="false">IF($A757="","",IFERROR(F757/E757,0))</f>
        <v/>
      </c>
      <c r="H757" s="19" t="str">
        <f aca="false">IF($A757="","",C757*Settings!$B$11)</f>
        <v/>
      </c>
      <c r="I757" s="20" t="str">
        <f aca="false">IF($A757="","",IF(N(H757)=0,"",RANK(H757,$H$5:$H$2004)))</f>
        <v/>
      </c>
      <c r="J757" s="21" t="str">
        <f aca="false">IF($A757="","",IF(B757=0,"No COD orders",IF(B757&lt;Settings!$B$8,"Too few orders",IF(D757&gt;=Settings!$B$9,"Restrict COD or verify","Keep COD"))))</f>
        <v/>
      </c>
    </row>
    <row r="758" customFormat="false" ht="15" hidden="false" customHeight="false" outlineLevel="0" collapsed="false">
      <c r="A758" s="27"/>
      <c r="B758" s="17" t="str">
        <f aca="false">IF($A758="","",COUNTIFS(Orders!$C$2:$C$20001,$A758,Orders!$E$2:$E$20001,"COD",Orders!$F$2:$F$20001,"Delivered")+COUNTIFS(Orders!$C$2:$C$20001,$A758,Orders!$E$2:$E$20001,"COD",Orders!$F$2:$F$20001,"RTO"))</f>
        <v/>
      </c>
      <c r="C758" s="17" t="str">
        <f aca="false">IF($A758="","",COUNTIFS(Orders!$C$2:$C$20001,$A758,Orders!$E$2:$E$20001,"COD",Orders!$F$2:$F$20001,"RTO"))</f>
        <v/>
      </c>
      <c r="D758" s="18" t="str">
        <f aca="false">IF($A758="","",IFERROR(C758/B758,0))</f>
        <v/>
      </c>
      <c r="E758" s="17" t="str">
        <f aca="false">IF($A758="","",COUNTIFS(Orders!$C$2:$C$20001,$A758,Orders!$E$2:$E$20001,"Prepaid",Orders!$F$2:$F$20001,"Delivered")+COUNTIFS(Orders!$C$2:$C$20001,$A758,Orders!$E$2:$E$20001,"Prepaid",Orders!$F$2:$F$20001,"RTO"))</f>
        <v/>
      </c>
      <c r="F758" s="17" t="str">
        <f aca="false">IF($A758="","",COUNTIFS(Orders!$C$2:$C$20001,$A758,Orders!$E$2:$E$20001,"Prepaid",Orders!$F$2:$F$20001,"RTO"))</f>
        <v/>
      </c>
      <c r="G758" s="18" t="str">
        <f aca="false">IF($A758="","",IFERROR(F758/E758,0))</f>
        <v/>
      </c>
      <c r="H758" s="19" t="str">
        <f aca="false">IF($A758="","",C758*Settings!$B$11)</f>
        <v/>
      </c>
      <c r="I758" s="20" t="str">
        <f aca="false">IF($A758="","",IF(N(H758)=0,"",RANK(H758,$H$5:$H$2004)))</f>
        <v/>
      </c>
      <c r="J758" s="21" t="str">
        <f aca="false">IF($A758="","",IF(B758=0,"No COD orders",IF(B758&lt;Settings!$B$8,"Too few orders",IF(D758&gt;=Settings!$B$9,"Restrict COD or verify","Keep COD"))))</f>
        <v/>
      </c>
    </row>
    <row r="759" customFormat="false" ht="15" hidden="false" customHeight="false" outlineLevel="0" collapsed="false">
      <c r="A759" s="27"/>
      <c r="B759" s="17" t="str">
        <f aca="false">IF($A759="","",COUNTIFS(Orders!$C$2:$C$20001,$A759,Orders!$E$2:$E$20001,"COD",Orders!$F$2:$F$20001,"Delivered")+COUNTIFS(Orders!$C$2:$C$20001,$A759,Orders!$E$2:$E$20001,"COD",Orders!$F$2:$F$20001,"RTO"))</f>
        <v/>
      </c>
      <c r="C759" s="17" t="str">
        <f aca="false">IF($A759="","",COUNTIFS(Orders!$C$2:$C$20001,$A759,Orders!$E$2:$E$20001,"COD",Orders!$F$2:$F$20001,"RTO"))</f>
        <v/>
      </c>
      <c r="D759" s="18" t="str">
        <f aca="false">IF($A759="","",IFERROR(C759/B759,0))</f>
        <v/>
      </c>
      <c r="E759" s="17" t="str">
        <f aca="false">IF($A759="","",COUNTIFS(Orders!$C$2:$C$20001,$A759,Orders!$E$2:$E$20001,"Prepaid",Orders!$F$2:$F$20001,"Delivered")+COUNTIFS(Orders!$C$2:$C$20001,$A759,Orders!$E$2:$E$20001,"Prepaid",Orders!$F$2:$F$20001,"RTO"))</f>
        <v/>
      </c>
      <c r="F759" s="17" t="str">
        <f aca="false">IF($A759="","",COUNTIFS(Orders!$C$2:$C$20001,$A759,Orders!$E$2:$E$20001,"Prepaid",Orders!$F$2:$F$20001,"RTO"))</f>
        <v/>
      </c>
      <c r="G759" s="18" t="str">
        <f aca="false">IF($A759="","",IFERROR(F759/E759,0))</f>
        <v/>
      </c>
      <c r="H759" s="19" t="str">
        <f aca="false">IF($A759="","",C759*Settings!$B$11)</f>
        <v/>
      </c>
      <c r="I759" s="20" t="str">
        <f aca="false">IF($A759="","",IF(N(H759)=0,"",RANK(H759,$H$5:$H$2004)))</f>
        <v/>
      </c>
      <c r="J759" s="21" t="str">
        <f aca="false">IF($A759="","",IF(B759=0,"No COD orders",IF(B759&lt;Settings!$B$8,"Too few orders",IF(D759&gt;=Settings!$B$9,"Restrict COD or verify","Keep COD"))))</f>
        <v/>
      </c>
    </row>
    <row r="760" customFormat="false" ht="15" hidden="false" customHeight="false" outlineLevel="0" collapsed="false">
      <c r="A760" s="27"/>
      <c r="B760" s="17" t="str">
        <f aca="false">IF($A760="","",COUNTIFS(Orders!$C$2:$C$20001,$A760,Orders!$E$2:$E$20001,"COD",Orders!$F$2:$F$20001,"Delivered")+COUNTIFS(Orders!$C$2:$C$20001,$A760,Orders!$E$2:$E$20001,"COD",Orders!$F$2:$F$20001,"RTO"))</f>
        <v/>
      </c>
      <c r="C760" s="17" t="str">
        <f aca="false">IF($A760="","",COUNTIFS(Orders!$C$2:$C$20001,$A760,Orders!$E$2:$E$20001,"COD",Orders!$F$2:$F$20001,"RTO"))</f>
        <v/>
      </c>
      <c r="D760" s="18" t="str">
        <f aca="false">IF($A760="","",IFERROR(C760/B760,0))</f>
        <v/>
      </c>
      <c r="E760" s="17" t="str">
        <f aca="false">IF($A760="","",COUNTIFS(Orders!$C$2:$C$20001,$A760,Orders!$E$2:$E$20001,"Prepaid",Orders!$F$2:$F$20001,"Delivered")+COUNTIFS(Orders!$C$2:$C$20001,$A760,Orders!$E$2:$E$20001,"Prepaid",Orders!$F$2:$F$20001,"RTO"))</f>
        <v/>
      </c>
      <c r="F760" s="17" t="str">
        <f aca="false">IF($A760="","",COUNTIFS(Orders!$C$2:$C$20001,$A760,Orders!$E$2:$E$20001,"Prepaid",Orders!$F$2:$F$20001,"RTO"))</f>
        <v/>
      </c>
      <c r="G760" s="18" t="str">
        <f aca="false">IF($A760="","",IFERROR(F760/E760,0))</f>
        <v/>
      </c>
      <c r="H760" s="19" t="str">
        <f aca="false">IF($A760="","",C760*Settings!$B$11)</f>
        <v/>
      </c>
      <c r="I760" s="20" t="str">
        <f aca="false">IF($A760="","",IF(N(H760)=0,"",RANK(H760,$H$5:$H$2004)))</f>
        <v/>
      </c>
      <c r="J760" s="21" t="str">
        <f aca="false">IF($A760="","",IF(B760=0,"No COD orders",IF(B760&lt;Settings!$B$8,"Too few orders",IF(D760&gt;=Settings!$B$9,"Restrict COD or verify","Keep COD"))))</f>
        <v/>
      </c>
    </row>
    <row r="761" customFormat="false" ht="15" hidden="false" customHeight="false" outlineLevel="0" collapsed="false">
      <c r="A761" s="27"/>
      <c r="B761" s="17" t="str">
        <f aca="false">IF($A761="","",COUNTIFS(Orders!$C$2:$C$20001,$A761,Orders!$E$2:$E$20001,"COD",Orders!$F$2:$F$20001,"Delivered")+COUNTIFS(Orders!$C$2:$C$20001,$A761,Orders!$E$2:$E$20001,"COD",Orders!$F$2:$F$20001,"RTO"))</f>
        <v/>
      </c>
      <c r="C761" s="17" t="str">
        <f aca="false">IF($A761="","",COUNTIFS(Orders!$C$2:$C$20001,$A761,Orders!$E$2:$E$20001,"COD",Orders!$F$2:$F$20001,"RTO"))</f>
        <v/>
      </c>
      <c r="D761" s="18" t="str">
        <f aca="false">IF($A761="","",IFERROR(C761/B761,0))</f>
        <v/>
      </c>
      <c r="E761" s="17" t="str">
        <f aca="false">IF($A761="","",COUNTIFS(Orders!$C$2:$C$20001,$A761,Orders!$E$2:$E$20001,"Prepaid",Orders!$F$2:$F$20001,"Delivered")+COUNTIFS(Orders!$C$2:$C$20001,$A761,Orders!$E$2:$E$20001,"Prepaid",Orders!$F$2:$F$20001,"RTO"))</f>
        <v/>
      </c>
      <c r="F761" s="17" t="str">
        <f aca="false">IF($A761="","",COUNTIFS(Orders!$C$2:$C$20001,$A761,Orders!$E$2:$E$20001,"Prepaid",Orders!$F$2:$F$20001,"RTO"))</f>
        <v/>
      </c>
      <c r="G761" s="18" t="str">
        <f aca="false">IF($A761="","",IFERROR(F761/E761,0))</f>
        <v/>
      </c>
      <c r="H761" s="19" t="str">
        <f aca="false">IF($A761="","",C761*Settings!$B$11)</f>
        <v/>
      </c>
      <c r="I761" s="20" t="str">
        <f aca="false">IF($A761="","",IF(N(H761)=0,"",RANK(H761,$H$5:$H$2004)))</f>
        <v/>
      </c>
      <c r="J761" s="21" t="str">
        <f aca="false">IF($A761="","",IF(B761=0,"No COD orders",IF(B761&lt;Settings!$B$8,"Too few orders",IF(D761&gt;=Settings!$B$9,"Restrict COD or verify","Keep COD"))))</f>
        <v/>
      </c>
    </row>
    <row r="762" customFormat="false" ht="15" hidden="false" customHeight="false" outlineLevel="0" collapsed="false">
      <c r="A762" s="27"/>
      <c r="B762" s="17" t="str">
        <f aca="false">IF($A762="","",COUNTIFS(Orders!$C$2:$C$20001,$A762,Orders!$E$2:$E$20001,"COD",Orders!$F$2:$F$20001,"Delivered")+COUNTIFS(Orders!$C$2:$C$20001,$A762,Orders!$E$2:$E$20001,"COD",Orders!$F$2:$F$20001,"RTO"))</f>
        <v/>
      </c>
      <c r="C762" s="17" t="str">
        <f aca="false">IF($A762="","",COUNTIFS(Orders!$C$2:$C$20001,$A762,Orders!$E$2:$E$20001,"COD",Orders!$F$2:$F$20001,"RTO"))</f>
        <v/>
      </c>
      <c r="D762" s="18" t="str">
        <f aca="false">IF($A762="","",IFERROR(C762/B762,0))</f>
        <v/>
      </c>
      <c r="E762" s="17" t="str">
        <f aca="false">IF($A762="","",COUNTIFS(Orders!$C$2:$C$20001,$A762,Orders!$E$2:$E$20001,"Prepaid",Orders!$F$2:$F$20001,"Delivered")+COUNTIFS(Orders!$C$2:$C$20001,$A762,Orders!$E$2:$E$20001,"Prepaid",Orders!$F$2:$F$20001,"RTO"))</f>
        <v/>
      </c>
      <c r="F762" s="17" t="str">
        <f aca="false">IF($A762="","",COUNTIFS(Orders!$C$2:$C$20001,$A762,Orders!$E$2:$E$20001,"Prepaid",Orders!$F$2:$F$20001,"RTO"))</f>
        <v/>
      </c>
      <c r="G762" s="18" t="str">
        <f aca="false">IF($A762="","",IFERROR(F762/E762,0))</f>
        <v/>
      </c>
      <c r="H762" s="19" t="str">
        <f aca="false">IF($A762="","",C762*Settings!$B$11)</f>
        <v/>
      </c>
      <c r="I762" s="20" t="str">
        <f aca="false">IF($A762="","",IF(N(H762)=0,"",RANK(H762,$H$5:$H$2004)))</f>
        <v/>
      </c>
      <c r="J762" s="21" t="str">
        <f aca="false">IF($A762="","",IF(B762=0,"No COD orders",IF(B762&lt;Settings!$B$8,"Too few orders",IF(D762&gt;=Settings!$B$9,"Restrict COD or verify","Keep COD"))))</f>
        <v/>
      </c>
    </row>
    <row r="763" customFormat="false" ht="15" hidden="false" customHeight="false" outlineLevel="0" collapsed="false">
      <c r="A763" s="27"/>
      <c r="B763" s="17" t="str">
        <f aca="false">IF($A763="","",COUNTIFS(Orders!$C$2:$C$20001,$A763,Orders!$E$2:$E$20001,"COD",Orders!$F$2:$F$20001,"Delivered")+COUNTIFS(Orders!$C$2:$C$20001,$A763,Orders!$E$2:$E$20001,"COD",Orders!$F$2:$F$20001,"RTO"))</f>
        <v/>
      </c>
      <c r="C763" s="17" t="str">
        <f aca="false">IF($A763="","",COUNTIFS(Orders!$C$2:$C$20001,$A763,Orders!$E$2:$E$20001,"COD",Orders!$F$2:$F$20001,"RTO"))</f>
        <v/>
      </c>
      <c r="D763" s="18" t="str">
        <f aca="false">IF($A763="","",IFERROR(C763/B763,0))</f>
        <v/>
      </c>
      <c r="E763" s="17" t="str">
        <f aca="false">IF($A763="","",COUNTIFS(Orders!$C$2:$C$20001,$A763,Orders!$E$2:$E$20001,"Prepaid",Orders!$F$2:$F$20001,"Delivered")+COUNTIFS(Orders!$C$2:$C$20001,$A763,Orders!$E$2:$E$20001,"Prepaid",Orders!$F$2:$F$20001,"RTO"))</f>
        <v/>
      </c>
      <c r="F763" s="17" t="str">
        <f aca="false">IF($A763="","",COUNTIFS(Orders!$C$2:$C$20001,$A763,Orders!$E$2:$E$20001,"Prepaid",Orders!$F$2:$F$20001,"RTO"))</f>
        <v/>
      </c>
      <c r="G763" s="18" t="str">
        <f aca="false">IF($A763="","",IFERROR(F763/E763,0))</f>
        <v/>
      </c>
      <c r="H763" s="19" t="str">
        <f aca="false">IF($A763="","",C763*Settings!$B$11)</f>
        <v/>
      </c>
      <c r="I763" s="20" t="str">
        <f aca="false">IF($A763="","",IF(N(H763)=0,"",RANK(H763,$H$5:$H$2004)))</f>
        <v/>
      </c>
      <c r="J763" s="21" t="str">
        <f aca="false">IF($A763="","",IF(B763=0,"No COD orders",IF(B763&lt;Settings!$B$8,"Too few orders",IF(D763&gt;=Settings!$B$9,"Restrict COD or verify","Keep COD"))))</f>
        <v/>
      </c>
    </row>
    <row r="764" customFormat="false" ht="15" hidden="false" customHeight="false" outlineLevel="0" collapsed="false">
      <c r="A764" s="27"/>
      <c r="B764" s="17" t="str">
        <f aca="false">IF($A764="","",COUNTIFS(Orders!$C$2:$C$20001,$A764,Orders!$E$2:$E$20001,"COD",Orders!$F$2:$F$20001,"Delivered")+COUNTIFS(Orders!$C$2:$C$20001,$A764,Orders!$E$2:$E$20001,"COD",Orders!$F$2:$F$20001,"RTO"))</f>
        <v/>
      </c>
      <c r="C764" s="17" t="str">
        <f aca="false">IF($A764="","",COUNTIFS(Orders!$C$2:$C$20001,$A764,Orders!$E$2:$E$20001,"COD",Orders!$F$2:$F$20001,"RTO"))</f>
        <v/>
      </c>
      <c r="D764" s="18" t="str">
        <f aca="false">IF($A764="","",IFERROR(C764/B764,0))</f>
        <v/>
      </c>
      <c r="E764" s="17" t="str">
        <f aca="false">IF($A764="","",COUNTIFS(Orders!$C$2:$C$20001,$A764,Orders!$E$2:$E$20001,"Prepaid",Orders!$F$2:$F$20001,"Delivered")+COUNTIFS(Orders!$C$2:$C$20001,$A764,Orders!$E$2:$E$20001,"Prepaid",Orders!$F$2:$F$20001,"RTO"))</f>
        <v/>
      </c>
      <c r="F764" s="17" t="str">
        <f aca="false">IF($A764="","",COUNTIFS(Orders!$C$2:$C$20001,$A764,Orders!$E$2:$E$20001,"Prepaid",Orders!$F$2:$F$20001,"RTO"))</f>
        <v/>
      </c>
      <c r="G764" s="18" t="str">
        <f aca="false">IF($A764="","",IFERROR(F764/E764,0))</f>
        <v/>
      </c>
      <c r="H764" s="19" t="str">
        <f aca="false">IF($A764="","",C764*Settings!$B$11)</f>
        <v/>
      </c>
      <c r="I764" s="20" t="str">
        <f aca="false">IF($A764="","",IF(N(H764)=0,"",RANK(H764,$H$5:$H$2004)))</f>
        <v/>
      </c>
      <c r="J764" s="21" t="str">
        <f aca="false">IF($A764="","",IF(B764=0,"No COD orders",IF(B764&lt;Settings!$B$8,"Too few orders",IF(D764&gt;=Settings!$B$9,"Restrict COD or verify","Keep COD"))))</f>
        <v/>
      </c>
    </row>
    <row r="765" customFormat="false" ht="15" hidden="false" customHeight="false" outlineLevel="0" collapsed="false">
      <c r="A765" s="27"/>
      <c r="B765" s="17" t="str">
        <f aca="false">IF($A765="","",COUNTIFS(Orders!$C$2:$C$20001,$A765,Orders!$E$2:$E$20001,"COD",Orders!$F$2:$F$20001,"Delivered")+COUNTIFS(Orders!$C$2:$C$20001,$A765,Orders!$E$2:$E$20001,"COD",Orders!$F$2:$F$20001,"RTO"))</f>
        <v/>
      </c>
      <c r="C765" s="17" t="str">
        <f aca="false">IF($A765="","",COUNTIFS(Orders!$C$2:$C$20001,$A765,Orders!$E$2:$E$20001,"COD",Orders!$F$2:$F$20001,"RTO"))</f>
        <v/>
      </c>
      <c r="D765" s="18" t="str">
        <f aca="false">IF($A765="","",IFERROR(C765/B765,0))</f>
        <v/>
      </c>
      <c r="E765" s="17" t="str">
        <f aca="false">IF($A765="","",COUNTIFS(Orders!$C$2:$C$20001,$A765,Orders!$E$2:$E$20001,"Prepaid",Orders!$F$2:$F$20001,"Delivered")+COUNTIFS(Orders!$C$2:$C$20001,$A765,Orders!$E$2:$E$20001,"Prepaid",Orders!$F$2:$F$20001,"RTO"))</f>
        <v/>
      </c>
      <c r="F765" s="17" t="str">
        <f aca="false">IF($A765="","",COUNTIFS(Orders!$C$2:$C$20001,$A765,Orders!$E$2:$E$20001,"Prepaid",Orders!$F$2:$F$20001,"RTO"))</f>
        <v/>
      </c>
      <c r="G765" s="18" t="str">
        <f aca="false">IF($A765="","",IFERROR(F765/E765,0))</f>
        <v/>
      </c>
      <c r="H765" s="19" t="str">
        <f aca="false">IF($A765="","",C765*Settings!$B$11)</f>
        <v/>
      </c>
      <c r="I765" s="20" t="str">
        <f aca="false">IF($A765="","",IF(N(H765)=0,"",RANK(H765,$H$5:$H$2004)))</f>
        <v/>
      </c>
      <c r="J765" s="21" t="str">
        <f aca="false">IF($A765="","",IF(B765=0,"No COD orders",IF(B765&lt;Settings!$B$8,"Too few orders",IF(D765&gt;=Settings!$B$9,"Restrict COD or verify","Keep COD"))))</f>
        <v/>
      </c>
    </row>
    <row r="766" customFormat="false" ht="15" hidden="false" customHeight="false" outlineLevel="0" collapsed="false">
      <c r="A766" s="27"/>
      <c r="B766" s="17" t="str">
        <f aca="false">IF($A766="","",COUNTIFS(Orders!$C$2:$C$20001,$A766,Orders!$E$2:$E$20001,"COD",Orders!$F$2:$F$20001,"Delivered")+COUNTIFS(Orders!$C$2:$C$20001,$A766,Orders!$E$2:$E$20001,"COD",Orders!$F$2:$F$20001,"RTO"))</f>
        <v/>
      </c>
      <c r="C766" s="17" t="str">
        <f aca="false">IF($A766="","",COUNTIFS(Orders!$C$2:$C$20001,$A766,Orders!$E$2:$E$20001,"COD",Orders!$F$2:$F$20001,"RTO"))</f>
        <v/>
      </c>
      <c r="D766" s="18" t="str">
        <f aca="false">IF($A766="","",IFERROR(C766/B766,0))</f>
        <v/>
      </c>
      <c r="E766" s="17" t="str">
        <f aca="false">IF($A766="","",COUNTIFS(Orders!$C$2:$C$20001,$A766,Orders!$E$2:$E$20001,"Prepaid",Orders!$F$2:$F$20001,"Delivered")+COUNTIFS(Orders!$C$2:$C$20001,$A766,Orders!$E$2:$E$20001,"Prepaid",Orders!$F$2:$F$20001,"RTO"))</f>
        <v/>
      </c>
      <c r="F766" s="17" t="str">
        <f aca="false">IF($A766="","",COUNTIFS(Orders!$C$2:$C$20001,$A766,Orders!$E$2:$E$20001,"Prepaid",Orders!$F$2:$F$20001,"RTO"))</f>
        <v/>
      </c>
      <c r="G766" s="18" t="str">
        <f aca="false">IF($A766="","",IFERROR(F766/E766,0))</f>
        <v/>
      </c>
      <c r="H766" s="19" t="str">
        <f aca="false">IF($A766="","",C766*Settings!$B$11)</f>
        <v/>
      </c>
      <c r="I766" s="20" t="str">
        <f aca="false">IF($A766="","",IF(N(H766)=0,"",RANK(H766,$H$5:$H$2004)))</f>
        <v/>
      </c>
      <c r="J766" s="21" t="str">
        <f aca="false">IF($A766="","",IF(B766=0,"No COD orders",IF(B766&lt;Settings!$B$8,"Too few orders",IF(D766&gt;=Settings!$B$9,"Restrict COD or verify","Keep COD"))))</f>
        <v/>
      </c>
    </row>
    <row r="767" customFormat="false" ht="15" hidden="false" customHeight="false" outlineLevel="0" collapsed="false">
      <c r="A767" s="27"/>
      <c r="B767" s="17" t="str">
        <f aca="false">IF($A767="","",COUNTIFS(Orders!$C$2:$C$20001,$A767,Orders!$E$2:$E$20001,"COD",Orders!$F$2:$F$20001,"Delivered")+COUNTIFS(Orders!$C$2:$C$20001,$A767,Orders!$E$2:$E$20001,"COD",Orders!$F$2:$F$20001,"RTO"))</f>
        <v/>
      </c>
      <c r="C767" s="17" t="str">
        <f aca="false">IF($A767="","",COUNTIFS(Orders!$C$2:$C$20001,$A767,Orders!$E$2:$E$20001,"COD",Orders!$F$2:$F$20001,"RTO"))</f>
        <v/>
      </c>
      <c r="D767" s="18" t="str">
        <f aca="false">IF($A767="","",IFERROR(C767/B767,0))</f>
        <v/>
      </c>
      <c r="E767" s="17" t="str">
        <f aca="false">IF($A767="","",COUNTIFS(Orders!$C$2:$C$20001,$A767,Orders!$E$2:$E$20001,"Prepaid",Orders!$F$2:$F$20001,"Delivered")+COUNTIFS(Orders!$C$2:$C$20001,$A767,Orders!$E$2:$E$20001,"Prepaid",Orders!$F$2:$F$20001,"RTO"))</f>
        <v/>
      </c>
      <c r="F767" s="17" t="str">
        <f aca="false">IF($A767="","",COUNTIFS(Orders!$C$2:$C$20001,$A767,Orders!$E$2:$E$20001,"Prepaid",Orders!$F$2:$F$20001,"RTO"))</f>
        <v/>
      </c>
      <c r="G767" s="18" t="str">
        <f aca="false">IF($A767="","",IFERROR(F767/E767,0))</f>
        <v/>
      </c>
      <c r="H767" s="19" t="str">
        <f aca="false">IF($A767="","",C767*Settings!$B$11)</f>
        <v/>
      </c>
      <c r="I767" s="20" t="str">
        <f aca="false">IF($A767="","",IF(N(H767)=0,"",RANK(H767,$H$5:$H$2004)))</f>
        <v/>
      </c>
      <c r="J767" s="21" t="str">
        <f aca="false">IF($A767="","",IF(B767=0,"No COD orders",IF(B767&lt;Settings!$B$8,"Too few orders",IF(D767&gt;=Settings!$B$9,"Restrict COD or verify","Keep COD"))))</f>
        <v/>
      </c>
    </row>
    <row r="768" customFormat="false" ht="15" hidden="false" customHeight="false" outlineLevel="0" collapsed="false">
      <c r="A768" s="27"/>
      <c r="B768" s="17" t="str">
        <f aca="false">IF($A768="","",COUNTIFS(Orders!$C$2:$C$20001,$A768,Orders!$E$2:$E$20001,"COD",Orders!$F$2:$F$20001,"Delivered")+COUNTIFS(Orders!$C$2:$C$20001,$A768,Orders!$E$2:$E$20001,"COD",Orders!$F$2:$F$20001,"RTO"))</f>
        <v/>
      </c>
      <c r="C768" s="17" t="str">
        <f aca="false">IF($A768="","",COUNTIFS(Orders!$C$2:$C$20001,$A768,Orders!$E$2:$E$20001,"COD",Orders!$F$2:$F$20001,"RTO"))</f>
        <v/>
      </c>
      <c r="D768" s="18" t="str">
        <f aca="false">IF($A768="","",IFERROR(C768/B768,0))</f>
        <v/>
      </c>
      <c r="E768" s="17" t="str">
        <f aca="false">IF($A768="","",COUNTIFS(Orders!$C$2:$C$20001,$A768,Orders!$E$2:$E$20001,"Prepaid",Orders!$F$2:$F$20001,"Delivered")+COUNTIFS(Orders!$C$2:$C$20001,$A768,Orders!$E$2:$E$20001,"Prepaid",Orders!$F$2:$F$20001,"RTO"))</f>
        <v/>
      </c>
      <c r="F768" s="17" t="str">
        <f aca="false">IF($A768="","",COUNTIFS(Orders!$C$2:$C$20001,$A768,Orders!$E$2:$E$20001,"Prepaid",Orders!$F$2:$F$20001,"RTO"))</f>
        <v/>
      </c>
      <c r="G768" s="18" t="str">
        <f aca="false">IF($A768="","",IFERROR(F768/E768,0))</f>
        <v/>
      </c>
      <c r="H768" s="19" t="str">
        <f aca="false">IF($A768="","",C768*Settings!$B$11)</f>
        <v/>
      </c>
      <c r="I768" s="20" t="str">
        <f aca="false">IF($A768="","",IF(N(H768)=0,"",RANK(H768,$H$5:$H$2004)))</f>
        <v/>
      </c>
      <c r="J768" s="21" t="str">
        <f aca="false">IF($A768="","",IF(B768=0,"No COD orders",IF(B768&lt;Settings!$B$8,"Too few orders",IF(D768&gt;=Settings!$B$9,"Restrict COD or verify","Keep COD"))))</f>
        <v/>
      </c>
    </row>
    <row r="769" customFormat="false" ht="15" hidden="false" customHeight="false" outlineLevel="0" collapsed="false">
      <c r="A769" s="27"/>
      <c r="B769" s="17" t="str">
        <f aca="false">IF($A769="","",COUNTIFS(Orders!$C$2:$C$20001,$A769,Orders!$E$2:$E$20001,"COD",Orders!$F$2:$F$20001,"Delivered")+COUNTIFS(Orders!$C$2:$C$20001,$A769,Orders!$E$2:$E$20001,"COD",Orders!$F$2:$F$20001,"RTO"))</f>
        <v/>
      </c>
      <c r="C769" s="17" t="str">
        <f aca="false">IF($A769="","",COUNTIFS(Orders!$C$2:$C$20001,$A769,Orders!$E$2:$E$20001,"COD",Orders!$F$2:$F$20001,"RTO"))</f>
        <v/>
      </c>
      <c r="D769" s="18" t="str">
        <f aca="false">IF($A769="","",IFERROR(C769/B769,0))</f>
        <v/>
      </c>
      <c r="E769" s="17" t="str">
        <f aca="false">IF($A769="","",COUNTIFS(Orders!$C$2:$C$20001,$A769,Orders!$E$2:$E$20001,"Prepaid",Orders!$F$2:$F$20001,"Delivered")+COUNTIFS(Orders!$C$2:$C$20001,$A769,Orders!$E$2:$E$20001,"Prepaid",Orders!$F$2:$F$20001,"RTO"))</f>
        <v/>
      </c>
      <c r="F769" s="17" t="str">
        <f aca="false">IF($A769="","",COUNTIFS(Orders!$C$2:$C$20001,$A769,Orders!$E$2:$E$20001,"Prepaid",Orders!$F$2:$F$20001,"RTO"))</f>
        <v/>
      </c>
      <c r="G769" s="18" t="str">
        <f aca="false">IF($A769="","",IFERROR(F769/E769,0))</f>
        <v/>
      </c>
      <c r="H769" s="19" t="str">
        <f aca="false">IF($A769="","",C769*Settings!$B$11)</f>
        <v/>
      </c>
      <c r="I769" s="20" t="str">
        <f aca="false">IF($A769="","",IF(N(H769)=0,"",RANK(H769,$H$5:$H$2004)))</f>
        <v/>
      </c>
      <c r="J769" s="21" t="str">
        <f aca="false">IF($A769="","",IF(B769=0,"No COD orders",IF(B769&lt;Settings!$B$8,"Too few orders",IF(D769&gt;=Settings!$B$9,"Restrict COD or verify","Keep COD"))))</f>
        <v/>
      </c>
    </row>
    <row r="770" customFormat="false" ht="15" hidden="false" customHeight="false" outlineLevel="0" collapsed="false">
      <c r="A770" s="27"/>
      <c r="B770" s="17" t="str">
        <f aca="false">IF($A770="","",COUNTIFS(Orders!$C$2:$C$20001,$A770,Orders!$E$2:$E$20001,"COD",Orders!$F$2:$F$20001,"Delivered")+COUNTIFS(Orders!$C$2:$C$20001,$A770,Orders!$E$2:$E$20001,"COD",Orders!$F$2:$F$20001,"RTO"))</f>
        <v/>
      </c>
      <c r="C770" s="17" t="str">
        <f aca="false">IF($A770="","",COUNTIFS(Orders!$C$2:$C$20001,$A770,Orders!$E$2:$E$20001,"COD",Orders!$F$2:$F$20001,"RTO"))</f>
        <v/>
      </c>
      <c r="D770" s="18" t="str">
        <f aca="false">IF($A770="","",IFERROR(C770/B770,0))</f>
        <v/>
      </c>
      <c r="E770" s="17" t="str">
        <f aca="false">IF($A770="","",COUNTIFS(Orders!$C$2:$C$20001,$A770,Orders!$E$2:$E$20001,"Prepaid",Orders!$F$2:$F$20001,"Delivered")+COUNTIFS(Orders!$C$2:$C$20001,$A770,Orders!$E$2:$E$20001,"Prepaid",Orders!$F$2:$F$20001,"RTO"))</f>
        <v/>
      </c>
      <c r="F770" s="17" t="str">
        <f aca="false">IF($A770="","",COUNTIFS(Orders!$C$2:$C$20001,$A770,Orders!$E$2:$E$20001,"Prepaid",Orders!$F$2:$F$20001,"RTO"))</f>
        <v/>
      </c>
      <c r="G770" s="18" t="str">
        <f aca="false">IF($A770="","",IFERROR(F770/E770,0))</f>
        <v/>
      </c>
      <c r="H770" s="19" t="str">
        <f aca="false">IF($A770="","",C770*Settings!$B$11)</f>
        <v/>
      </c>
      <c r="I770" s="20" t="str">
        <f aca="false">IF($A770="","",IF(N(H770)=0,"",RANK(H770,$H$5:$H$2004)))</f>
        <v/>
      </c>
      <c r="J770" s="21" t="str">
        <f aca="false">IF($A770="","",IF(B770=0,"No COD orders",IF(B770&lt;Settings!$B$8,"Too few orders",IF(D770&gt;=Settings!$B$9,"Restrict COD or verify","Keep COD"))))</f>
        <v/>
      </c>
    </row>
    <row r="771" customFormat="false" ht="15" hidden="false" customHeight="false" outlineLevel="0" collapsed="false">
      <c r="A771" s="27"/>
      <c r="B771" s="17" t="str">
        <f aca="false">IF($A771="","",COUNTIFS(Orders!$C$2:$C$20001,$A771,Orders!$E$2:$E$20001,"COD",Orders!$F$2:$F$20001,"Delivered")+COUNTIFS(Orders!$C$2:$C$20001,$A771,Orders!$E$2:$E$20001,"COD",Orders!$F$2:$F$20001,"RTO"))</f>
        <v/>
      </c>
      <c r="C771" s="17" t="str">
        <f aca="false">IF($A771="","",COUNTIFS(Orders!$C$2:$C$20001,$A771,Orders!$E$2:$E$20001,"COD",Orders!$F$2:$F$20001,"RTO"))</f>
        <v/>
      </c>
      <c r="D771" s="18" t="str">
        <f aca="false">IF($A771="","",IFERROR(C771/B771,0))</f>
        <v/>
      </c>
      <c r="E771" s="17" t="str">
        <f aca="false">IF($A771="","",COUNTIFS(Orders!$C$2:$C$20001,$A771,Orders!$E$2:$E$20001,"Prepaid",Orders!$F$2:$F$20001,"Delivered")+COUNTIFS(Orders!$C$2:$C$20001,$A771,Orders!$E$2:$E$20001,"Prepaid",Orders!$F$2:$F$20001,"RTO"))</f>
        <v/>
      </c>
      <c r="F771" s="17" t="str">
        <f aca="false">IF($A771="","",COUNTIFS(Orders!$C$2:$C$20001,$A771,Orders!$E$2:$E$20001,"Prepaid",Orders!$F$2:$F$20001,"RTO"))</f>
        <v/>
      </c>
      <c r="G771" s="18" t="str">
        <f aca="false">IF($A771="","",IFERROR(F771/E771,0))</f>
        <v/>
      </c>
      <c r="H771" s="19" t="str">
        <f aca="false">IF($A771="","",C771*Settings!$B$11)</f>
        <v/>
      </c>
      <c r="I771" s="20" t="str">
        <f aca="false">IF($A771="","",IF(N(H771)=0,"",RANK(H771,$H$5:$H$2004)))</f>
        <v/>
      </c>
      <c r="J771" s="21" t="str">
        <f aca="false">IF($A771="","",IF(B771=0,"No COD orders",IF(B771&lt;Settings!$B$8,"Too few orders",IF(D771&gt;=Settings!$B$9,"Restrict COD or verify","Keep COD"))))</f>
        <v/>
      </c>
    </row>
    <row r="772" customFormat="false" ht="15" hidden="false" customHeight="false" outlineLevel="0" collapsed="false">
      <c r="A772" s="27"/>
      <c r="B772" s="17" t="str">
        <f aca="false">IF($A772="","",COUNTIFS(Orders!$C$2:$C$20001,$A772,Orders!$E$2:$E$20001,"COD",Orders!$F$2:$F$20001,"Delivered")+COUNTIFS(Orders!$C$2:$C$20001,$A772,Orders!$E$2:$E$20001,"COD",Orders!$F$2:$F$20001,"RTO"))</f>
        <v/>
      </c>
      <c r="C772" s="17" t="str">
        <f aca="false">IF($A772="","",COUNTIFS(Orders!$C$2:$C$20001,$A772,Orders!$E$2:$E$20001,"COD",Orders!$F$2:$F$20001,"RTO"))</f>
        <v/>
      </c>
      <c r="D772" s="18" t="str">
        <f aca="false">IF($A772="","",IFERROR(C772/B772,0))</f>
        <v/>
      </c>
      <c r="E772" s="17" t="str">
        <f aca="false">IF($A772="","",COUNTIFS(Orders!$C$2:$C$20001,$A772,Orders!$E$2:$E$20001,"Prepaid",Orders!$F$2:$F$20001,"Delivered")+COUNTIFS(Orders!$C$2:$C$20001,$A772,Orders!$E$2:$E$20001,"Prepaid",Orders!$F$2:$F$20001,"RTO"))</f>
        <v/>
      </c>
      <c r="F772" s="17" t="str">
        <f aca="false">IF($A772="","",COUNTIFS(Orders!$C$2:$C$20001,$A772,Orders!$E$2:$E$20001,"Prepaid",Orders!$F$2:$F$20001,"RTO"))</f>
        <v/>
      </c>
      <c r="G772" s="18" t="str">
        <f aca="false">IF($A772="","",IFERROR(F772/E772,0))</f>
        <v/>
      </c>
      <c r="H772" s="19" t="str">
        <f aca="false">IF($A772="","",C772*Settings!$B$11)</f>
        <v/>
      </c>
      <c r="I772" s="20" t="str">
        <f aca="false">IF($A772="","",IF(N(H772)=0,"",RANK(H772,$H$5:$H$2004)))</f>
        <v/>
      </c>
      <c r="J772" s="21" t="str">
        <f aca="false">IF($A772="","",IF(B772=0,"No COD orders",IF(B772&lt;Settings!$B$8,"Too few orders",IF(D772&gt;=Settings!$B$9,"Restrict COD or verify","Keep COD"))))</f>
        <v/>
      </c>
    </row>
    <row r="773" customFormat="false" ht="15" hidden="false" customHeight="false" outlineLevel="0" collapsed="false">
      <c r="A773" s="27"/>
      <c r="B773" s="17" t="str">
        <f aca="false">IF($A773="","",COUNTIFS(Orders!$C$2:$C$20001,$A773,Orders!$E$2:$E$20001,"COD",Orders!$F$2:$F$20001,"Delivered")+COUNTIFS(Orders!$C$2:$C$20001,$A773,Orders!$E$2:$E$20001,"COD",Orders!$F$2:$F$20001,"RTO"))</f>
        <v/>
      </c>
      <c r="C773" s="17" t="str">
        <f aca="false">IF($A773="","",COUNTIFS(Orders!$C$2:$C$20001,$A773,Orders!$E$2:$E$20001,"COD",Orders!$F$2:$F$20001,"RTO"))</f>
        <v/>
      </c>
      <c r="D773" s="18" t="str">
        <f aca="false">IF($A773="","",IFERROR(C773/B773,0))</f>
        <v/>
      </c>
      <c r="E773" s="17" t="str">
        <f aca="false">IF($A773="","",COUNTIFS(Orders!$C$2:$C$20001,$A773,Orders!$E$2:$E$20001,"Prepaid",Orders!$F$2:$F$20001,"Delivered")+COUNTIFS(Orders!$C$2:$C$20001,$A773,Orders!$E$2:$E$20001,"Prepaid",Orders!$F$2:$F$20001,"RTO"))</f>
        <v/>
      </c>
      <c r="F773" s="17" t="str">
        <f aca="false">IF($A773="","",COUNTIFS(Orders!$C$2:$C$20001,$A773,Orders!$E$2:$E$20001,"Prepaid",Orders!$F$2:$F$20001,"RTO"))</f>
        <v/>
      </c>
      <c r="G773" s="18" t="str">
        <f aca="false">IF($A773="","",IFERROR(F773/E773,0))</f>
        <v/>
      </c>
      <c r="H773" s="19" t="str">
        <f aca="false">IF($A773="","",C773*Settings!$B$11)</f>
        <v/>
      </c>
      <c r="I773" s="20" t="str">
        <f aca="false">IF($A773="","",IF(N(H773)=0,"",RANK(H773,$H$5:$H$2004)))</f>
        <v/>
      </c>
      <c r="J773" s="21" t="str">
        <f aca="false">IF($A773="","",IF(B773=0,"No COD orders",IF(B773&lt;Settings!$B$8,"Too few orders",IF(D773&gt;=Settings!$B$9,"Restrict COD or verify","Keep COD"))))</f>
        <v/>
      </c>
    </row>
    <row r="774" customFormat="false" ht="15" hidden="false" customHeight="false" outlineLevel="0" collapsed="false">
      <c r="A774" s="27"/>
      <c r="B774" s="17" t="str">
        <f aca="false">IF($A774="","",COUNTIFS(Orders!$C$2:$C$20001,$A774,Orders!$E$2:$E$20001,"COD",Orders!$F$2:$F$20001,"Delivered")+COUNTIFS(Orders!$C$2:$C$20001,$A774,Orders!$E$2:$E$20001,"COD",Orders!$F$2:$F$20001,"RTO"))</f>
        <v/>
      </c>
      <c r="C774" s="17" t="str">
        <f aca="false">IF($A774="","",COUNTIFS(Orders!$C$2:$C$20001,$A774,Orders!$E$2:$E$20001,"COD",Orders!$F$2:$F$20001,"RTO"))</f>
        <v/>
      </c>
      <c r="D774" s="18" t="str">
        <f aca="false">IF($A774="","",IFERROR(C774/B774,0))</f>
        <v/>
      </c>
      <c r="E774" s="17" t="str">
        <f aca="false">IF($A774="","",COUNTIFS(Orders!$C$2:$C$20001,$A774,Orders!$E$2:$E$20001,"Prepaid",Orders!$F$2:$F$20001,"Delivered")+COUNTIFS(Orders!$C$2:$C$20001,$A774,Orders!$E$2:$E$20001,"Prepaid",Orders!$F$2:$F$20001,"RTO"))</f>
        <v/>
      </c>
      <c r="F774" s="17" t="str">
        <f aca="false">IF($A774="","",COUNTIFS(Orders!$C$2:$C$20001,$A774,Orders!$E$2:$E$20001,"Prepaid",Orders!$F$2:$F$20001,"RTO"))</f>
        <v/>
      </c>
      <c r="G774" s="18" t="str">
        <f aca="false">IF($A774="","",IFERROR(F774/E774,0))</f>
        <v/>
      </c>
      <c r="H774" s="19" t="str">
        <f aca="false">IF($A774="","",C774*Settings!$B$11)</f>
        <v/>
      </c>
      <c r="I774" s="20" t="str">
        <f aca="false">IF($A774="","",IF(N(H774)=0,"",RANK(H774,$H$5:$H$2004)))</f>
        <v/>
      </c>
      <c r="J774" s="21" t="str">
        <f aca="false">IF($A774="","",IF(B774=0,"No COD orders",IF(B774&lt;Settings!$B$8,"Too few orders",IF(D774&gt;=Settings!$B$9,"Restrict COD or verify","Keep COD"))))</f>
        <v/>
      </c>
    </row>
    <row r="775" customFormat="false" ht="15" hidden="false" customHeight="false" outlineLevel="0" collapsed="false">
      <c r="A775" s="27"/>
      <c r="B775" s="17" t="str">
        <f aca="false">IF($A775="","",COUNTIFS(Orders!$C$2:$C$20001,$A775,Orders!$E$2:$E$20001,"COD",Orders!$F$2:$F$20001,"Delivered")+COUNTIFS(Orders!$C$2:$C$20001,$A775,Orders!$E$2:$E$20001,"COD",Orders!$F$2:$F$20001,"RTO"))</f>
        <v/>
      </c>
      <c r="C775" s="17" t="str">
        <f aca="false">IF($A775="","",COUNTIFS(Orders!$C$2:$C$20001,$A775,Orders!$E$2:$E$20001,"COD",Orders!$F$2:$F$20001,"RTO"))</f>
        <v/>
      </c>
      <c r="D775" s="18" t="str">
        <f aca="false">IF($A775="","",IFERROR(C775/B775,0))</f>
        <v/>
      </c>
      <c r="E775" s="17" t="str">
        <f aca="false">IF($A775="","",COUNTIFS(Orders!$C$2:$C$20001,$A775,Orders!$E$2:$E$20001,"Prepaid",Orders!$F$2:$F$20001,"Delivered")+COUNTIFS(Orders!$C$2:$C$20001,$A775,Orders!$E$2:$E$20001,"Prepaid",Orders!$F$2:$F$20001,"RTO"))</f>
        <v/>
      </c>
      <c r="F775" s="17" t="str">
        <f aca="false">IF($A775="","",COUNTIFS(Orders!$C$2:$C$20001,$A775,Orders!$E$2:$E$20001,"Prepaid",Orders!$F$2:$F$20001,"RTO"))</f>
        <v/>
      </c>
      <c r="G775" s="18" t="str">
        <f aca="false">IF($A775="","",IFERROR(F775/E775,0))</f>
        <v/>
      </c>
      <c r="H775" s="19" t="str">
        <f aca="false">IF($A775="","",C775*Settings!$B$11)</f>
        <v/>
      </c>
      <c r="I775" s="20" t="str">
        <f aca="false">IF($A775="","",IF(N(H775)=0,"",RANK(H775,$H$5:$H$2004)))</f>
        <v/>
      </c>
      <c r="J775" s="21" t="str">
        <f aca="false">IF($A775="","",IF(B775=0,"No COD orders",IF(B775&lt;Settings!$B$8,"Too few orders",IF(D775&gt;=Settings!$B$9,"Restrict COD or verify","Keep COD"))))</f>
        <v/>
      </c>
    </row>
    <row r="776" customFormat="false" ht="15" hidden="false" customHeight="false" outlineLevel="0" collapsed="false">
      <c r="A776" s="27"/>
      <c r="B776" s="17" t="str">
        <f aca="false">IF($A776="","",COUNTIFS(Orders!$C$2:$C$20001,$A776,Orders!$E$2:$E$20001,"COD",Orders!$F$2:$F$20001,"Delivered")+COUNTIFS(Orders!$C$2:$C$20001,$A776,Orders!$E$2:$E$20001,"COD",Orders!$F$2:$F$20001,"RTO"))</f>
        <v/>
      </c>
      <c r="C776" s="17" t="str">
        <f aca="false">IF($A776="","",COUNTIFS(Orders!$C$2:$C$20001,$A776,Orders!$E$2:$E$20001,"COD",Orders!$F$2:$F$20001,"RTO"))</f>
        <v/>
      </c>
      <c r="D776" s="18" t="str">
        <f aca="false">IF($A776="","",IFERROR(C776/B776,0))</f>
        <v/>
      </c>
      <c r="E776" s="17" t="str">
        <f aca="false">IF($A776="","",COUNTIFS(Orders!$C$2:$C$20001,$A776,Orders!$E$2:$E$20001,"Prepaid",Orders!$F$2:$F$20001,"Delivered")+COUNTIFS(Orders!$C$2:$C$20001,$A776,Orders!$E$2:$E$20001,"Prepaid",Orders!$F$2:$F$20001,"RTO"))</f>
        <v/>
      </c>
      <c r="F776" s="17" t="str">
        <f aca="false">IF($A776="","",COUNTIFS(Orders!$C$2:$C$20001,$A776,Orders!$E$2:$E$20001,"Prepaid",Orders!$F$2:$F$20001,"RTO"))</f>
        <v/>
      </c>
      <c r="G776" s="18" t="str">
        <f aca="false">IF($A776="","",IFERROR(F776/E776,0))</f>
        <v/>
      </c>
      <c r="H776" s="19" t="str">
        <f aca="false">IF($A776="","",C776*Settings!$B$11)</f>
        <v/>
      </c>
      <c r="I776" s="20" t="str">
        <f aca="false">IF($A776="","",IF(N(H776)=0,"",RANK(H776,$H$5:$H$2004)))</f>
        <v/>
      </c>
      <c r="J776" s="21" t="str">
        <f aca="false">IF($A776="","",IF(B776=0,"No COD orders",IF(B776&lt;Settings!$B$8,"Too few orders",IF(D776&gt;=Settings!$B$9,"Restrict COD or verify","Keep COD"))))</f>
        <v/>
      </c>
    </row>
    <row r="777" customFormat="false" ht="15" hidden="false" customHeight="false" outlineLevel="0" collapsed="false">
      <c r="A777" s="27"/>
      <c r="B777" s="17" t="str">
        <f aca="false">IF($A777="","",COUNTIFS(Orders!$C$2:$C$20001,$A777,Orders!$E$2:$E$20001,"COD",Orders!$F$2:$F$20001,"Delivered")+COUNTIFS(Orders!$C$2:$C$20001,$A777,Orders!$E$2:$E$20001,"COD",Orders!$F$2:$F$20001,"RTO"))</f>
        <v/>
      </c>
      <c r="C777" s="17" t="str">
        <f aca="false">IF($A777="","",COUNTIFS(Orders!$C$2:$C$20001,$A777,Orders!$E$2:$E$20001,"COD",Orders!$F$2:$F$20001,"RTO"))</f>
        <v/>
      </c>
      <c r="D777" s="18" t="str">
        <f aca="false">IF($A777="","",IFERROR(C777/B777,0))</f>
        <v/>
      </c>
      <c r="E777" s="17" t="str">
        <f aca="false">IF($A777="","",COUNTIFS(Orders!$C$2:$C$20001,$A777,Orders!$E$2:$E$20001,"Prepaid",Orders!$F$2:$F$20001,"Delivered")+COUNTIFS(Orders!$C$2:$C$20001,$A777,Orders!$E$2:$E$20001,"Prepaid",Orders!$F$2:$F$20001,"RTO"))</f>
        <v/>
      </c>
      <c r="F777" s="17" t="str">
        <f aca="false">IF($A777="","",COUNTIFS(Orders!$C$2:$C$20001,$A777,Orders!$E$2:$E$20001,"Prepaid",Orders!$F$2:$F$20001,"RTO"))</f>
        <v/>
      </c>
      <c r="G777" s="18" t="str">
        <f aca="false">IF($A777="","",IFERROR(F777/E777,0))</f>
        <v/>
      </c>
      <c r="H777" s="19" t="str">
        <f aca="false">IF($A777="","",C777*Settings!$B$11)</f>
        <v/>
      </c>
      <c r="I777" s="20" t="str">
        <f aca="false">IF($A777="","",IF(N(H777)=0,"",RANK(H777,$H$5:$H$2004)))</f>
        <v/>
      </c>
      <c r="J777" s="21" t="str">
        <f aca="false">IF($A777="","",IF(B777=0,"No COD orders",IF(B777&lt;Settings!$B$8,"Too few orders",IF(D777&gt;=Settings!$B$9,"Restrict COD or verify","Keep COD"))))</f>
        <v/>
      </c>
    </row>
    <row r="778" customFormat="false" ht="15" hidden="false" customHeight="false" outlineLevel="0" collapsed="false">
      <c r="A778" s="27"/>
      <c r="B778" s="17" t="str">
        <f aca="false">IF($A778="","",COUNTIFS(Orders!$C$2:$C$20001,$A778,Orders!$E$2:$E$20001,"COD",Orders!$F$2:$F$20001,"Delivered")+COUNTIFS(Orders!$C$2:$C$20001,$A778,Orders!$E$2:$E$20001,"COD",Orders!$F$2:$F$20001,"RTO"))</f>
        <v/>
      </c>
      <c r="C778" s="17" t="str">
        <f aca="false">IF($A778="","",COUNTIFS(Orders!$C$2:$C$20001,$A778,Orders!$E$2:$E$20001,"COD",Orders!$F$2:$F$20001,"RTO"))</f>
        <v/>
      </c>
      <c r="D778" s="18" t="str">
        <f aca="false">IF($A778="","",IFERROR(C778/B778,0))</f>
        <v/>
      </c>
      <c r="E778" s="17" t="str">
        <f aca="false">IF($A778="","",COUNTIFS(Orders!$C$2:$C$20001,$A778,Orders!$E$2:$E$20001,"Prepaid",Orders!$F$2:$F$20001,"Delivered")+COUNTIFS(Orders!$C$2:$C$20001,$A778,Orders!$E$2:$E$20001,"Prepaid",Orders!$F$2:$F$20001,"RTO"))</f>
        <v/>
      </c>
      <c r="F778" s="17" t="str">
        <f aca="false">IF($A778="","",COUNTIFS(Orders!$C$2:$C$20001,$A778,Orders!$E$2:$E$20001,"Prepaid",Orders!$F$2:$F$20001,"RTO"))</f>
        <v/>
      </c>
      <c r="G778" s="18" t="str">
        <f aca="false">IF($A778="","",IFERROR(F778/E778,0))</f>
        <v/>
      </c>
      <c r="H778" s="19" t="str">
        <f aca="false">IF($A778="","",C778*Settings!$B$11)</f>
        <v/>
      </c>
      <c r="I778" s="20" t="str">
        <f aca="false">IF($A778="","",IF(N(H778)=0,"",RANK(H778,$H$5:$H$2004)))</f>
        <v/>
      </c>
      <c r="J778" s="21" t="str">
        <f aca="false">IF($A778="","",IF(B778=0,"No COD orders",IF(B778&lt;Settings!$B$8,"Too few orders",IF(D778&gt;=Settings!$B$9,"Restrict COD or verify","Keep COD"))))</f>
        <v/>
      </c>
    </row>
    <row r="779" customFormat="false" ht="15" hidden="false" customHeight="false" outlineLevel="0" collapsed="false">
      <c r="A779" s="27"/>
      <c r="B779" s="17" t="str">
        <f aca="false">IF($A779="","",COUNTIFS(Orders!$C$2:$C$20001,$A779,Orders!$E$2:$E$20001,"COD",Orders!$F$2:$F$20001,"Delivered")+COUNTIFS(Orders!$C$2:$C$20001,$A779,Orders!$E$2:$E$20001,"COD",Orders!$F$2:$F$20001,"RTO"))</f>
        <v/>
      </c>
      <c r="C779" s="17" t="str">
        <f aca="false">IF($A779="","",COUNTIFS(Orders!$C$2:$C$20001,$A779,Orders!$E$2:$E$20001,"COD",Orders!$F$2:$F$20001,"RTO"))</f>
        <v/>
      </c>
      <c r="D779" s="18" t="str">
        <f aca="false">IF($A779="","",IFERROR(C779/B779,0))</f>
        <v/>
      </c>
      <c r="E779" s="17" t="str">
        <f aca="false">IF($A779="","",COUNTIFS(Orders!$C$2:$C$20001,$A779,Orders!$E$2:$E$20001,"Prepaid",Orders!$F$2:$F$20001,"Delivered")+COUNTIFS(Orders!$C$2:$C$20001,$A779,Orders!$E$2:$E$20001,"Prepaid",Orders!$F$2:$F$20001,"RTO"))</f>
        <v/>
      </c>
      <c r="F779" s="17" t="str">
        <f aca="false">IF($A779="","",COUNTIFS(Orders!$C$2:$C$20001,$A779,Orders!$E$2:$E$20001,"Prepaid",Orders!$F$2:$F$20001,"RTO"))</f>
        <v/>
      </c>
      <c r="G779" s="18" t="str">
        <f aca="false">IF($A779="","",IFERROR(F779/E779,0))</f>
        <v/>
      </c>
      <c r="H779" s="19" t="str">
        <f aca="false">IF($A779="","",C779*Settings!$B$11)</f>
        <v/>
      </c>
      <c r="I779" s="20" t="str">
        <f aca="false">IF($A779="","",IF(N(H779)=0,"",RANK(H779,$H$5:$H$2004)))</f>
        <v/>
      </c>
      <c r="J779" s="21" t="str">
        <f aca="false">IF($A779="","",IF(B779=0,"No COD orders",IF(B779&lt;Settings!$B$8,"Too few orders",IF(D779&gt;=Settings!$B$9,"Restrict COD or verify","Keep COD"))))</f>
        <v/>
      </c>
    </row>
    <row r="780" customFormat="false" ht="15" hidden="false" customHeight="false" outlineLevel="0" collapsed="false">
      <c r="A780" s="27"/>
      <c r="B780" s="17" t="str">
        <f aca="false">IF($A780="","",COUNTIFS(Orders!$C$2:$C$20001,$A780,Orders!$E$2:$E$20001,"COD",Orders!$F$2:$F$20001,"Delivered")+COUNTIFS(Orders!$C$2:$C$20001,$A780,Orders!$E$2:$E$20001,"COD",Orders!$F$2:$F$20001,"RTO"))</f>
        <v/>
      </c>
      <c r="C780" s="17" t="str">
        <f aca="false">IF($A780="","",COUNTIFS(Orders!$C$2:$C$20001,$A780,Orders!$E$2:$E$20001,"COD",Orders!$F$2:$F$20001,"RTO"))</f>
        <v/>
      </c>
      <c r="D780" s="18" t="str">
        <f aca="false">IF($A780="","",IFERROR(C780/B780,0))</f>
        <v/>
      </c>
      <c r="E780" s="17" t="str">
        <f aca="false">IF($A780="","",COUNTIFS(Orders!$C$2:$C$20001,$A780,Orders!$E$2:$E$20001,"Prepaid",Orders!$F$2:$F$20001,"Delivered")+COUNTIFS(Orders!$C$2:$C$20001,$A780,Orders!$E$2:$E$20001,"Prepaid",Orders!$F$2:$F$20001,"RTO"))</f>
        <v/>
      </c>
      <c r="F780" s="17" t="str">
        <f aca="false">IF($A780="","",COUNTIFS(Orders!$C$2:$C$20001,$A780,Orders!$E$2:$E$20001,"Prepaid",Orders!$F$2:$F$20001,"RTO"))</f>
        <v/>
      </c>
      <c r="G780" s="18" t="str">
        <f aca="false">IF($A780="","",IFERROR(F780/E780,0))</f>
        <v/>
      </c>
      <c r="H780" s="19" t="str">
        <f aca="false">IF($A780="","",C780*Settings!$B$11)</f>
        <v/>
      </c>
      <c r="I780" s="20" t="str">
        <f aca="false">IF($A780="","",IF(N(H780)=0,"",RANK(H780,$H$5:$H$2004)))</f>
        <v/>
      </c>
      <c r="J780" s="21" t="str">
        <f aca="false">IF($A780="","",IF(B780=0,"No COD orders",IF(B780&lt;Settings!$B$8,"Too few orders",IF(D780&gt;=Settings!$B$9,"Restrict COD or verify","Keep COD"))))</f>
        <v/>
      </c>
    </row>
    <row r="781" customFormat="false" ht="15" hidden="false" customHeight="false" outlineLevel="0" collapsed="false">
      <c r="A781" s="27"/>
      <c r="B781" s="17" t="str">
        <f aca="false">IF($A781="","",COUNTIFS(Orders!$C$2:$C$20001,$A781,Orders!$E$2:$E$20001,"COD",Orders!$F$2:$F$20001,"Delivered")+COUNTIFS(Orders!$C$2:$C$20001,$A781,Orders!$E$2:$E$20001,"COD",Orders!$F$2:$F$20001,"RTO"))</f>
        <v/>
      </c>
      <c r="C781" s="17" t="str">
        <f aca="false">IF($A781="","",COUNTIFS(Orders!$C$2:$C$20001,$A781,Orders!$E$2:$E$20001,"COD",Orders!$F$2:$F$20001,"RTO"))</f>
        <v/>
      </c>
      <c r="D781" s="18" t="str">
        <f aca="false">IF($A781="","",IFERROR(C781/B781,0))</f>
        <v/>
      </c>
      <c r="E781" s="17" t="str">
        <f aca="false">IF($A781="","",COUNTIFS(Orders!$C$2:$C$20001,$A781,Orders!$E$2:$E$20001,"Prepaid",Orders!$F$2:$F$20001,"Delivered")+COUNTIFS(Orders!$C$2:$C$20001,$A781,Orders!$E$2:$E$20001,"Prepaid",Orders!$F$2:$F$20001,"RTO"))</f>
        <v/>
      </c>
      <c r="F781" s="17" t="str">
        <f aca="false">IF($A781="","",COUNTIFS(Orders!$C$2:$C$20001,$A781,Orders!$E$2:$E$20001,"Prepaid",Orders!$F$2:$F$20001,"RTO"))</f>
        <v/>
      </c>
      <c r="G781" s="18" t="str">
        <f aca="false">IF($A781="","",IFERROR(F781/E781,0))</f>
        <v/>
      </c>
      <c r="H781" s="19" t="str">
        <f aca="false">IF($A781="","",C781*Settings!$B$11)</f>
        <v/>
      </c>
      <c r="I781" s="20" t="str">
        <f aca="false">IF($A781="","",IF(N(H781)=0,"",RANK(H781,$H$5:$H$2004)))</f>
        <v/>
      </c>
      <c r="J781" s="21" t="str">
        <f aca="false">IF($A781="","",IF(B781=0,"No COD orders",IF(B781&lt;Settings!$B$8,"Too few orders",IF(D781&gt;=Settings!$B$9,"Restrict COD or verify","Keep COD"))))</f>
        <v/>
      </c>
    </row>
    <row r="782" customFormat="false" ht="15" hidden="false" customHeight="false" outlineLevel="0" collapsed="false">
      <c r="A782" s="27"/>
      <c r="B782" s="17" t="str">
        <f aca="false">IF($A782="","",COUNTIFS(Orders!$C$2:$C$20001,$A782,Orders!$E$2:$E$20001,"COD",Orders!$F$2:$F$20001,"Delivered")+COUNTIFS(Orders!$C$2:$C$20001,$A782,Orders!$E$2:$E$20001,"COD",Orders!$F$2:$F$20001,"RTO"))</f>
        <v/>
      </c>
      <c r="C782" s="17" t="str">
        <f aca="false">IF($A782="","",COUNTIFS(Orders!$C$2:$C$20001,$A782,Orders!$E$2:$E$20001,"COD",Orders!$F$2:$F$20001,"RTO"))</f>
        <v/>
      </c>
      <c r="D782" s="18" t="str">
        <f aca="false">IF($A782="","",IFERROR(C782/B782,0))</f>
        <v/>
      </c>
      <c r="E782" s="17" t="str">
        <f aca="false">IF($A782="","",COUNTIFS(Orders!$C$2:$C$20001,$A782,Orders!$E$2:$E$20001,"Prepaid",Orders!$F$2:$F$20001,"Delivered")+COUNTIFS(Orders!$C$2:$C$20001,$A782,Orders!$E$2:$E$20001,"Prepaid",Orders!$F$2:$F$20001,"RTO"))</f>
        <v/>
      </c>
      <c r="F782" s="17" t="str">
        <f aca="false">IF($A782="","",COUNTIFS(Orders!$C$2:$C$20001,$A782,Orders!$E$2:$E$20001,"Prepaid",Orders!$F$2:$F$20001,"RTO"))</f>
        <v/>
      </c>
      <c r="G782" s="18" t="str">
        <f aca="false">IF($A782="","",IFERROR(F782/E782,0))</f>
        <v/>
      </c>
      <c r="H782" s="19" t="str">
        <f aca="false">IF($A782="","",C782*Settings!$B$11)</f>
        <v/>
      </c>
      <c r="I782" s="20" t="str">
        <f aca="false">IF($A782="","",IF(N(H782)=0,"",RANK(H782,$H$5:$H$2004)))</f>
        <v/>
      </c>
      <c r="J782" s="21" t="str">
        <f aca="false">IF($A782="","",IF(B782=0,"No COD orders",IF(B782&lt;Settings!$B$8,"Too few orders",IF(D782&gt;=Settings!$B$9,"Restrict COD or verify","Keep COD"))))</f>
        <v/>
      </c>
    </row>
    <row r="783" customFormat="false" ht="15" hidden="false" customHeight="false" outlineLevel="0" collapsed="false">
      <c r="A783" s="27"/>
      <c r="B783" s="17" t="str">
        <f aca="false">IF($A783="","",COUNTIFS(Orders!$C$2:$C$20001,$A783,Orders!$E$2:$E$20001,"COD",Orders!$F$2:$F$20001,"Delivered")+COUNTIFS(Orders!$C$2:$C$20001,$A783,Orders!$E$2:$E$20001,"COD",Orders!$F$2:$F$20001,"RTO"))</f>
        <v/>
      </c>
      <c r="C783" s="17" t="str">
        <f aca="false">IF($A783="","",COUNTIFS(Orders!$C$2:$C$20001,$A783,Orders!$E$2:$E$20001,"COD",Orders!$F$2:$F$20001,"RTO"))</f>
        <v/>
      </c>
      <c r="D783" s="18" t="str">
        <f aca="false">IF($A783="","",IFERROR(C783/B783,0))</f>
        <v/>
      </c>
      <c r="E783" s="17" t="str">
        <f aca="false">IF($A783="","",COUNTIFS(Orders!$C$2:$C$20001,$A783,Orders!$E$2:$E$20001,"Prepaid",Orders!$F$2:$F$20001,"Delivered")+COUNTIFS(Orders!$C$2:$C$20001,$A783,Orders!$E$2:$E$20001,"Prepaid",Orders!$F$2:$F$20001,"RTO"))</f>
        <v/>
      </c>
      <c r="F783" s="17" t="str">
        <f aca="false">IF($A783="","",COUNTIFS(Orders!$C$2:$C$20001,$A783,Orders!$E$2:$E$20001,"Prepaid",Orders!$F$2:$F$20001,"RTO"))</f>
        <v/>
      </c>
      <c r="G783" s="18" t="str">
        <f aca="false">IF($A783="","",IFERROR(F783/E783,0))</f>
        <v/>
      </c>
      <c r="H783" s="19" t="str">
        <f aca="false">IF($A783="","",C783*Settings!$B$11)</f>
        <v/>
      </c>
      <c r="I783" s="20" t="str">
        <f aca="false">IF($A783="","",IF(N(H783)=0,"",RANK(H783,$H$5:$H$2004)))</f>
        <v/>
      </c>
      <c r="J783" s="21" t="str">
        <f aca="false">IF($A783="","",IF(B783=0,"No COD orders",IF(B783&lt;Settings!$B$8,"Too few orders",IF(D783&gt;=Settings!$B$9,"Restrict COD or verify","Keep COD"))))</f>
        <v/>
      </c>
    </row>
    <row r="784" customFormat="false" ht="15" hidden="false" customHeight="false" outlineLevel="0" collapsed="false">
      <c r="A784" s="27"/>
      <c r="B784" s="17" t="str">
        <f aca="false">IF($A784="","",COUNTIFS(Orders!$C$2:$C$20001,$A784,Orders!$E$2:$E$20001,"COD",Orders!$F$2:$F$20001,"Delivered")+COUNTIFS(Orders!$C$2:$C$20001,$A784,Orders!$E$2:$E$20001,"COD",Orders!$F$2:$F$20001,"RTO"))</f>
        <v/>
      </c>
      <c r="C784" s="17" t="str">
        <f aca="false">IF($A784="","",COUNTIFS(Orders!$C$2:$C$20001,$A784,Orders!$E$2:$E$20001,"COD",Orders!$F$2:$F$20001,"RTO"))</f>
        <v/>
      </c>
      <c r="D784" s="18" t="str">
        <f aca="false">IF($A784="","",IFERROR(C784/B784,0))</f>
        <v/>
      </c>
      <c r="E784" s="17" t="str">
        <f aca="false">IF($A784="","",COUNTIFS(Orders!$C$2:$C$20001,$A784,Orders!$E$2:$E$20001,"Prepaid",Orders!$F$2:$F$20001,"Delivered")+COUNTIFS(Orders!$C$2:$C$20001,$A784,Orders!$E$2:$E$20001,"Prepaid",Orders!$F$2:$F$20001,"RTO"))</f>
        <v/>
      </c>
      <c r="F784" s="17" t="str">
        <f aca="false">IF($A784="","",COUNTIFS(Orders!$C$2:$C$20001,$A784,Orders!$E$2:$E$20001,"Prepaid",Orders!$F$2:$F$20001,"RTO"))</f>
        <v/>
      </c>
      <c r="G784" s="18" t="str">
        <f aca="false">IF($A784="","",IFERROR(F784/E784,0))</f>
        <v/>
      </c>
      <c r="H784" s="19" t="str">
        <f aca="false">IF($A784="","",C784*Settings!$B$11)</f>
        <v/>
      </c>
      <c r="I784" s="20" t="str">
        <f aca="false">IF($A784="","",IF(N(H784)=0,"",RANK(H784,$H$5:$H$2004)))</f>
        <v/>
      </c>
      <c r="J784" s="21" t="str">
        <f aca="false">IF($A784="","",IF(B784=0,"No COD orders",IF(B784&lt;Settings!$B$8,"Too few orders",IF(D784&gt;=Settings!$B$9,"Restrict COD or verify","Keep COD"))))</f>
        <v/>
      </c>
    </row>
    <row r="785" customFormat="false" ht="15" hidden="false" customHeight="false" outlineLevel="0" collapsed="false">
      <c r="A785" s="27"/>
      <c r="B785" s="17" t="str">
        <f aca="false">IF($A785="","",COUNTIFS(Orders!$C$2:$C$20001,$A785,Orders!$E$2:$E$20001,"COD",Orders!$F$2:$F$20001,"Delivered")+COUNTIFS(Orders!$C$2:$C$20001,$A785,Orders!$E$2:$E$20001,"COD",Orders!$F$2:$F$20001,"RTO"))</f>
        <v/>
      </c>
      <c r="C785" s="17" t="str">
        <f aca="false">IF($A785="","",COUNTIFS(Orders!$C$2:$C$20001,$A785,Orders!$E$2:$E$20001,"COD",Orders!$F$2:$F$20001,"RTO"))</f>
        <v/>
      </c>
      <c r="D785" s="18" t="str">
        <f aca="false">IF($A785="","",IFERROR(C785/B785,0))</f>
        <v/>
      </c>
      <c r="E785" s="17" t="str">
        <f aca="false">IF($A785="","",COUNTIFS(Orders!$C$2:$C$20001,$A785,Orders!$E$2:$E$20001,"Prepaid",Orders!$F$2:$F$20001,"Delivered")+COUNTIFS(Orders!$C$2:$C$20001,$A785,Orders!$E$2:$E$20001,"Prepaid",Orders!$F$2:$F$20001,"RTO"))</f>
        <v/>
      </c>
      <c r="F785" s="17" t="str">
        <f aca="false">IF($A785="","",COUNTIFS(Orders!$C$2:$C$20001,$A785,Orders!$E$2:$E$20001,"Prepaid",Orders!$F$2:$F$20001,"RTO"))</f>
        <v/>
      </c>
      <c r="G785" s="18" t="str">
        <f aca="false">IF($A785="","",IFERROR(F785/E785,0))</f>
        <v/>
      </c>
      <c r="H785" s="19" t="str">
        <f aca="false">IF($A785="","",C785*Settings!$B$11)</f>
        <v/>
      </c>
      <c r="I785" s="20" t="str">
        <f aca="false">IF($A785="","",IF(N(H785)=0,"",RANK(H785,$H$5:$H$2004)))</f>
        <v/>
      </c>
      <c r="J785" s="21" t="str">
        <f aca="false">IF($A785="","",IF(B785=0,"No COD orders",IF(B785&lt;Settings!$B$8,"Too few orders",IF(D785&gt;=Settings!$B$9,"Restrict COD or verify","Keep COD"))))</f>
        <v/>
      </c>
    </row>
    <row r="786" customFormat="false" ht="15" hidden="false" customHeight="false" outlineLevel="0" collapsed="false">
      <c r="A786" s="27"/>
      <c r="B786" s="17" t="str">
        <f aca="false">IF($A786="","",COUNTIFS(Orders!$C$2:$C$20001,$A786,Orders!$E$2:$E$20001,"COD",Orders!$F$2:$F$20001,"Delivered")+COUNTIFS(Orders!$C$2:$C$20001,$A786,Orders!$E$2:$E$20001,"COD",Orders!$F$2:$F$20001,"RTO"))</f>
        <v/>
      </c>
      <c r="C786" s="17" t="str">
        <f aca="false">IF($A786="","",COUNTIFS(Orders!$C$2:$C$20001,$A786,Orders!$E$2:$E$20001,"COD",Orders!$F$2:$F$20001,"RTO"))</f>
        <v/>
      </c>
      <c r="D786" s="18" t="str">
        <f aca="false">IF($A786="","",IFERROR(C786/B786,0))</f>
        <v/>
      </c>
      <c r="E786" s="17" t="str">
        <f aca="false">IF($A786="","",COUNTIFS(Orders!$C$2:$C$20001,$A786,Orders!$E$2:$E$20001,"Prepaid",Orders!$F$2:$F$20001,"Delivered")+COUNTIFS(Orders!$C$2:$C$20001,$A786,Orders!$E$2:$E$20001,"Prepaid",Orders!$F$2:$F$20001,"RTO"))</f>
        <v/>
      </c>
      <c r="F786" s="17" t="str">
        <f aca="false">IF($A786="","",COUNTIFS(Orders!$C$2:$C$20001,$A786,Orders!$E$2:$E$20001,"Prepaid",Orders!$F$2:$F$20001,"RTO"))</f>
        <v/>
      </c>
      <c r="G786" s="18" t="str">
        <f aca="false">IF($A786="","",IFERROR(F786/E786,0))</f>
        <v/>
      </c>
      <c r="H786" s="19" t="str">
        <f aca="false">IF($A786="","",C786*Settings!$B$11)</f>
        <v/>
      </c>
      <c r="I786" s="20" t="str">
        <f aca="false">IF($A786="","",IF(N(H786)=0,"",RANK(H786,$H$5:$H$2004)))</f>
        <v/>
      </c>
      <c r="J786" s="21" t="str">
        <f aca="false">IF($A786="","",IF(B786=0,"No COD orders",IF(B786&lt;Settings!$B$8,"Too few orders",IF(D786&gt;=Settings!$B$9,"Restrict COD or verify","Keep COD"))))</f>
        <v/>
      </c>
    </row>
    <row r="787" customFormat="false" ht="15" hidden="false" customHeight="false" outlineLevel="0" collapsed="false">
      <c r="A787" s="27"/>
      <c r="B787" s="17" t="str">
        <f aca="false">IF($A787="","",COUNTIFS(Orders!$C$2:$C$20001,$A787,Orders!$E$2:$E$20001,"COD",Orders!$F$2:$F$20001,"Delivered")+COUNTIFS(Orders!$C$2:$C$20001,$A787,Orders!$E$2:$E$20001,"COD",Orders!$F$2:$F$20001,"RTO"))</f>
        <v/>
      </c>
      <c r="C787" s="17" t="str">
        <f aca="false">IF($A787="","",COUNTIFS(Orders!$C$2:$C$20001,$A787,Orders!$E$2:$E$20001,"COD",Orders!$F$2:$F$20001,"RTO"))</f>
        <v/>
      </c>
      <c r="D787" s="18" t="str">
        <f aca="false">IF($A787="","",IFERROR(C787/B787,0))</f>
        <v/>
      </c>
      <c r="E787" s="17" t="str">
        <f aca="false">IF($A787="","",COUNTIFS(Orders!$C$2:$C$20001,$A787,Orders!$E$2:$E$20001,"Prepaid",Orders!$F$2:$F$20001,"Delivered")+COUNTIFS(Orders!$C$2:$C$20001,$A787,Orders!$E$2:$E$20001,"Prepaid",Orders!$F$2:$F$20001,"RTO"))</f>
        <v/>
      </c>
      <c r="F787" s="17" t="str">
        <f aca="false">IF($A787="","",COUNTIFS(Orders!$C$2:$C$20001,$A787,Orders!$E$2:$E$20001,"Prepaid",Orders!$F$2:$F$20001,"RTO"))</f>
        <v/>
      </c>
      <c r="G787" s="18" t="str">
        <f aca="false">IF($A787="","",IFERROR(F787/E787,0))</f>
        <v/>
      </c>
      <c r="H787" s="19" t="str">
        <f aca="false">IF($A787="","",C787*Settings!$B$11)</f>
        <v/>
      </c>
      <c r="I787" s="20" t="str">
        <f aca="false">IF($A787="","",IF(N(H787)=0,"",RANK(H787,$H$5:$H$2004)))</f>
        <v/>
      </c>
      <c r="J787" s="21" t="str">
        <f aca="false">IF($A787="","",IF(B787=0,"No COD orders",IF(B787&lt;Settings!$B$8,"Too few orders",IF(D787&gt;=Settings!$B$9,"Restrict COD or verify","Keep COD"))))</f>
        <v/>
      </c>
    </row>
    <row r="788" customFormat="false" ht="15" hidden="false" customHeight="false" outlineLevel="0" collapsed="false">
      <c r="A788" s="27"/>
      <c r="B788" s="17" t="str">
        <f aca="false">IF($A788="","",COUNTIFS(Orders!$C$2:$C$20001,$A788,Orders!$E$2:$E$20001,"COD",Orders!$F$2:$F$20001,"Delivered")+COUNTIFS(Orders!$C$2:$C$20001,$A788,Orders!$E$2:$E$20001,"COD",Orders!$F$2:$F$20001,"RTO"))</f>
        <v/>
      </c>
      <c r="C788" s="17" t="str">
        <f aca="false">IF($A788="","",COUNTIFS(Orders!$C$2:$C$20001,$A788,Orders!$E$2:$E$20001,"COD",Orders!$F$2:$F$20001,"RTO"))</f>
        <v/>
      </c>
      <c r="D788" s="18" t="str">
        <f aca="false">IF($A788="","",IFERROR(C788/B788,0))</f>
        <v/>
      </c>
      <c r="E788" s="17" t="str">
        <f aca="false">IF($A788="","",COUNTIFS(Orders!$C$2:$C$20001,$A788,Orders!$E$2:$E$20001,"Prepaid",Orders!$F$2:$F$20001,"Delivered")+COUNTIFS(Orders!$C$2:$C$20001,$A788,Orders!$E$2:$E$20001,"Prepaid",Orders!$F$2:$F$20001,"RTO"))</f>
        <v/>
      </c>
      <c r="F788" s="17" t="str">
        <f aca="false">IF($A788="","",COUNTIFS(Orders!$C$2:$C$20001,$A788,Orders!$E$2:$E$20001,"Prepaid",Orders!$F$2:$F$20001,"RTO"))</f>
        <v/>
      </c>
      <c r="G788" s="18" t="str">
        <f aca="false">IF($A788="","",IFERROR(F788/E788,0))</f>
        <v/>
      </c>
      <c r="H788" s="19" t="str">
        <f aca="false">IF($A788="","",C788*Settings!$B$11)</f>
        <v/>
      </c>
      <c r="I788" s="20" t="str">
        <f aca="false">IF($A788="","",IF(N(H788)=0,"",RANK(H788,$H$5:$H$2004)))</f>
        <v/>
      </c>
      <c r="J788" s="21" t="str">
        <f aca="false">IF($A788="","",IF(B788=0,"No COD orders",IF(B788&lt;Settings!$B$8,"Too few orders",IF(D788&gt;=Settings!$B$9,"Restrict COD or verify","Keep COD"))))</f>
        <v/>
      </c>
    </row>
    <row r="789" customFormat="false" ht="15" hidden="false" customHeight="false" outlineLevel="0" collapsed="false">
      <c r="A789" s="27"/>
      <c r="B789" s="17" t="str">
        <f aca="false">IF($A789="","",COUNTIFS(Orders!$C$2:$C$20001,$A789,Orders!$E$2:$E$20001,"COD",Orders!$F$2:$F$20001,"Delivered")+COUNTIFS(Orders!$C$2:$C$20001,$A789,Orders!$E$2:$E$20001,"COD",Orders!$F$2:$F$20001,"RTO"))</f>
        <v/>
      </c>
      <c r="C789" s="17" t="str">
        <f aca="false">IF($A789="","",COUNTIFS(Orders!$C$2:$C$20001,$A789,Orders!$E$2:$E$20001,"COD",Orders!$F$2:$F$20001,"RTO"))</f>
        <v/>
      </c>
      <c r="D789" s="18" t="str">
        <f aca="false">IF($A789="","",IFERROR(C789/B789,0))</f>
        <v/>
      </c>
      <c r="E789" s="17" t="str">
        <f aca="false">IF($A789="","",COUNTIFS(Orders!$C$2:$C$20001,$A789,Orders!$E$2:$E$20001,"Prepaid",Orders!$F$2:$F$20001,"Delivered")+COUNTIFS(Orders!$C$2:$C$20001,$A789,Orders!$E$2:$E$20001,"Prepaid",Orders!$F$2:$F$20001,"RTO"))</f>
        <v/>
      </c>
      <c r="F789" s="17" t="str">
        <f aca="false">IF($A789="","",COUNTIFS(Orders!$C$2:$C$20001,$A789,Orders!$E$2:$E$20001,"Prepaid",Orders!$F$2:$F$20001,"RTO"))</f>
        <v/>
      </c>
      <c r="G789" s="18" t="str">
        <f aca="false">IF($A789="","",IFERROR(F789/E789,0))</f>
        <v/>
      </c>
      <c r="H789" s="19" t="str">
        <f aca="false">IF($A789="","",C789*Settings!$B$11)</f>
        <v/>
      </c>
      <c r="I789" s="20" t="str">
        <f aca="false">IF($A789="","",IF(N(H789)=0,"",RANK(H789,$H$5:$H$2004)))</f>
        <v/>
      </c>
      <c r="J789" s="21" t="str">
        <f aca="false">IF($A789="","",IF(B789=0,"No COD orders",IF(B789&lt;Settings!$B$8,"Too few orders",IF(D789&gt;=Settings!$B$9,"Restrict COD or verify","Keep COD"))))</f>
        <v/>
      </c>
    </row>
    <row r="790" customFormat="false" ht="15" hidden="false" customHeight="false" outlineLevel="0" collapsed="false">
      <c r="A790" s="27"/>
      <c r="B790" s="17" t="str">
        <f aca="false">IF($A790="","",COUNTIFS(Orders!$C$2:$C$20001,$A790,Orders!$E$2:$E$20001,"COD",Orders!$F$2:$F$20001,"Delivered")+COUNTIFS(Orders!$C$2:$C$20001,$A790,Orders!$E$2:$E$20001,"COD",Orders!$F$2:$F$20001,"RTO"))</f>
        <v/>
      </c>
      <c r="C790" s="17" t="str">
        <f aca="false">IF($A790="","",COUNTIFS(Orders!$C$2:$C$20001,$A790,Orders!$E$2:$E$20001,"COD",Orders!$F$2:$F$20001,"RTO"))</f>
        <v/>
      </c>
      <c r="D790" s="18" t="str">
        <f aca="false">IF($A790="","",IFERROR(C790/B790,0))</f>
        <v/>
      </c>
      <c r="E790" s="17" t="str">
        <f aca="false">IF($A790="","",COUNTIFS(Orders!$C$2:$C$20001,$A790,Orders!$E$2:$E$20001,"Prepaid",Orders!$F$2:$F$20001,"Delivered")+COUNTIFS(Orders!$C$2:$C$20001,$A790,Orders!$E$2:$E$20001,"Prepaid",Orders!$F$2:$F$20001,"RTO"))</f>
        <v/>
      </c>
      <c r="F790" s="17" t="str">
        <f aca="false">IF($A790="","",COUNTIFS(Orders!$C$2:$C$20001,$A790,Orders!$E$2:$E$20001,"Prepaid",Orders!$F$2:$F$20001,"RTO"))</f>
        <v/>
      </c>
      <c r="G790" s="18" t="str">
        <f aca="false">IF($A790="","",IFERROR(F790/E790,0))</f>
        <v/>
      </c>
      <c r="H790" s="19" t="str">
        <f aca="false">IF($A790="","",C790*Settings!$B$11)</f>
        <v/>
      </c>
      <c r="I790" s="20" t="str">
        <f aca="false">IF($A790="","",IF(N(H790)=0,"",RANK(H790,$H$5:$H$2004)))</f>
        <v/>
      </c>
      <c r="J790" s="21" t="str">
        <f aca="false">IF($A790="","",IF(B790=0,"No COD orders",IF(B790&lt;Settings!$B$8,"Too few orders",IF(D790&gt;=Settings!$B$9,"Restrict COD or verify","Keep COD"))))</f>
        <v/>
      </c>
    </row>
    <row r="791" customFormat="false" ht="15" hidden="false" customHeight="false" outlineLevel="0" collapsed="false">
      <c r="A791" s="27"/>
      <c r="B791" s="17" t="str">
        <f aca="false">IF($A791="","",COUNTIFS(Orders!$C$2:$C$20001,$A791,Orders!$E$2:$E$20001,"COD",Orders!$F$2:$F$20001,"Delivered")+COUNTIFS(Orders!$C$2:$C$20001,$A791,Orders!$E$2:$E$20001,"COD",Orders!$F$2:$F$20001,"RTO"))</f>
        <v/>
      </c>
      <c r="C791" s="17" t="str">
        <f aca="false">IF($A791="","",COUNTIFS(Orders!$C$2:$C$20001,$A791,Orders!$E$2:$E$20001,"COD",Orders!$F$2:$F$20001,"RTO"))</f>
        <v/>
      </c>
      <c r="D791" s="18" t="str">
        <f aca="false">IF($A791="","",IFERROR(C791/B791,0))</f>
        <v/>
      </c>
      <c r="E791" s="17" t="str">
        <f aca="false">IF($A791="","",COUNTIFS(Orders!$C$2:$C$20001,$A791,Orders!$E$2:$E$20001,"Prepaid",Orders!$F$2:$F$20001,"Delivered")+COUNTIFS(Orders!$C$2:$C$20001,$A791,Orders!$E$2:$E$20001,"Prepaid",Orders!$F$2:$F$20001,"RTO"))</f>
        <v/>
      </c>
      <c r="F791" s="17" t="str">
        <f aca="false">IF($A791="","",COUNTIFS(Orders!$C$2:$C$20001,$A791,Orders!$E$2:$E$20001,"Prepaid",Orders!$F$2:$F$20001,"RTO"))</f>
        <v/>
      </c>
      <c r="G791" s="18" t="str">
        <f aca="false">IF($A791="","",IFERROR(F791/E791,0))</f>
        <v/>
      </c>
      <c r="H791" s="19" t="str">
        <f aca="false">IF($A791="","",C791*Settings!$B$11)</f>
        <v/>
      </c>
      <c r="I791" s="20" t="str">
        <f aca="false">IF($A791="","",IF(N(H791)=0,"",RANK(H791,$H$5:$H$2004)))</f>
        <v/>
      </c>
      <c r="J791" s="21" t="str">
        <f aca="false">IF($A791="","",IF(B791=0,"No COD orders",IF(B791&lt;Settings!$B$8,"Too few orders",IF(D791&gt;=Settings!$B$9,"Restrict COD or verify","Keep COD"))))</f>
        <v/>
      </c>
    </row>
    <row r="792" customFormat="false" ht="15" hidden="false" customHeight="false" outlineLevel="0" collapsed="false">
      <c r="A792" s="27"/>
      <c r="B792" s="17" t="str">
        <f aca="false">IF($A792="","",COUNTIFS(Orders!$C$2:$C$20001,$A792,Orders!$E$2:$E$20001,"COD",Orders!$F$2:$F$20001,"Delivered")+COUNTIFS(Orders!$C$2:$C$20001,$A792,Orders!$E$2:$E$20001,"COD",Orders!$F$2:$F$20001,"RTO"))</f>
        <v/>
      </c>
      <c r="C792" s="17" t="str">
        <f aca="false">IF($A792="","",COUNTIFS(Orders!$C$2:$C$20001,$A792,Orders!$E$2:$E$20001,"COD",Orders!$F$2:$F$20001,"RTO"))</f>
        <v/>
      </c>
      <c r="D792" s="18" t="str">
        <f aca="false">IF($A792="","",IFERROR(C792/B792,0))</f>
        <v/>
      </c>
      <c r="E792" s="17" t="str">
        <f aca="false">IF($A792="","",COUNTIFS(Orders!$C$2:$C$20001,$A792,Orders!$E$2:$E$20001,"Prepaid",Orders!$F$2:$F$20001,"Delivered")+COUNTIFS(Orders!$C$2:$C$20001,$A792,Orders!$E$2:$E$20001,"Prepaid",Orders!$F$2:$F$20001,"RTO"))</f>
        <v/>
      </c>
      <c r="F792" s="17" t="str">
        <f aca="false">IF($A792="","",COUNTIFS(Orders!$C$2:$C$20001,$A792,Orders!$E$2:$E$20001,"Prepaid",Orders!$F$2:$F$20001,"RTO"))</f>
        <v/>
      </c>
      <c r="G792" s="18" t="str">
        <f aca="false">IF($A792="","",IFERROR(F792/E792,0))</f>
        <v/>
      </c>
      <c r="H792" s="19" t="str">
        <f aca="false">IF($A792="","",C792*Settings!$B$11)</f>
        <v/>
      </c>
      <c r="I792" s="20" t="str">
        <f aca="false">IF($A792="","",IF(N(H792)=0,"",RANK(H792,$H$5:$H$2004)))</f>
        <v/>
      </c>
      <c r="J792" s="21" t="str">
        <f aca="false">IF($A792="","",IF(B792=0,"No COD orders",IF(B792&lt;Settings!$B$8,"Too few orders",IF(D792&gt;=Settings!$B$9,"Restrict COD or verify","Keep COD"))))</f>
        <v/>
      </c>
    </row>
    <row r="793" customFormat="false" ht="15" hidden="false" customHeight="false" outlineLevel="0" collapsed="false">
      <c r="A793" s="27"/>
      <c r="B793" s="17" t="str">
        <f aca="false">IF($A793="","",COUNTIFS(Orders!$C$2:$C$20001,$A793,Orders!$E$2:$E$20001,"COD",Orders!$F$2:$F$20001,"Delivered")+COUNTIFS(Orders!$C$2:$C$20001,$A793,Orders!$E$2:$E$20001,"COD",Orders!$F$2:$F$20001,"RTO"))</f>
        <v/>
      </c>
      <c r="C793" s="17" t="str">
        <f aca="false">IF($A793="","",COUNTIFS(Orders!$C$2:$C$20001,$A793,Orders!$E$2:$E$20001,"COD",Orders!$F$2:$F$20001,"RTO"))</f>
        <v/>
      </c>
      <c r="D793" s="18" t="str">
        <f aca="false">IF($A793="","",IFERROR(C793/B793,0))</f>
        <v/>
      </c>
      <c r="E793" s="17" t="str">
        <f aca="false">IF($A793="","",COUNTIFS(Orders!$C$2:$C$20001,$A793,Orders!$E$2:$E$20001,"Prepaid",Orders!$F$2:$F$20001,"Delivered")+COUNTIFS(Orders!$C$2:$C$20001,$A793,Orders!$E$2:$E$20001,"Prepaid",Orders!$F$2:$F$20001,"RTO"))</f>
        <v/>
      </c>
      <c r="F793" s="17" t="str">
        <f aca="false">IF($A793="","",COUNTIFS(Orders!$C$2:$C$20001,$A793,Orders!$E$2:$E$20001,"Prepaid",Orders!$F$2:$F$20001,"RTO"))</f>
        <v/>
      </c>
      <c r="G793" s="18" t="str">
        <f aca="false">IF($A793="","",IFERROR(F793/E793,0))</f>
        <v/>
      </c>
      <c r="H793" s="19" t="str">
        <f aca="false">IF($A793="","",C793*Settings!$B$11)</f>
        <v/>
      </c>
      <c r="I793" s="20" t="str">
        <f aca="false">IF($A793="","",IF(N(H793)=0,"",RANK(H793,$H$5:$H$2004)))</f>
        <v/>
      </c>
      <c r="J793" s="21" t="str">
        <f aca="false">IF($A793="","",IF(B793=0,"No COD orders",IF(B793&lt;Settings!$B$8,"Too few orders",IF(D793&gt;=Settings!$B$9,"Restrict COD or verify","Keep COD"))))</f>
        <v/>
      </c>
    </row>
    <row r="794" customFormat="false" ht="15" hidden="false" customHeight="false" outlineLevel="0" collapsed="false">
      <c r="A794" s="27"/>
      <c r="B794" s="17" t="str">
        <f aca="false">IF($A794="","",COUNTIFS(Orders!$C$2:$C$20001,$A794,Orders!$E$2:$E$20001,"COD",Orders!$F$2:$F$20001,"Delivered")+COUNTIFS(Orders!$C$2:$C$20001,$A794,Orders!$E$2:$E$20001,"COD",Orders!$F$2:$F$20001,"RTO"))</f>
        <v/>
      </c>
      <c r="C794" s="17" t="str">
        <f aca="false">IF($A794="","",COUNTIFS(Orders!$C$2:$C$20001,$A794,Orders!$E$2:$E$20001,"COD",Orders!$F$2:$F$20001,"RTO"))</f>
        <v/>
      </c>
      <c r="D794" s="18" t="str">
        <f aca="false">IF($A794="","",IFERROR(C794/B794,0))</f>
        <v/>
      </c>
      <c r="E794" s="17" t="str">
        <f aca="false">IF($A794="","",COUNTIFS(Orders!$C$2:$C$20001,$A794,Orders!$E$2:$E$20001,"Prepaid",Orders!$F$2:$F$20001,"Delivered")+COUNTIFS(Orders!$C$2:$C$20001,$A794,Orders!$E$2:$E$20001,"Prepaid",Orders!$F$2:$F$20001,"RTO"))</f>
        <v/>
      </c>
      <c r="F794" s="17" t="str">
        <f aca="false">IF($A794="","",COUNTIFS(Orders!$C$2:$C$20001,$A794,Orders!$E$2:$E$20001,"Prepaid",Orders!$F$2:$F$20001,"RTO"))</f>
        <v/>
      </c>
      <c r="G794" s="18" t="str">
        <f aca="false">IF($A794="","",IFERROR(F794/E794,0))</f>
        <v/>
      </c>
      <c r="H794" s="19" t="str">
        <f aca="false">IF($A794="","",C794*Settings!$B$11)</f>
        <v/>
      </c>
      <c r="I794" s="20" t="str">
        <f aca="false">IF($A794="","",IF(N(H794)=0,"",RANK(H794,$H$5:$H$2004)))</f>
        <v/>
      </c>
      <c r="J794" s="21" t="str">
        <f aca="false">IF($A794="","",IF(B794=0,"No COD orders",IF(B794&lt;Settings!$B$8,"Too few orders",IF(D794&gt;=Settings!$B$9,"Restrict COD or verify","Keep COD"))))</f>
        <v/>
      </c>
    </row>
    <row r="795" customFormat="false" ht="15" hidden="false" customHeight="false" outlineLevel="0" collapsed="false">
      <c r="A795" s="27"/>
      <c r="B795" s="17" t="str">
        <f aca="false">IF($A795="","",COUNTIFS(Orders!$C$2:$C$20001,$A795,Orders!$E$2:$E$20001,"COD",Orders!$F$2:$F$20001,"Delivered")+COUNTIFS(Orders!$C$2:$C$20001,$A795,Orders!$E$2:$E$20001,"COD",Orders!$F$2:$F$20001,"RTO"))</f>
        <v/>
      </c>
      <c r="C795" s="17" t="str">
        <f aca="false">IF($A795="","",COUNTIFS(Orders!$C$2:$C$20001,$A795,Orders!$E$2:$E$20001,"COD",Orders!$F$2:$F$20001,"RTO"))</f>
        <v/>
      </c>
      <c r="D795" s="18" t="str">
        <f aca="false">IF($A795="","",IFERROR(C795/B795,0))</f>
        <v/>
      </c>
      <c r="E795" s="17" t="str">
        <f aca="false">IF($A795="","",COUNTIFS(Orders!$C$2:$C$20001,$A795,Orders!$E$2:$E$20001,"Prepaid",Orders!$F$2:$F$20001,"Delivered")+COUNTIFS(Orders!$C$2:$C$20001,$A795,Orders!$E$2:$E$20001,"Prepaid",Orders!$F$2:$F$20001,"RTO"))</f>
        <v/>
      </c>
      <c r="F795" s="17" t="str">
        <f aca="false">IF($A795="","",COUNTIFS(Orders!$C$2:$C$20001,$A795,Orders!$E$2:$E$20001,"Prepaid",Orders!$F$2:$F$20001,"RTO"))</f>
        <v/>
      </c>
      <c r="G795" s="18" t="str">
        <f aca="false">IF($A795="","",IFERROR(F795/E795,0))</f>
        <v/>
      </c>
      <c r="H795" s="19" t="str">
        <f aca="false">IF($A795="","",C795*Settings!$B$11)</f>
        <v/>
      </c>
      <c r="I795" s="20" t="str">
        <f aca="false">IF($A795="","",IF(N(H795)=0,"",RANK(H795,$H$5:$H$2004)))</f>
        <v/>
      </c>
      <c r="J795" s="21" t="str">
        <f aca="false">IF($A795="","",IF(B795=0,"No COD orders",IF(B795&lt;Settings!$B$8,"Too few orders",IF(D795&gt;=Settings!$B$9,"Restrict COD or verify","Keep COD"))))</f>
        <v/>
      </c>
    </row>
    <row r="796" customFormat="false" ht="15" hidden="false" customHeight="false" outlineLevel="0" collapsed="false">
      <c r="A796" s="27"/>
      <c r="B796" s="17" t="str">
        <f aca="false">IF($A796="","",COUNTIFS(Orders!$C$2:$C$20001,$A796,Orders!$E$2:$E$20001,"COD",Orders!$F$2:$F$20001,"Delivered")+COUNTIFS(Orders!$C$2:$C$20001,$A796,Orders!$E$2:$E$20001,"COD",Orders!$F$2:$F$20001,"RTO"))</f>
        <v/>
      </c>
      <c r="C796" s="17" t="str">
        <f aca="false">IF($A796="","",COUNTIFS(Orders!$C$2:$C$20001,$A796,Orders!$E$2:$E$20001,"COD",Orders!$F$2:$F$20001,"RTO"))</f>
        <v/>
      </c>
      <c r="D796" s="18" t="str">
        <f aca="false">IF($A796="","",IFERROR(C796/B796,0))</f>
        <v/>
      </c>
      <c r="E796" s="17" t="str">
        <f aca="false">IF($A796="","",COUNTIFS(Orders!$C$2:$C$20001,$A796,Orders!$E$2:$E$20001,"Prepaid",Orders!$F$2:$F$20001,"Delivered")+COUNTIFS(Orders!$C$2:$C$20001,$A796,Orders!$E$2:$E$20001,"Prepaid",Orders!$F$2:$F$20001,"RTO"))</f>
        <v/>
      </c>
      <c r="F796" s="17" t="str">
        <f aca="false">IF($A796="","",COUNTIFS(Orders!$C$2:$C$20001,$A796,Orders!$E$2:$E$20001,"Prepaid",Orders!$F$2:$F$20001,"RTO"))</f>
        <v/>
      </c>
      <c r="G796" s="18" t="str">
        <f aca="false">IF($A796="","",IFERROR(F796/E796,0))</f>
        <v/>
      </c>
      <c r="H796" s="19" t="str">
        <f aca="false">IF($A796="","",C796*Settings!$B$11)</f>
        <v/>
      </c>
      <c r="I796" s="20" t="str">
        <f aca="false">IF($A796="","",IF(N(H796)=0,"",RANK(H796,$H$5:$H$2004)))</f>
        <v/>
      </c>
      <c r="J796" s="21" t="str">
        <f aca="false">IF($A796="","",IF(B796=0,"No COD orders",IF(B796&lt;Settings!$B$8,"Too few orders",IF(D796&gt;=Settings!$B$9,"Restrict COD or verify","Keep COD"))))</f>
        <v/>
      </c>
    </row>
    <row r="797" customFormat="false" ht="15" hidden="false" customHeight="false" outlineLevel="0" collapsed="false">
      <c r="A797" s="27"/>
      <c r="B797" s="17" t="str">
        <f aca="false">IF($A797="","",COUNTIFS(Orders!$C$2:$C$20001,$A797,Orders!$E$2:$E$20001,"COD",Orders!$F$2:$F$20001,"Delivered")+COUNTIFS(Orders!$C$2:$C$20001,$A797,Orders!$E$2:$E$20001,"COD",Orders!$F$2:$F$20001,"RTO"))</f>
        <v/>
      </c>
      <c r="C797" s="17" t="str">
        <f aca="false">IF($A797="","",COUNTIFS(Orders!$C$2:$C$20001,$A797,Orders!$E$2:$E$20001,"COD",Orders!$F$2:$F$20001,"RTO"))</f>
        <v/>
      </c>
      <c r="D797" s="18" t="str">
        <f aca="false">IF($A797="","",IFERROR(C797/B797,0))</f>
        <v/>
      </c>
      <c r="E797" s="17" t="str">
        <f aca="false">IF($A797="","",COUNTIFS(Orders!$C$2:$C$20001,$A797,Orders!$E$2:$E$20001,"Prepaid",Orders!$F$2:$F$20001,"Delivered")+COUNTIFS(Orders!$C$2:$C$20001,$A797,Orders!$E$2:$E$20001,"Prepaid",Orders!$F$2:$F$20001,"RTO"))</f>
        <v/>
      </c>
      <c r="F797" s="17" t="str">
        <f aca="false">IF($A797="","",COUNTIFS(Orders!$C$2:$C$20001,$A797,Orders!$E$2:$E$20001,"Prepaid",Orders!$F$2:$F$20001,"RTO"))</f>
        <v/>
      </c>
      <c r="G797" s="18" t="str">
        <f aca="false">IF($A797="","",IFERROR(F797/E797,0))</f>
        <v/>
      </c>
      <c r="H797" s="19" t="str">
        <f aca="false">IF($A797="","",C797*Settings!$B$11)</f>
        <v/>
      </c>
      <c r="I797" s="20" t="str">
        <f aca="false">IF($A797="","",IF(N(H797)=0,"",RANK(H797,$H$5:$H$2004)))</f>
        <v/>
      </c>
      <c r="J797" s="21" t="str">
        <f aca="false">IF($A797="","",IF(B797=0,"No COD orders",IF(B797&lt;Settings!$B$8,"Too few orders",IF(D797&gt;=Settings!$B$9,"Restrict COD or verify","Keep COD"))))</f>
        <v/>
      </c>
    </row>
    <row r="798" customFormat="false" ht="15" hidden="false" customHeight="false" outlineLevel="0" collapsed="false">
      <c r="A798" s="27"/>
      <c r="B798" s="17" t="str">
        <f aca="false">IF($A798="","",COUNTIFS(Orders!$C$2:$C$20001,$A798,Orders!$E$2:$E$20001,"COD",Orders!$F$2:$F$20001,"Delivered")+COUNTIFS(Orders!$C$2:$C$20001,$A798,Orders!$E$2:$E$20001,"COD",Orders!$F$2:$F$20001,"RTO"))</f>
        <v/>
      </c>
      <c r="C798" s="17" t="str">
        <f aca="false">IF($A798="","",COUNTIFS(Orders!$C$2:$C$20001,$A798,Orders!$E$2:$E$20001,"COD",Orders!$F$2:$F$20001,"RTO"))</f>
        <v/>
      </c>
      <c r="D798" s="18" t="str">
        <f aca="false">IF($A798="","",IFERROR(C798/B798,0))</f>
        <v/>
      </c>
      <c r="E798" s="17" t="str">
        <f aca="false">IF($A798="","",COUNTIFS(Orders!$C$2:$C$20001,$A798,Orders!$E$2:$E$20001,"Prepaid",Orders!$F$2:$F$20001,"Delivered")+COUNTIFS(Orders!$C$2:$C$20001,$A798,Orders!$E$2:$E$20001,"Prepaid",Orders!$F$2:$F$20001,"RTO"))</f>
        <v/>
      </c>
      <c r="F798" s="17" t="str">
        <f aca="false">IF($A798="","",COUNTIFS(Orders!$C$2:$C$20001,$A798,Orders!$E$2:$E$20001,"Prepaid",Orders!$F$2:$F$20001,"RTO"))</f>
        <v/>
      </c>
      <c r="G798" s="18" t="str">
        <f aca="false">IF($A798="","",IFERROR(F798/E798,0))</f>
        <v/>
      </c>
      <c r="H798" s="19" t="str">
        <f aca="false">IF($A798="","",C798*Settings!$B$11)</f>
        <v/>
      </c>
      <c r="I798" s="20" t="str">
        <f aca="false">IF($A798="","",IF(N(H798)=0,"",RANK(H798,$H$5:$H$2004)))</f>
        <v/>
      </c>
      <c r="J798" s="21" t="str">
        <f aca="false">IF($A798="","",IF(B798=0,"No COD orders",IF(B798&lt;Settings!$B$8,"Too few orders",IF(D798&gt;=Settings!$B$9,"Restrict COD or verify","Keep COD"))))</f>
        <v/>
      </c>
    </row>
    <row r="799" customFormat="false" ht="15" hidden="false" customHeight="false" outlineLevel="0" collapsed="false">
      <c r="A799" s="27"/>
      <c r="B799" s="17" t="str">
        <f aca="false">IF($A799="","",COUNTIFS(Orders!$C$2:$C$20001,$A799,Orders!$E$2:$E$20001,"COD",Orders!$F$2:$F$20001,"Delivered")+COUNTIFS(Orders!$C$2:$C$20001,$A799,Orders!$E$2:$E$20001,"COD",Orders!$F$2:$F$20001,"RTO"))</f>
        <v/>
      </c>
      <c r="C799" s="17" t="str">
        <f aca="false">IF($A799="","",COUNTIFS(Orders!$C$2:$C$20001,$A799,Orders!$E$2:$E$20001,"COD",Orders!$F$2:$F$20001,"RTO"))</f>
        <v/>
      </c>
      <c r="D799" s="18" t="str">
        <f aca="false">IF($A799="","",IFERROR(C799/B799,0))</f>
        <v/>
      </c>
      <c r="E799" s="17" t="str">
        <f aca="false">IF($A799="","",COUNTIFS(Orders!$C$2:$C$20001,$A799,Orders!$E$2:$E$20001,"Prepaid",Orders!$F$2:$F$20001,"Delivered")+COUNTIFS(Orders!$C$2:$C$20001,$A799,Orders!$E$2:$E$20001,"Prepaid",Orders!$F$2:$F$20001,"RTO"))</f>
        <v/>
      </c>
      <c r="F799" s="17" t="str">
        <f aca="false">IF($A799="","",COUNTIFS(Orders!$C$2:$C$20001,$A799,Orders!$E$2:$E$20001,"Prepaid",Orders!$F$2:$F$20001,"RTO"))</f>
        <v/>
      </c>
      <c r="G799" s="18" t="str">
        <f aca="false">IF($A799="","",IFERROR(F799/E799,0))</f>
        <v/>
      </c>
      <c r="H799" s="19" t="str">
        <f aca="false">IF($A799="","",C799*Settings!$B$11)</f>
        <v/>
      </c>
      <c r="I799" s="20" t="str">
        <f aca="false">IF($A799="","",IF(N(H799)=0,"",RANK(H799,$H$5:$H$2004)))</f>
        <v/>
      </c>
      <c r="J799" s="21" t="str">
        <f aca="false">IF($A799="","",IF(B799=0,"No COD orders",IF(B799&lt;Settings!$B$8,"Too few orders",IF(D799&gt;=Settings!$B$9,"Restrict COD or verify","Keep COD"))))</f>
        <v/>
      </c>
    </row>
    <row r="800" customFormat="false" ht="15" hidden="false" customHeight="false" outlineLevel="0" collapsed="false">
      <c r="A800" s="27"/>
      <c r="B800" s="17" t="str">
        <f aca="false">IF($A800="","",COUNTIFS(Orders!$C$2:$C$20001,$A800,Orders!$E$2:$E$20001,"COD",Orders!$F$2:$F$20001,"Delivered")+COUNTIFS(Orders!$C$2:$C$20001,$A800,Orders!$E$2:$E$20001,"COD",Orders!$F$2:$F$20001,"RTO"))</f>
        <v/>
      </c>
      <c r="C800" s="17" t="str">
        <f aca="false">IF($A800="","",COUNTIFS(Orders!$C$2:$C$20001,$A800,Orders!$E$2:$E$20001,"COD",Orders!$F$2:$F$20001,"RTO"))</f>
        <v/>
      </c>
      <c r="D800" s="18" t="str">
        <f aca="false">IF($A800="","",IFERROR(C800/B800,0))</f>
        <v/>
      </c>
      <c r="E800" s="17" t="str">
        <f aca="false">IF($A800="","",COUNTIFS(Orders!$C$2:$C$20001,$A800,Orders!$E$2:$E$20001,"Prepaid",Orders!$F$2:$F$20001,"Delivered")+COUNTIFS(Orders!$C$2:$C$20001,$A800,Orders!$E$2:$E$20001,"Prepaid",Orders!$F$2:$F$20001,"RTO"))</f>
        <v/>
      </c>
      <c r="F800" s="17" t="str">
        <f aca="false">IF($A800="","",COUNTIFS(Orders!$C$2:$C$20001,$A800,Orders!$E$2:$E$20001,"Prepaid",Orders!$F$2:$F$20001,"RTO"))</f>
        <v/>
      </c>
      <c r="G800" s="18" t="str">
        <f aca="false">IF($A800="","",IFERROR(F800/E800,0))</f>
        <v/>
      </c>
      <c r="H800" s="19" t="str">
        <f aca="false">IF($A800="","",C800*Settings!$B$11)</f>
        <v/>
      </c>
      <c r="I800" s="20" t="str">
        <f aca="false">IF($A800="","",IF(N(H800)=0,"",RANK(H800,$H$5:$H$2004)))</f>
        <v/>
      </c>
      <c r="J800" s="21" t="str">
        <f aca="false">IF($A800="","",IF(B800=0,"No COD orders",IF(B800&lt;Settings!$B$8,"Too few orders",IF(D800&gt;=Settings!$B$9,"Restrict COD or verify","Keep COD"))))</f>
        <v/>
      </c>
    </row>
    <row r="801" customFormat="false" ht="15" hidden="false" customHeight="false" outlineLevel="0" collapsed="false">
      <c r="A801" s="27"/>
      <c r="B801" s="17" t="str">
        <f aca="false">IF($A801="","",COUNTIFS(Orders!$C$2:$C$20001,$A801,Orders!$E$2:$E$20001,"COD",Orders!$F$2:$F$20001,"Delivered")+COUNTIFS(Orders!$C$2:$C$20001,$A801,Orders!$E$2:$E$20001,"COD",Orders!$F$2:$F$20001,"RTO"))</f>
        <v/>
      </c>
      <c r="C801" s="17" t="str">
        <f aca="false">IF($A801="","",COUNTIFS(Orders!$C$2:$C$20001,$A801,Orders!$E$2:$E$20001,"COD",Orders!$F$2:$F$20001,"RTO"))</f>
        <v/>
      </c>
      <c r="D801" s="18" t="str">
        <f aca="false">IF($A801="","",IFERROR(C801/B801,0))</f>
        <v/>
      </c>
      <c r="E801" s="17" t="str">
        <f aca="false">IF($A801="","",COUNTIFS(Orders!$C$2:$C$20001,$A801,Orders!$E$2:$E$20001,"Prepaid",Orders!$F$2:$F$20001,"Delivered")+COUNTIFS(Orders!$C$2:$C$20001,$A801,Orders!$E$2:$E$20001,"Prepaid",Orders!$F$2:$F$20001,"RTO"))</f>
        <v/>
      </c>
      <c r="F801" s="17" t="str">
        <f aca="false">IF($A801="","",COUNTIFS(Orders!$C$2:$C$20001,$A801,Orders!$E$2:$E$20001,"Prepaid",Orders!$F$2:$F$20001,"RTO"))</f>
        <v/>
      </c>
      <c r="G801" s="18" t="str">
        <f aca="false">IF($A801="","",IFERROR(F801/E801,0))</f>
        <v/>
      </c>
      <c r="H801" s="19" t="str">
        <f aca="false">IF($A801="","",C801*Settings!$B$11)</f>
        <v/>
      </c>
      <c r="I801" s="20" t="str">
        <f aca="false">IF($A801="","",IF(N(H801)=0,"",RANK(H801,$H$5:$H$2004)))</f>
        <v/>
      </c>
      <c r="J801" s="21" t="str">
        <f aca="false">IF($A801="","",IF(B801=0,"No COD orders",IF(B801&lt;Settings!$B$8,"Too few orders",IF(D801&gt;=Settings!$B$9,"Restrict COD or verify","Keep COD"))))</f>
        <v/>
      </c>
    </row>
    <row r="802" customFormat="false" ht="15" hidden="false" customHeight="false" outlineLevel="0" collapsed="false">
      <c r="A802" s="27"/>
      <c r="B802" s="17" t="str">
        <f aca="false">IF($A802="","",COUNTIFS(Orders!$C$2:$C$20001,$A802,Orders!$E$2:$E$20001,"COD",Orders!$F$2:$F$20001,"Delivered")+COUNTIFS(Orders!$C$2:$C$20001,$A802,Orders!$E$2:$E$20001,"COD",Orders!$F$2:$F$20001,"RTO"))</f>
        <v/>
      </c>
      <c r="C802" s="17" t="str">
        <f aca="false">IF($A802="","",COUNTIFS(Orders!$C$2:$C$20001,$A802,Orders!$E$2:$E$20001,"COD",Orders!$F$2:$F$20001,"RTO"))</f>
        <v/>
      </c>
      <c r="D802" s="18" t="str">
        <f aca="false">IF($A802="","",IFERROR(C802/B802,0))</f>
        <v/>
      </c>
      <c r="E802" s="17" t="str">
        <f aca="false">IF($A802="","",COUNTIFS(Orders!$C$2:$C$20001,$A802,Orders!$E$2:$E$20001,"Prepaid",Orders!$F$2:$F$20001,"Delivered")+COUNTIFS(Orders!$C$2:$C$20001,$A802,Orders!$E$2:$E$20001,"Prepaid",Orders!$F$2:$F$20001,"RTO"))</f>
        <v/>
      </c>
      <c r="F802" s="17" t="str">
        <f aca="false">IF($A802="","",COUNTIFS(Orders!$C$2:$C$20001,$A802,Orders!$E$2:$E$20001,"Prepaid",Orders!$F$2:$F$20001,"RTO"))</f>
        <v/>
      </c>
      <c r="G802" s="18" t="str">
        <f aca="false">IF($A802="","",IFERROR(F802/E802,0))</f>
        <v/>
      </c>
      <c r="H802" s="19" t="str">
        <f aca="false">IF($A802="","",C802*Settings!$B$11)</f>
        <v/>
      </c>
      <c r="I802" s="20" t="str">
        <f aca="false">IF($A802="","",IF(N(H802)=0,"",RANK(H802,$H$5:$H$2004)))</f>
        <v/>
      </c>
      <c r="J802" s="21" t="str">
        <f aca="false">IF($A802="","",IF(B802=0,"No COD orders",IF(B802&lt;Settings!$B$8,"Too few orders",IF(D802&gt;=Settings!$B$9,"Restrict COD or verify","Keep COD"))))</f>
        <v/>
      </c>
    </row>
    <row r="803" customFormat="false" ht="15" hidden="false" customHeight="false" outlineLevel="0" collapsed="false">
      <c r="A803" s="27"/>
      <c r="B803" s="17" t="str">
        <f aca="false">IF($A803="","",COUNTIFS(Orders!$C$2:$C$20001,$A803,Orders!$E$2:$E$20001,"COD",Orders!$F$2:$F$20001,"Delivered")+COUNTIFS(Orders!$C$2:$C$20001,$A803,Orders!$E$2:$E$20001,"COD",Orders!$F$2:$F$20001,"RTO"))</f>
        <v/>
      </c>
      <c r="C803" s="17" t="str">
        <f aca="false">IF($A803="","",COUNTIFS(Orders!$C$2:$C$20001,$A803,Orders!$E$2:$E$20001,"COD",Orders!$F$2:$F$20001,"RTO"))</f>
        <v/>
      </c>
      <c r="D803" s="18" t="str">
        <f aca="false">IF($A803="","",IFERROR(C803/B803,0))</f>
        <v/>
      </c>
      <c r="E803" s="17" t="str">
        <f aca="false">IF($A803="","",COUNTIFS(Orders!$C$2:$C$20001,$A803,Orders!$E$2:$E$20001,"Prepaid",Orders!$F$2:$F$20001,"Delivered")+COUNTIFS(Orders!$C$2:$C$20001,$A803,Orders!$E$2:$E$20001,"Prepaid",Orders!$F$2:$F$20001,"RTO"))</f>
        <v/>
      </c>
      <c r="F803" s="17" t="str">
        <f aca="false">IF($A803="","",COUNTIFS(Orders!$C$2:$C$20001,$A803,Orders!$E$2:$E$20001,"Prepaid",Orders!$F$2:$F$20001,"RTO"))</f>
        <v/>
      </c>
      <c r="G803" s="18" t="str">
        <f aca="false">IF($A803="","",IFERROR(F803/E803,0))</f>
        <v/>
      </c>
      <c r="H803" s="19" t="str">
        <f aca="false">IF($A803="","",C803*Settings!$B$11)</f>
        <v/>
      </c>
      <c r="I803" s="20" t="str">
        <f aca="false">IF($A803="","",IF(N(H803)=0,"",RANK(H803,$H$5:$H$2004)))</f>
        <v/>
      </c>
      <c r="J803" s="21" t="str">
        <f aca="false">IF($A803="","",IF(B803=0,"No COD orders",IF(B803&lt;Settings!$B$8,"Too few orders",IF(D803&gt;=Settings!$B$9,"Restrict COD or verify","Keep COD"))))</f>
        <v/>
      </c>
    </row>
    <row r="804" customFormat="false" ht="15" hidden="false" customHeight="false" outlineLevel="0" collapsed="false">
      <c r="A804" s="27"/>
      <c r="B804" s="17" t="str">
        <f aca="false">IF($A804="","",COUNTIFS(Orders!$C$2:$C$20001,$A804,Orders!$E$2:$E$20001,"COD",Orders!$F$2:$F$20001,"Delivered")+COUNTIFS(Orders!$C$2:$C$20001,$A804,Orders!$E$2:$E$20001,"COD",Orders!$F$2:$F$20001,"RTO"))</f>
        <v/>
      </c>
      <c r="C804" s="17" t="str">
        <f aca="false">IF($A804="","",COUNTIFS(Orders!$C$2:$C$20001,$A804,Orders!$E$2:$E$20001,"COD",Orders!$F$2:$F$20001,"RTO"))</f>
        <v/>
      </c>
      <c r="D804" s="18" t="str">
        <f aca="false">IF($A804="","",IFERROR(C804/B804,0))</f>
        <v/>
      </c>
      <c r="E804" s="17" t="str">
        <f aca="false">IF($A804="","",COUNTIFS(Orders!$C$2:$C$20001,$A804,Orders!$E$2:$E$20001,"Prepaid",Orders!$F$2:$F$20001,"Delivered")+COUNTIFS(Orders!$C$2:$C$20001,$A804,Orders!$E$2:$E$20001,"Prepaid",Orders!$F$2:$F$20001,"RTO"))</f>
        <v/>
      </c>
      <c r="F804" s="17" t="str">
        <f aca="false">IF($A804="","",COUNTIFS(Orders!$C$2:$C$20001,$A804,Orders!$E$2:$E$20001,"Prepaid",Orders!$F$2:$F$20001,"RTO"))</f>
        <v/>
      </c>
      <c r="G804" s="18" t="str">
        <f aca="false">IF($A804="","",IFERROR(F804/E804,0))</f>
        <v/>
      </c>
      <c r="H804" s="19" t="str">
        <f aca="false">IF($A804="","",C804*Settings!$B$11)</f>
        <v/>
      </c>
      <c r="I804" s="20" t="str">
        <f aca="false">IF($A804="","",IF(N(H804)=0,"",RANK(H804,$H$5:$H$2004)))</f>
        <v/>
      </c>
      <c r="J804" s="21" t="str">
        <f aca="false">IF($A804="","",IF(B804=0,"No COD orders",IF(B804&lt;Settings!$B$8,"Too few orders",IF(D804&gt;=Settings!$B$9,"Restrict COD or verify","Keep COD"))))</f>
        <v/>
      </c>
    </row>
    <row r="805" customFormat="false" ht="15" hidden="false" customHeight="false" outlineLevel="0" collapsed="false">
      <c r="A805" s="27"/>
      <c r="B805" s="17" t="str">
        <f aca="false">IF($A805="","",COUNTIFS(Orders!$C$2:$C$20001,$A805,Orders!$E$2:$E$20001,"COD",Orders!$F$2:$F$20001,"Delivered")+COUNTIFS(Orders!$C$2:$C$20001,$A805,Orders!$E$2:$E$20001,"COD",Orders!$F$2:$F$20001,"RTO"))</f>
        <v/>
      </c>
      <c r="C805" s="17" t="str">
        <f aca="false">IF($A805="","",COUNTIFS(Orders!$C$2:$C$20001,$A805,Orders!$E$2:$E$20001,"COD",Orders!$F$2:$F$20001,"RTO"))</f>
        <v/>
      </c>
      <c r="D805" s="18" t="str">
        <f aca="false">IF($A805="","",IFERROR(C805/B805,0))</f>
        <v/>
      </c>
      <c r="E805" s="17" t="str">
        <f aca="false">IF($A805="","",COUNTIFS(Orders!$C$2:$C$20001,$A805,Orders!$E$2:$E$20001,"Prepaid",Orders!$F$2:$F$20001,"Delivered")+COUNTIFS(Orders!$C$2:$C$20001,$A805,Orders!$E$2:$E$20001,"Prepaid",Orders!$F$2:$F$20001,"RTO"))</f>
        <v/>
      </c>
      <c r="F805" s="17" t="str">
        <f aca="false">IF($A805="","",COUNTIFS(Orders!$C$2:$C$20001,$A805,Orders!$E$2:$E$20001,"Prepaid",Orders!$F$2:$F$20001,"RTO"))</f>
        <v/>
      </c>
      <c r="G805" s="18" t="str">
        <f aca="false">IF($A805="","",IFERROR(F805/E805,0))</f>
        <v/>
      </c>
      <c r="H805" s="19" t="str">
        <f aca="false">IF($A805="","",C805*Settings!$B$11)</f>
        <v/>
      </c>
      <c r="I805" s="20" t="str">
        <f aca="false">IF($A805="","",IF(N(H805)=0,"",RANK(H805,$H$5:$H$2004)))</f>
        <v/>
      </c>
      <c r="J805" s="21" t="str">
        <f aca="false">IF($A805="","",IF(B805=0,"No COD orders",IF(B805&lt;Settings!$B$8,"Too few orders",IF(D805&gt;=Settings!$B$9,"Restrict COD or verify","Keep COD"))))</f>
        <v/>
      </c>
    </row>
    <row r="806" customFormat="false" ht="15" hidden="false" customHeight="false" outlineLevel="0" collapsed="false">
      <c r="A806" s="27"/>
      <c r="B806" s="17" t="str">
        <f aca="false">IF($A806="","",COUNTIFS(Orders!$C$2:$C$20001,$A806,Orders!$E$2:$E$20001,"COD",Orders!$F$2:$F$20001,"Delivered")+COUNTIFS(Orders!$C$2:$C$20001,$A806,Orders!$E$2:$E$20001,"COD",Orders!$F$2:$F$20001,"RTO"))</f>
        <v/>
      </c>
      <c r="C806" s="17" t="str">
        <f aca="false">IF($A806="","",COUNTIFS(Orders!$C$2:$C$20001,$A806,Orders!$E$2:$E$20001,"COD",Orders!$F$2:$F$20001,"RTO"))</f>
        <v/>
      </c>
      <c r="D806" s="18" t="str">
        <f aca="false">IF($A806="","",IFERROR(C806/B806,0))</f>
        <v/>
      </c>
      <c r="E806" s="17" t="str">
        <f aca="false">IF($A806="","",COUNTIFS(Orders!$C$2:$C$20001,$A806,Orders!$E$2:$E$20001,"Prepaid",Orders!$F$2:$F$20001,"Delivered")+COUNTIFS(Orders!$C$2:$C$20001,$A806,Orders!$E$2:$E$20001,"Prepaid",Orders!$F$2:$F$20001,"RTO"))</f>
        <v/>
      </c>
      <c r="F806" s="17" t="str">
        <f aca="false">IF($A806="","",COUNTIFS(Orders!$C$2:$C$20001,$A806,Orders!$E$2:$E$20001,"Prepaid",Orders!$F$2:$F$20001,"RTO"))</f>
        <v/>
      </c>
      <c r="G806" s="18" t="str">
        <f aca="false">IF($A806="","",IFERROR(F806/E806,0))</f>
        <v/>
      </c>
      <c r="H806" s="19" t="str">
        <f aca="false">IF($A806="","",C806*Settings!$B$11)</f>
        <v/>
      </c>
      <c r="I806" s="20" t="str">
        <f aca="false">IF($A806="","",IF(N(H806)=0,"",RANK(H806,$H$5:$H$2004)))</f>
        <v/>
      </c>
      <c r="J806" s="21" t="str">
        <f aca="false">IF($A806="","",IF(B806=0,"No COD orders",IF(B806&lt;Settings!$B$8,"Too few orders",IF(D806&gt;=Settings!$B$9,"Restrict COD or verify","Keep COD"))))</f>
        <v/>
      </c>
    </row>
    <row r="807" customFormat="false" ht="15" hidden="false" customHeight="false" outlineLevel="0" collapsed="false">
      <c r="A807" s="27"/>
      <c r="B807" s="17" t="str">
        <f aca="false">IF($A807="","",COUNTIFS(Orders!$C$2:$C$20001,$A807,Orders!$E$2:$E$20001,"COD",Orders!$F$2:$F$20001,"Delivered")+COUNTIFS(Orders!$C$2:$C$20001,$A807,Orders!$E$2:$E$20001,"COD",Orders!$F$2:$F$20001,"RTO"))</f>
        <v/>
      </c>
      <c r="C807" s="17" t="str">
        <f aca="false">IF($A807="","",COUNTIFS(Orders!$C$2:$C$20001,$A807,Orders!$E$2:$E$20001,"COD",Orders!$F$2:$F$20001,"RTO"))</f>
        <v/>
      </c>
      <c r="D807" s="18" t="str">
        <f aca="false">IF($A807="","",IFERROR(C807/B807,0))</f>
        <v/>
      </c>
      <c r="E807" s="17" t="str">
        <f aca="false">IF($A807="","",COUNTIFS(Orders!$C$2:$C$20001,$A807,Orders!$E$2:$E$20001,"Prepaid",Orders!$F$2:$F$20001,"Delivered")+COUNTIFS(Orders!$C$2:$C$20001,$A807,Orders!$E$2:$E$20001,"Prepaid",Orders!$F$2:$F$20001,"RTO"))</f>
        <v/>
      </c>
      <c r="F807" s="17" t="str">
        <f aca="false">IF($A807="","",COUNTIFS(Orders!$C$2:$C$20001,$A807,Orders!$E$2:$E$20001,"Prepaid",Orders!$F$2:$F$20001,"RTO"))</f>
        <v/>
      </c>
      <c r="G807" s="18" t="str">
        <f aca="false">IF($A807="","",IFERROR(F807/E807,0))</f>
        <v/>
      </c>
      <c r="H807" s="19" t="str">
        <f aca="false">IF($A807="","",C807*Settings!$B$11)</f>
        <v/>
      </c>
      <c r="I807" s="20" t="str">
        <f aca="false">IF($A807="","",IF(N(H807)=0,"",RANK(H807,$H$5:$H$2004)))</f>
        <v/>
      </c>
      <c r="J807" s="21" t="str">
        <f aca="false">IF($A807="","",IF(B807=0,"No COD orders",IF(B807&lt;Settings!$B$8,"Too few orders",IF(D807&gt;=Settings!$B$9,"Restrict COD or verify","Keep COD"))))</f>
        <v/>
      </c>
    </row>
    <row r="808" customFormat="false" ht="15" hidden="false" customHeight="false" outlineLevel="0" collapsed="false">
      <c r="A808" s="27"/>
      <c r="B808" s="17" t="str">
        <f aca="false">IF($A808="","",COUNTIFS(Orders!$C$2:$C$20001,$A808,Orders!$E$2:$E$20001,"COD",Orders!$F$2:$F$20001,"Delivered")+COUNTIFS(Orders!$C$2:$C$20001,$A808,Orders!$E$2:$E$20001,"COD",Orders!$F$2:$F$20001,"RTO"))</f>
        <v/>
      </c>
      <c r="C808" s="17" t="str">
        <f aca="false">IF($A808="","",COUNTIFS(Orders!$C$2:$C$20001,$A808,Orders!$E$2:$E$20001,"COD",Orders!$F$2:$F$20001,"RTO"))</f>
        <v/>
      </c>
      <c r="D808" s="18" t="str">
        <f aca="false">IF($A808="","",IFERROR(C808/B808,0))</f>
        <v/>
      </c>
      <c r="E808" s="17" t="str">
        <f aca="false">IF($A808="","",COUNTIFS(Orders!$C$2:$C$20001,$A808,Orders!$E$2:$E$20001,"Prepaid",Orders!$F$2:$F$20001,"Delivered")+COUNTIFS(Orders!$C$2:$C$20001,$A808,Orders!$E$2:$E$20001,"Prepaid",Orders!$F$2:$F$20001,"RTO"))</f>
        <v/>
      </c>
      <c r="F808" s="17" t="str">
        <f aca="false">IF($A808="","",COUNTIFS(Orders!$C$2:$C$20001,$A808,Orders!$E$2:$E$20001,"Prepaid",Orders!$F$2:$F$20001,"RTO"))</f>
        <v/>
      </c>
      <c r="G808" s="18" t="str">
        <f aca="false">IF($A808="","",IFERROR(F808/E808,0))</f>
        <v/>
      </c>
      <c r="H808" s="19" t="str">
        <f aca="false">IF($A808="","",C808*Settings!$B$11)</f>
        <v/>
      </c>
      <c r="I808" s="20" t="str">
        <f aca="false">IF($A808="","",IF(N(H808)=0,"",RANK(H808,$H$5:$H$2004)))</f>
        <v/>
      </c>
      <c r="J808" s="21" t="str">
        <f aca="false">IF($A808="","",IF(B808=0,"No COD orders",IF(B808&lt;Settings!$B$8,"Too few orders",IF(D808&gt;=Settings!$B$9,"Restrict COD or verify","Keep COD"))))</f>
        <v/>
      </c>
    </row>
    <row r="809" customFormat="false" ht="15" hidden="false" customHeight="false" outlineLevel="0" collapsed="false">
      <c r="A809" s="27"/>
      <c r="B809" s="17" t="str">
        <f aca="false">IF($A809="","",COUNTIFS(Orders!$C$2:$C$20001,$A809,Orders!$E$2:$E$20001,"COD",Orders!$F$2:$F$20001,"Delivered")+COUNTIFS(Orders!$C$2:$C$20001,$A809,Orders!$E$2:$E$20001,"COD",Orders!$F$2:$F$20001,"RTO"))</f>
        <v/>
      </c>
      <c r="C809" s="17" t="str">
        <f aca="false">IF($A809="","",COUNTIFS(Orders!$C$2:$C$20001,$A809,Orders!$E$2:$E$20001,"COD",Orders!$F$2:$F$20001,"RTO"))</f>
        <v/>
      </c>
      <c r="D809" s="18" t="str">
        <f aca="false">IF($A809="","",IFERROR(C809/B809,0))</f>
        <v/>
      </c>
      <c r="E809" s="17" t="str">
        <f aca="false">IF($A809="","",COUNTIFS(Orders!$C$2:$C$20001,$A809,Orders!$E$2:$E$20001,"Prepaid",Orders!$F$2:$F$20001,"Delivered")+COUNTIFS(Orders!$C$2:$C$20001,$A809,Orders!$E$2:$E$20001,"Prepaid",Orders!$F$2:$F$20001,"RTO"))</f>
        <v/>
      </c>
      <c r="F809" s="17" t="str">
        <f aca="false">IF($A809="","",COUNTIFS(Orders!$C$2:$C$20001,$A809,Orders!$E$2:$E$20001,"Prepaid",Orders!$F$2:$F$20001,"RTO"))</f>
        <v/>
      </c>
      <c r="G809" s="18" t="str">
        <f aca="false">IF($A809="","",IFERROR(F809/E809,0))</f>
        <v/>
      </c>
      <c r="H809" s="19" t="str">
        <f aca="false">IF($A809="","",C809*Settings!$B$11)</f>
        <v/>
      </c>
      <c r="I809" s="20" t="str">
        <f aca="false">IF($A809="","",IF(N(H809)=0,"",RANK(H809,$H$5:$H$2004)))</f>
        <v/>
      </c>
      <c r="J809" s="21" t="str">
        <f aca="false">IF($A809="","",IF(B809=0,"No COD orders",IF(B809&lt;Settings!$B$8,"Too few orders",IF(D809&gt;=Settings!$B$9,"Restrict COD or verify","Keep COD"))))</f>
        <v/>
      </c>
    </row>
    <row r="810" customFormat="false" ht="15" hidden="false" customHeight="false" outlineLevel="0" collapsed="false">
      <c r="A810" s="27"/>
      <c r="B810" s="17" t="str">
        <f aca="false">IF($A810="","",COUNTIFS(Orders!$C$2:$C$20001,$A810,Orders!$E$2:$E$20001,"COD",Orders!$F$2:$F$20001,"Delivered")+COUNTIFS(Orders!$C$2:$C$20001,$A810,Orders!$E$2:$E$20001,"COD",Orders!$F$2:$F$20001,"RTO"))</f>
        <v/>
      </c>
      <c r="C810" s="17" t="str">
        <f aca="false">IF($A810="","",COUNTIFS(Orders!$C$2:$C$20001,$A810,Orders!$E$2:$E$20001,"COD",Orders!$F$2:$F$20001,"RTO"))</f>
        <v/>
      </c>
      <c r="D810" s="18" t="str">
        <f aca="false">IF($A810="","",IFERROR(C810/B810,0))</f>
        <v/>
      </c>
      <c r="E810" s="17" t="str">
        <f aca="false">IF($A810="","",COUNTIFS(Orders!$C$2:$C$20001,$A810,Orders!$E$2:$E$20001,"Prepaid",Orders!$F$2:$F$20001,"Delivered")+COUNTIFS(Orders!$C$2:$C$20001,$A810,Orders!$E$2:$E$20001,"Prepaid",Orders!$F$2:$F$20001,"RTO"))</f>
        <v/>
      </c>
      <c r="F810" s="17" t="str">
        <f aca="false">IF($A810="","",COUNTIFS(Orders!$C$2:$C$20001,$A810,Orders!$E$2:$E$20001,"Prepaid",Orders!$F$2:$F$20001,"RTO"))</f>
        <v/>
      </c>
      <c r="G810" s="18" t="str">
        <f aca="false">IF($A810="","",IFERROR(F810/E810,0))</f>
        <v/>
      </c>
      <c r="H810" s="19" t="str">
        <f aca="false">IF($A810="","",C810*Settings!$B$11)</f>
        <v/>
      </c>
      <c r="I810" s="20" t="str">
        <f aca="false">IF($A810="","",IF(N(H810)=0,"",RANK(H810,$H$5:$H$2004)))</f>
        <v/>
      </c>
      <c r="J810" s="21" t="str">
        <f aca="false">IF($A810="","",IF(B810=0,"No COD orders",IF(B810&lt;Settings!$B$8,"Too few orders",IF(D810&gt;=Settings!$B$9,"Restrict COD or verify","Keep COD"))))</f>
        <v/>
      </c>
    </row>
    <row r="811" customFormat="false" ht="15" hidden="false" customHeight="false" outlineLevel="0" collapsed="false">
      <c r="A811" s="27"/>
      <c r="B811" s="17" t="str">
        <f aca="false">IF($A811="","",COUNTIFS(Orders!$C$2:$C$20001,$A811,Orders!$E$2:$E$20001,"COD",Orders!$F$2:$F$20001,"Delivered")+COUNTIFS(Orders!$C$2:$C$20001,$A811,Orders!$E$2:$E$20001,"COD",Orders!$F$2:$F$20001,"RTO"))</f>
        <v/>
      </c>
      <c r="C811" s="17" t="str">
        <f aca="false">IF($A811="","",COUNTIFS(Orders!$C$2:$C$20001,$A811,Orders!$E$2:$E$20001,"COD",Orders!$F$2:$F$20001,"RTO"))</f>
        <v/>
      </c>
      <c r="D811" s="18" t="str">
        <f aca="false">IF($A811="","",IFERROR(C811/B811,0))</f>
        <v/>
      </c>
      <c r="E811" s="17" t="str">
        <f aca="false">IF($A811="","",COUNTIFS(Orders!$C$2:$C$20001,$A811,Orders!$E$2:$E$20001,"Prepaid",Orders!$F$2:$F$20001,"Delivered")+COUNTIFS(Orders!$C$2:$C$20001,$A811,Orders!$E$2:$E$20001,"Prepaid",Orders!$F$2:$F$20001,"RTO"))</f>
        <v/>
      </c>
      <c r="F811" s="17" t="str">
        <f aca="false">IF($A811="","",COUNTIFS(Orders!$C$2:$C$20001,$A811,Orders!$E$2:$E$20001,"Prepaid",Orders!$F$2:$F$20001,"RTO"))</f>
        <v/>
      </c>
      <c r="G811" s="18" t="str">
        <f aca="false">IF($A811="","",IFERROR(F811/E811,0))</f>
        <v/>
      </c>
      <c r="H811" s="19" t="str">
        <f aca="false">IF($A811="","",C811*Settings!$B$11)</f>
        <v/>
      </c>
      <c r="I811" s="20" t="str">
        <f aca="false">IF($A811="","",IF(N(H811)=0,"",RANK(H811,$H$5:$H$2004)))</f>
        <v/>
      </c>
      <c r="J811" s="21" t="str">
        <f aca="false">IF($A811="","",IF(B811=0,"No COD orders",IF(B811&lt;Settings!$B$8,"Too few orders",IF(D811&gt;=Settings!$B$9,"Restrict COD or verify","Keep COD"))))</f>
        <v/>
      </c>
    </row>
    <row r="812" customFormat="false" ht="15" hidden="false" customHeight="false" outlineLevel="0" collapsed="false">
      <c r="A812" s="27"/>
      <c r="B812" s="17" t="str">
        <f aca="false">IF($A812="","",COUNTIFS(Orders!$C$2:$C$20001,$A812,Orders!$E$2:$E$20001,"COD",Orders!$F$2:$F$20001,"Delivered")+COUNTIFS(Orders!$C$2:$C$20001,$A812,Orders!$E$2:$E$20001,"COD",Orders!$F$2:$F$20001,"RTO"))</f>
        <v/>
      </c>
      <c r="C812" s="17" t="str">
        <f aca="false">IF($A812="","",COUNTIFS(Orders!$C$2:$C$20001,$A812,Orders!$E$2:$E$20001,"COD",Orders!$F$2:$F$20001,"RTO"))</f>
        <v/>
      </c>
      <c r="D812" s="18" t="str">
        <f aca="false">IF($A812="","",IFERROR(C812/B812,0))</f>
        <v/>
      </c>
      <c r="E812" s="17" t="str">
        <f aca="false">IF($A812="","",COUNTIFS(Orders!$C$2:$C$20001,$A812,Orders!$E$2:$E$20001,"Prepaid",Orders!$F$2:$F$20001,"Delivered")+COUNTIFS(Orders!$C$2:$C$20001,$A812,Orders!$E$2:$E$20001,"Prepaid",Orders!$F$2:$F$20001,"RTO"))</f>
        <v/>
      </c>
      <c r="F812" s="17" t="str">
        <f aca="false">IF($A812="","",COUNTIFS(Orders!$C$2:$C$20001,$A812,Orders!$E$2:$E$20001,"Prepaid",Orders!$F$2:$F$20001,"RTO"))</f>
        <v/>
      </c>
      <c r="G812" s="18" t="str">
        <f aca="false">IF($A812="","",IFERROR(F812/E812,0))</f>
        <v/>
      </c>
      <c r="H812" s="19" t="str">
        <f aca="false">IF($A812="","",C812*Settings!$B$11)</f>
        <v/>
      </c>
      <c r="I812" s="20" t="str">
        <f aca="false">IF($A812="","",IF(N(H812)=0,"",RANK(H812,$H$5:$H$2004)))</f>
        <v/>
      </c>
      <c r="J812" s="21" t="str">
        <f aca="false">IF($A812="","",IF(B812=0,"No COD orders",IF(B812&lt;Settings!$B$8,"Too few orders",IF(D812&gt;=Settings!$B$9,"Restrict COD or verify","Keep COD"))))</f>
        <v/>
      </c>
    </row>
    <row r="813" customFormat="false" ht="15" hidden="false" customHeight="false" outlineLevel="0" collapsed="false">
      <c r="A813" s="27"/>
      <c r="B813" s="17" t="str">
        <f aca="false">IF($A813="","",COUNTIFS(Orders!$C$2:$C$20001,$A813,Orders!$E$2:$E$20001,"COD",Orders!$F$2:$F$20001,"Delivered")+COUNTIFS(Orders!$C$2:$C$20001,$A813,Orders!$E$2:$E$20001,"COD",Orders!$F$2:$F$20001,"RTO"))</f>
        <v/>
      </c>
      <c r="C813" s="17" t="str">
        <f aca="false">IF($A813="","",COUNTIFS(Orders!$C$2:$C$20001,$A813,Orders!$E$2:$E$20001,"COD",Orders!$F$2:$F$20001,"RTO"))</f>
        <v/>
      </c>
      <c r="D813" s="18" t="str">
        <f aca="false">IF($A813="","",IFERROR(C813/B813,0))</f>
        <v/>
      </c>
      <c r="E813" s="17" t="str">
        <f aca="false">IF($A813="","",COUNTIFS(Orders!$C$2:$C$20001,$A813,Orders!$E$2:$E$20001,"Prepaid",Orders!$F$2:$F$20001,"Delivered")+COUNTIFS(Orders!$C$2:$C$20001,$A813,Orders!$E$2:$E$20001,"Prepaid",Orders!$F$2:$F$20001,"RTO"))</f>
        <v/>
      </c>
      <c r="F813" s="17" t="str">
        <f aca="false">IF($A813="","",COUNTIFS(Orders!$C$2:$C$20001,$A813,Orders!$E$2:$E$20001,"Prepaid",Orders!$F$2:$F$20001,"RTO"))</f>
        <v/>
      </c>
      <c r="G813" s="18" t="str">
        <f aca="false">IF($A813="","",IFERROR(F813/E813,0))</f>
        <v/>
      </c>
      <c r="H813" s="19" t="str">
        <f aca="false">IF($A813="","",C813*Settings!$B$11)</f>
        <v/>
      </c>
      <c r="I813" s="20" t="str">
        <f aca="false">IF($A813="","",IF(N(H813)=0,"",RANK(H813,$H$5:$H$2004)))</f>
        <v/>
      </c>
      <c r="J813" s="21" t="str">
        <f aca="false">IF($A813="","",IF(B813=0,"No COD orders",IF(B813&lt;Settings!$B$8,"Too few orders",IF(D813&gt;=Settings!$B$9,"Restrict COD or verify","Keep COD"))))</f>
        <v/>
      </c>
    </row>
    <row r="814" customFormat="false" ht="15" hidden="false" customHeight="false" outlineLevel="0" collapsed="false">
      <c r="A814" s="27"/>
      <c r="B814" s="17" t="str">
        <f aca="false">IF($A814="","",COUNTIFS(Orders!$C$2:$C$20001,$A814,Orders!$E$2:$E$20001,"COD",Orders!$F$2:$F$20001,"Delivered")+COUNTIFS(Orders!$C$2:$C$20001,$A814,Orders!$E$2:$E$20001,"COD",Orders!$F$2:$F$20001,"RTO"))</f>
        <v/>
      </c>
      <c r="C814" s="17" t="str">
        <f aca="false">IF($A814="","",COUNTIFS(Orders!$C$2:$C$20001,$A814,Orders!$E$2:$E$20001,"COD",Orders!$F$2:$F$20001,"RTO"))</f>
        <v/>
      </c>
      <c r="D814" s="18" t="str">
        <f aca="false">IF($A814="","",IFERROR(C814/B814,0))</f>
        <v/>
      </c>
      <c r="E814" s="17" t="str">
        <f aca="false">IF($A814="","",COUNTIFS(Orders!$C$2:$C$20001,$A814,Orders!$E$2:$E$20001,"Prepaid",Orders!$F$2:$F$20001,"Delivered")+COUNTIFS(Orders!$C$2:$C$20001,$A814,Orders!$E$2:$E$20001,"Prepaid",Orders!$F$2:$F$20001,"RTO"))</f>
        <v/>
      </c>
      <c r="F814" s="17" t="str">
        <f aca="false">IF($A814="","",COUNTIFS(Orders!$C$2:$C$20001,$A814,Orders!$E$2:$E$20001,"Prepaid",Orders!$F$2:$F$20001,"RTO"))</f>
        <v/>
      </c>
      <c r="G814" s="18" t="str">
        <f aca="false">IF($A814="","",IFERROR(F814/E814,0))</f>
        <v/>
      </c>
      <c r="H814" s="19" t="str">
        <f aca="false">IF($A814="","",C814*Settings!$B$11)</f>
        <v/>
      </c>
      <c r="I814" s="20" t="str">
        <f aca="false">IF($A814="","",IF(N(H814)=0,"",RANK(H814,$H$5:$H$2004)))</f>
        <v/>
      </c>
      <c r="J814" s="21" t="str">
        <f aca="false">IF($A814="","",IF(B814=0,"No COD orders",IF(B814&lt;Settings!$B$8,"Too few orders",IF(D814&gt;=Settings!$B$9,"Restrict COD or verify","Keep COD"))))</f>
        <v/>
      </c>
    </row>
    <row r="815" customFormat="false" ht="15" hidden="false" customHeight="false" outlineLevel="0" collapsed="false">
      <c r="A815" s="27"/>
      <c r="B815" s="17" t="str">
        <f aca="false">IF($A815="","",COUNTIFS(Orders!$C$2:$C$20001,$A815,Orders!$E$2:$E$20001,"COD",Orders!$F$2:$F$20001,"Delivered")+COUNTIFS(Orders!$C$2:$C$20001,$A815,Orders!$E$2:$E$20001,"COD",Orders!$F$2:$F$20001,"RTO"))</f>
        <v/>
      </c>
      <c r="C815" s="17" t="str">
        <f aca="false">IF($A815="","",COUNTIFS(Orders!$C$2:$C$20001,$A815,Orders!$E$2:$E$20001,"COD",Orders!$F$2:$F$20001,"RTO"))</f>
        <v/>
      </c>
      <c r="D815" s="18" t="str">
        <f aca="false">IF($A815="","",IFERROR(C815/B815,0))</f>
        <v/>
      </c>
      <c r="E815" s="17" t="str">
        <f aca="false">IF($A815="","",COUNTIFS(Orders!$C$2:$C$20001,$A815,Orders!$E$2:$E$20001,"Prepaid",Orders!$F$2:$F$20001,"Delivered")+COUNTIFS(Orders!$C$2:$C$20001,$A815,Orders!$E$2:$E$20001,"Prepaid",Orders!$F$2:$F$20001,"RTO"))</f>
        <v/>
      </c>
      <c r="F815" s="17" t="str">
        <f aca="false">IF($A815="","",COUNTIFS(Orders!$C$2:$C$20001,$A815,Orders!$E$2:$E$20001,"Prepaid",Orders!$F$2:$F$20001,"RTO"))</f>
        <v/>
      </c>
      <c r="G815" s="18" t="str">
        <f aca="false">IF($A815="","",IFERROR(F815/E815,0))</f>
        <v/>
      </c>
      <c r="H815" s="19" t="str">
        <f aca="false">IF($A815="","",C815*Settings!$B$11)</f>
        <v/>
      </c>
      <c r="I815" s="20" t="str">
        <f aca="false">IF($A815="","",IF(N(H815)=0,"",RANK(H815,$H$5:$H$2004)))</f>
        <v/>
      </c>
      <c r="J815" s="21" t="str">
        <f aca="false">IF($A815="","",IF(B815=0,"No COD orders",IF(B815&lt;Settings!$B$8,"Too few orders",IF(D815&gt;=Settings!$B$9,"Restrict COD or verify","Keep COD"))))</f>
        <v/>
      </c>
    </row>
    <row r="816" customFormat="false" ht="15" hidden="false" customHeight="false" outlineLevel="0" collapsed="false">
      <c r="A816" s="27"/>
      <c r="B816" s="17" t="str">
        <f aca="false">IF($A816="","",COUNTIFS(Orders!$C$2:$C$20001,$A816,Orders!$E$2:$E$20001,"COD",Orders!$F$2:$F$20001,"Delivered")+COUNTIFS(Orders!$C$2:$C$20001,$A816,Orders!$E$2:$E$20001,"COD",Orders!$F$2:$F$20001,"RTO"))</f>
        <v/>
      </c>
      <c r="C816" s="17" t="str">
        <f aca="false">IF($A816="","",COUNTIFS(Orders!$C$2:$C$20001,$A816,Orders!$E$2:$E$20001,"COD",Orders!$F$2:$F$20001,"RTO"))</f>
        <v/>
      </c>
      <c r="D816" s="18" t="str">
        <f aca="false">IF($A816="","",IFERROR(C816/B816,0))</f>
        <v/>
      </c>
      <c r="E816" s="17" t="str">
        <f aca="false">IF($A816="","",COUNTIFS(Orders!$C$2:$C$20001,$A816,Orders!$E$2:$E$20001,"Prepaid",Orders!$F$2:$F$20001,"Delivered")+COUNTIFS(Orders!$C$2:$C$20001,$A816,Orders!$E$2:$E$20001,"Prepaid",Orders!$F$2:$F$20001,"RTO"))</f>
        <v/>
      </c>
      <c r="F816" s="17" t="str">
        <f aca="false">IF($A816="","",COUNTIFS(Orders!$C$2:$C$20001,$A816,Orders!$E$2:$E$20001,"Prepaid",Orders!$F$2:$F$20001,"RTO"))</f>
        <v/>
      </c>
      <c r="G816" s="18" t="str">
        <f aca="false">IF($A816="","",IFERROR(F816/E816,0))</f>
        <v/>
      </c>
      <c r="H816" s="19" t="str">
        <f aca="false">IF($A816="","",C816*Settings!$B$11)</f>
        <v/>
      </c>
      <c r="I816" s="20" t="str">
        <f aca="false">IF($A816="","",IF(N(H816)=0,"",RANK(H816,$H$5:$H$2004)))</f>
        <v/>
      </c>
      <c r="J816" s="21" t="str">
        <f aca="false">IF($A816="","",IF(B816=0,"No COD orders",IF(B816&lt;Settings!$B$8,"Too few orders",IF(D816&gt;=Settings!$B$9,"Restrict COD or verify","Keep COD"))))</f>
        <v/>
      </c>
    </row>
    <row r="817" customFormat="false" ht="15" hidden="false" customHeight="false" outlineLevel="0" collapsed="false">
      <c r="A817" s="27"/>
      <c r="B817" s="17" t="str">
        <f aca="false">IF($A817="","",COUNTIFS(Orders!$C$2:$C$20001,$A817,Orders!$E$2:$E$20001,"COD",Orders!$F$2:$F$20001,"Delivered")+COUNTIFS(Orders!$C$2:$C$20001,$A817,Orders!$E$2:$E$20001,"COD",Orders!$F$2:$F$20001,"RTO"))</f>
        <v/>
      </c>
      <c r="C817" s="17" t="str">
        <f aca="false">IF($A817="","",COUNTIFS(Orders!$C$2:$C$20001,$A817,Orders!$E$2:$E$20001,"COD",Orders!$F$2:$F$20001,"RTO"))</f>
        <v/>
      </c>
      <c r="D817" s="18" t="str">
        <f aca="false">IF($A817="","",IFERROR(C817/B817,0))</f>
        <v/>
      </c>
      <c r="E817" s="17" t="str">
        <f aca="false">IF($A817="","",COUNTIFS(Orders!$C$2:$C$20001,$A817,Orders!$E$2:$E$20001,"Prepaid",Orders!$F$2:$F$20001,"Delivered")+COUNTIFS(Orders!$C$2:$C$20001,$A817,Orders!$E$2:$E$20001,"Prepaid",Orders!$F$2:$F$20001,"RTO"))</f>
        <v/>
      </c>
      <c r="F817" s="17" t="str">
        <f aca="false">IF($A817="","",COUNTIFS(Orders!$C$2:$C$20001,$A817,Orders!$E$2:$E$20001,"Prepaid",Orders!$F$2:$F$20001,"RTO"))</f>
        <v/>
      </c>
      <c r="G817" s="18" t="str">
        <f aca="false">IF($A817="","",IFERROR(F817/E817,0))</f>
        <v/>
      </c>
      <c r="H817" s="19" t="str">
        <f aca="false">IF($A817="","",C817*Settings!$B$11)</f>
        <v/>
      </c>
      <c r="I817" s="20" t="str">
        <f aca="false">IF($A817="","",IF(N(H817)=0,"",RANK(H817,$H$5:$H$2004)))</f>
        <v/>
      </c>
      <c r="J817" s="21" t="str">
        <f aca="false">IF($A817="","",IF(B817=0,"No COD orders",IF(B817&lt;Settings!$B$8,"Too few orders",IF(D817&gt;=Settings!$B$9,"Restrict COD or verify","Keep COD"))))</f>
        <v/>
      </c>
    </row>
    <row r="818" customFormat="false" ht="15" hidden="false" customHeight="false" outlineLevel="0" collapsed="false">
      <c r="A818" s="27"/>
      <c r="B818" s="17" t="str">
        <f aca="false">IF($A818="","",COUNTIFS(Orders!$C$2:$C$20001,$A818,Orders!$E$2:$E$20001,"COD",Orders!$F$2:$F$20001,"Delivered")+COUNTIFS(Orders!$C$2:$C$20001,$A818,Orders!$E$2:$E$20001,"COD",Orders!$F$2:$F$20001,"RTO"))</f>
        <v/>
      </c>
      <c r="C818" s="17" t="str">
        <f aca="false">IF($A818="","",COUNTIFS(Orders!$C$2:$C$20001,$A818,Orders!$E$2:$E$20001,"COD",Orders!$F$2:$F$20001,"RTO"))</f>
        <v/>
      </c>
      <c r="D818" s="18" t="str">
        <f aca="false">IF($A818="","",IFERROR(C818/B818,0))</f>
        <v/>
      </c>
      <c r="E818" s="17" t="str">
        <f aca="false">IF($A818="","",COUNTIFS(Orders!$C$2:$C$20001,$A818,Orders!$E$2:$E$20001,"Prepaid",Orders!$F$2:$F$20001,"Delivered")+COUNTIFS(Orders!$C$2:$C$20001,$A818,Orders!$E$2:$E$20001,"Prepaid",Orders!$F$2:$F$20001,"RTO"))</f>
        <v/>
      </c>
      <c r="F818" s="17" t="str">
        <f aca="false">IF($A818="","",COUNTIFS(Orders!$C$2:$C$20001,$A818,Orders!$E$2:$E$20001,"Prepaid",Orders!$F$2:$F$20001,"RTO"))</f>
        <v/>
      </c>
      <c r="G818" s="18" t="str">
        <f aca="false">IF($A818="","",IFERROR(F818/E818,0))</f>
        <v/>
      </c>
      <c r="H818" s="19" t="str">
        <f aca="false">IF($A818="","",C818*Settings!$B$11)</f>
        <v/>
      </c>
      <c r="I818" s="20" t="str">
        <f aca="false">IF($A818="","",IF(N(H818)=0,"",RANK(H818,$H$5:$H$2004)))</f>
        <v/>
      </c>
      <c r="J818" s="21" t="str">
        <f aca="false">IF($A818="","",IF(B818=0,"No COD orders",IF(B818&lt;Settings!$B$8,"Too few orders",IF(D818&gt;=Settings!$B$9,"Restrict COD or verify","Keep COD"))))</f>
        <v/>
      </c>
    </row>
    <row r="819" customFormat="false" ht="15" hidden="false" customHeight="false" outlineLevel="0" collapsed="false">
      <c r="A819" s="27"/>
      <c r="B819" s="17" t="str">
        <f aca="false">IF($A819="","",COUNTIFS(Orders!$C$2:$C$20001,$A819,Orders!$E$2:$E$20001,"COD",Orders!$F$2:$F$20001,"Delivered")+COUNTIFS(Orders!$C$2:$C$20001,$A819,Orders!$E$2:$E$20001,"COD",Orders!$F$2:$F$20001,"RTO"))</f>
        <v/>
      </c>
      <c r="C819" s="17" t="str">
        <f aca="false">IF($A819="","",COUNTIFS(Orders!$C$2:$C$20001,$A819,Orders!$E$2:$E$20001,"COD",Orders!$F$2:$F$20001,"RTO"))</f>
        <v/>
      </c>
      <c r="D819" s="18" t="str">
        <f aca="false">IF($A819="","",IFERROR(C819/B819,0))</f>
        <v/>
      </c>
      <c r="E819" s="17" t="str">
        <f aca="false">IF($A819="","",COUNTIFS(Orders!$C$2:$C$20001,$A819,Orders!$E$2:$E$20001,"Prepaid",Orders!$F$2:$F$20001,"Delivered")+COUNTIFS(Orders!$C$2:$C$20001,$A819,Orders!$E$2:$E$20001,"Prepaid",Orders!$F$2:$F$20001,"RTO"))</f>
        <v/>
      </c>
      <c r="F819" s="17" t="str">
        <f aca="false">IF($A819="","",COUNTIFS(Orders!$C$2:$C$20001,$A819,Orders!$E$2:$E$20001,"Prepaid",Orders!$F$2:$F$20001,"RTO"))</f>
        <v/>
      </c>
      <c r="G819" s="18" t="str">
        <f aca="false">IF($A819="","",IFERROR(F819/E819,0))</f>
        <v/>
      </c>
      <c r="H819" s="19" t="str">
        <f aca="false">IF($A819="","",C819*Settings!$B$11)</f>
        <v/>
      </c>
      <c r="I819" s="20" t="str">
        <f aca="false">IF($A819="","",IF(N(H819)=0,"",RANK(H819,$H$5:$H$2004)))</f>
        <v/>
      </c>
      <c r="J819" s="21" t="str">
        <f aca="false">IF($A819="","",IF(B819=0,"No COD orders",IF(B819&lt;Settings!$B$8,"Too few orders",IF(D819&gt;=Settings!$B$9,"Restrict COD or verify","Keep COD"))))</f>
        <v/>
      </c>
    </row>
    <row r="820" customFormat="false" ht="15" hidden="false" customHeight="false" outlineLevel="0" collapsed="false">
      <c r="A820" s="27"/>
      <c r="B820" s="17" t="str">
        <f aca="false">IF($A820="","",COUNTIFS(Orders!$C$2:$C$20001,$A820,Orders!$E$2:$E$20001,"COD",Orders!$F$2:$F$20001,"Delivered")+COUNTIFS(Orders!$C$2:$C$20001,$A820,Orders!$E$2:$E$20001,"COD",Orders!$F$2:$F$20001,"RTO"))</f>
        <v/>
      </c>
      <c r="C820" s="17" t="str">
        <f aca="false">IF($A820="","",COUNTIFS(Orders!$C$2:$C$20001,$A820,Orders!$E$2:$E$20001,"COD",Orders!$F$2:$F$20001,"RTO"))</f>
        <v/>
      </c>
      <c r="D820" s="18" t="str">
        <f aca="false">IF($A820="","",IFERROR(C820/B820,0))</f>
        <v/>
      </c>
      <c r="E820" s="17" t="str">
        <f aca="false">IF($A820="","",COUNTIFS(Orders!$C$2:$C$20001,$A820,Orders!$E$2:$E$20001,"Prepaid",Orders!$F$2:$F$20001,"Delivered")+COUNTIFS(Orders!$C$2:$C$20001,$A820,Orders!$E$2:$E$20001,"Prepaid",Orders!$F$2:$F$20001,"RTO"))</f>
        <v/>
      </c>
      <c r="F820" s="17" t="str">
        <f aca="false">IF($A820="","",COUNTIFS(Orders!$C$2:$C$20001,$A820,Orders!$E$2:$E$20001,"Prepaid",Orders!$F$2:$F$20001,"RTO"))</f>
        <v/>
      </c>
      <c r="G820" s="18" t="str">
        <f aca="false">IF($A820="","",IFERROR(F820/E820,0))</f>
        <v/>
      </c>
      <c r="H820" s="19" t="str">
        <f aca="false">IF($A820="","",C820*Settings!$B$11)</f>
        <v/>
      </c>
      <c r="I820" s="20" t="str">
        <f aca="false">IF($A820="","",IF(N(H820)=0,"",RANK(H820,$H$5:$H$2004)))</f>
        <v/>
      </c>
      <c r="J820" s="21" t="str">
        <f aca="false">IF($A820="","",IF(B820=0,"No COD orders",IF(B820&lt;Settings!$B$8,"Too few orders",IF(D820&gt;=Settings!$B$9,"Restrict COD or verify","Keep COD"))))</f>
        <v/>
      </c>
    </row>
    <row r="821" customFormat="false" ht="15" hidden="false" customHeight="false" outlineLevel="0" collapsed="false">
      <c r="A821" s="27"/>
      <c r="B821" s="17" t="str">
        <f aca="false">IF($A821="","",COUNTIFS(Orders!$C$2:$C$20001,$A821,Orders!$E$2:$E$20001,"COD",Orders!$F$2:$F$20001,"Delivered")+COUNTIFS(Orders!$C$2:$C$20001,$A821,Orders!$E$2:$E$20001,"COD",Orders!$F$2:$F$20001,"RTO"))</f>
        <v/>
      </c>
      <c r="C821" s="17" t="str">
        <f aca="false">IF($A821="","",COUNTIFS(Orders!$C$2:$C$20001,$A821,Orders!$E$2:$E$20001,"COD",Orders!$F$2:$F$20001,"RTO"))</f>
        <v/>
      </c>
      <c r="D821" s="18" t="str">
        <f aca="false">IF($A821="","",IFERROR(C821/B821,0))</f>
        <v/>
      </c>
      <c r="E821" s="17" t="str">
        <f aca="false">IF($A821="","",COUNTIFS(Orders!$C$2:$C$20001,$A821,Orders!$E$2:$E$20001,"Prepaid",Orders!$F$2:$F$20001,"Delivered")+COUNTIFS(Orders!$C$2:$C$20001,$A821,Orders!$E$2:$E$20001,"Prepaid",Orders!$F$2:$F$20001,"RTO"))</f>
        <v/>
      </c>
      <c r="F821" s="17" t="str">
        <f aca="false">IF($A821="","",COUNTIFS(Orders!$C$2:$C$20001,$A821,Orders!$E$2:$E$20001,"Prepaid",Orders!$F$2:$F$20001,"RTO"))</f>
        <v/>
      </c>
      <c r="G821" s="18" t="str">
        <f aca="false">IF($A821="","",IFERROR(F821/E821,0))</f>
        <v/>
      </c>
      <c r="H821" s="19" t="str">
        <f aca="false">IF($A821="","",C821*Settings!$B$11)</f>
        <v/>
      </c>
      <c r="I821" s="20" t="str">
        <f aca="false">IF($A821="","",IF(N(H821)=0,"",RANK(H821,$H$5:$H$2004)))</f>
        <v/>
      </c>
      <c r="J821" s="21" t="str">
        <f aca="false">IF($A821="","",IF(B821=0,"No COD orders",IF(B821&lt;Settings!$B$8,"Too few orders",IF(D821&gt;=Settings!$B$9,"Restrict COD or verify","Keep COD"))))</f>
        <v/>
      </c>
    </row>
    <row r="822" customFormat="false" ht="15" hidden="false" customHeight="false" outlineLevel="0" collapsed="false">
      <c r="A822" s="27"/>
      <c r="B822" s="17" t="str">
        <f aca="false">IF($A822="","",COUNTIFS(Orders!$C$2:$C$20001,$A822,Orders!$E$2:$E$20001,"COD",Orders!$F$2:$F$20001,"Delivered")+COUNTIFS(Orders!$C$2:$C$20001,$A822,Orders!$E$2:$E$20001,"COD",Orders!$F$2:$F$20001,"RTO"))</f>
        <v/>
      </c>
      <c r="C822" s="17" t="str">
        <f aca="false">IF($A822="","",COUNTIFS(Orders!$C$2:$C$20001,$A822,Orders!$E$2:$E$20001,"COD",Orders!$F$2:$F$20001,"RTO"))</f>
        <v/>
      </c>
      <c r="D822" s="18" t="str">
        <f aca="false">IF($A822="","",IFERROR(C822/B822,0))</f>
        <v/>
      </c>
      <c r="E822" s="17" t="str">
        <f aca="false">IF($A822="","",COUNTIFS(Orders!$C$2:$C$20001,$A822,Orders!$E$2:$E$20001,"Prepaid",Orders!$F$2:$F$20001,"Delivered")+COUNTIFS(Orders!$C$2:$C$20001,$A822,Orders!$E$2:$E$20001,"Prepaid",Orders!$F$2:$F$20001,"RTO"))</f>
        <v/>
      </c>
      <c r="F822" s="17" t="str">
        <f aca="false">IF($A822="","",COUNTIFS(Orders!$C$2:$C$20001,$A822,Orders!$E$2:$E$20001,"Prepaid",Orders!$F$2:$F$20001,"RTO"))</f>
        <v/>
      </c>
      <c r="G822" s="18" t="str">
        <f aca="false">IF($A822="","",IFERROR(F822/E822,0))</f>
        <v/>
      </c>
      <c r="H822" s="19" t="str">
        <f aca="false">IF($A822="","",C822*Settings!$B$11)</f>
        <v/>
      </c>
      <c r="I822" s="20" t="str">
        <f aca="false">IF($A822="","",IF(N(H822)=0,"",RANK(H822,$H$5:$H$2004)))</f>
        <v/>
      </c>
      <c r="J822" s="21" t="str">
        <f aca="false">IF($A822="","",IF(B822=0,"No COD orders",IF(B822&lt;Settings!$B$8,"Too few orders",IF(D822&gt;=Settings!$B$9,"Restrict COD or verify","Keep COD"))))</f>
        <v/>
      </c>
    </row>
    <row r="823" customFormat="false" ht="15" hidden="false" customHeight="false" outlineLevel="0" collapsed="false">
      <c r="A823" s="27"/>
      <c r="B823" s="17" t="str">
        <f aca="false">IF($A823="","",COUNTIFS(Orders!$C$2:$C$20001,$A823,Orders!$E$2:$E$20001,"COD",Orders!$F$2:$F$20001,"Delivered")+COUNTIFS(Orders!$C$2:$C$20001,$A823,Orders!$E$2:$E$20001,"COD",Orders!$F$2:$F$20001,"RTO"))</f>
        <v/>
      </c>
      <c r="C823" s="17" t="str">
        <f aca="false">IF($A823="","",COUNTIFS(Orders!$C$2:$C$20001,$A823,Orders!$E$2:$E$20001,"COD",Orders!$F$2:$F$20001,"RTO"))</f>
        <v/>
      </c>
      <c r="D823" s="18" t="str">
        <f aca="false">IF($A823="","",IFERROR(C823/B823,0))</f>
        <v/>
      </c>
      <c r="E823" s="17" t="str">
        <f aca="false">IF($A823="","",COUNTIFS(Orders!$C$2:$C$20001,$A823,Orders!$E$2:$E$20001,"Prepaid",Orders!$F$2:$F$20001,"Delivered")+COUNTIFS(Orders!$C$2:$C$20001,$A823,Orders!$E$2:$E$20001,"Prepaid",Orders!$F$2:$F$20001,"RTO"))</f>
        <v/>
      </c>
      <c r="F823" s="17" t="str">
        <f aca="false">IF($A823="","",COUNTIFS(Orders!$C$2:$C$20001,$A823,Orders!$E$2:$E$20001,"Prepaid",Orders!$F$2:$F$20001,"RTO"))</f>
        <v/>
      </c>
      <c r="G823" s="18" t="str">
        <f aca="false">IF($A823="","",IFERROR(F823/E823,0))</f>
        <v/>
      </c>
      <c r="H823" s="19" t="str">
        <f aca="false">IF($A823="","",C823*Settings!$B$11)</f>
        <v/>
      </c>
      <c r="I823" s="20" t="str">
        <f aca="false">IF($A823="","",IF(N(H823)=0,"",RANK(H823,$H$5:$H$2004)))</f>
        <v/>
      </c>
      <c r="J823" s="21" t="str">
        <f aca="false">IF($A823="","",IF(B823=0,"No COD orders",IF(B823&lt;Settings!$B$8,"Too few orders",IF(D823&gt;=Settings!$B$9,"Restrict COD or verify","Keep COD"))))</f>
        <v/>
      </c>
    </row>
    <row r="824" customFormat="false" ht="15" hidden="false" customHeight="false" outlineLevel="0" collapsed="false">
      <c r="A824" s="27"/>
      <c r="B824" s="17" t="str">
        <f aca="false">IF($A824="","",COUNTIFS(Orders!$C$2:$C$20001,$A824,Orders!$E$2:$E$20001,"COD",Orders!$F$2:$F$20001,"Delivered")+COUNTIFS(Orders!$C$2:$C$20001,$A824,Orders!$E$2:$E$20001,"COD",Orders!$F$2:$F$20001,"RTO"))</f>
        <v/>
      </c>
      <c r="C824" s="17" t="str">
        <f aca="false">IF($A824="","",COUNTIFS(Orders!$C$2:$C$20001,$A824,Orders!$E$2:$E$20001,"COD",Orders!$F$2:$F$20001,"RTO"))</f>
        <v/>
      </c>
      <c r="D824" s="18" t="str">
        <f aca="false">IF($A824="","",IFERROR(C824/B824,0))</f>
        <v/>
      </c>
      <c r="E824" s="17" t="str">
        <f aca="false">IF($A824="","",COUNTIFS(Orders!$C$2:$C$20001,$A824,Orders!$E$2:$E$20001,"Prepaid",Orders!$F$2:$F$20001,"Delivered")+COUNTIFS(Orders!$C$2:$C$20001,$A824,Orders!$E$2:$E$20001,"Prepaid",Orders!$F$2:$F$20001,"RTO"))</f>
        <v/>
      </c>
      <c r="F824" s="17" t="str">
        <f aca="false">IF($A824="","",COUNTIFS(Orders!$C$2:$C$20001,$A824,Orders!$E$2:$E$20001,"Prepaid",Orders!$F$2:$F$20001,"RTO"))</f>
        <v/>
      </c>
      <c r="G824" s="18" t="str">
        <f aca="false">IF($A824="","",IFERROR(F824/E824,0))</f>
        <v/>
      </c>
      <c r="H824" s="19" t="str">
        <f aca="false">IF($A824="","",C824*Settings!$B$11)</f>
        <v/>
      </c>
      <c r="I824" s="20" t="str">
        <f aca="false">IF($A824="","",IF(N(H824)=0,"",RANK(H824,$H$5:$H$2004)))</f>
        <v/>
      </c>
      <c r="J824" s="21" t="str">
        <f aca="false">IF($A824="","",IF(B824=0,"No COD orders",IF(B824&lt;Settings!$B$8,"Too few orders",IF(D824&gt;=Settings!$B$9,"Restrict COD or verify","Keep COD"))))</f>
        <v/>
      </c>
    </row>
    <row r="825" customFormat="false" ht="15" hidden="false" customHeight="false" outlineLevel="0" collapsed="false">
      <c r="A825" s="27"/>
      <c r="B825" s="17" t="str">
        <f aca="false">IF($A825="","",COUNTIFS(Orders!$C$2:$C$20001,$A825,Orders!$E$2:$E$20001,"COD",Orders!$F$2:$F$20001,"Delivered")+COUNTIFS(Orders!$C$2:$C$20001,$A825,Orders!$E$2:$E$20001,"COD",Orders!$F$2:$F$20001,"RTO"))</f>
        <v/>
      </c>
      <c r="C825" s="17" t="str">
        <f aca="false">IF($A825="","",COUNTIFS(Orders!$C$2:$C$20001,$A825,Orders!$E$2:$E$20001,"COD",Orders!$F$2:$F$20001,"RTO"))</f>
        <v/>
      </c>
      <c r="D825" s="18" t="str">
        <f aca="false">IF($A825="","",IFERROR(C825/B825,0))</f>
        <v/>
      </c>
      <c r="E825" s="17" t="str">
        <f aca="false">IF($A825="","",COUNTIFS(Orders!$C$2:$C$20001,$A825,Orders!$E$2:$E$20001,"Prepaid",Orders!$F$2:$F$20001,"Delivered")+COUNTIFS(Orders!$C$2:$C$20001,$A825,Orders!$E$2:$E$20001,"Prepaid",Orders!$F$2:$F$20001,"RTO"))</f>
        <v/>
      </c>
      <c r="F825" s="17" t="str">
        <f aca="false">IF($A825="","",COUNTIFS(Orders!$C$2:$C$20001,$A825,Orders!$E$2:$E$20001,"Prepaid",Orders!$F$2:$F$20001,"RTO"))</f>
        <v/>
      </c>
      <c r="G825" s="18" t="str">
        <f aca="false">IF($A825="","",IFERROR(F825/E825,0))</f>
        <v/>
      </c>
      <c r="H825" s="19" t="str">
        <f aca="false">IF($A825="","",C825*Settings!$B$11)</f>
        <v/>
      </c>
      <c r="I825" s="20" t="str">
        <f aca="false">IF($A825="","",IF(N(H825)=0,"",RANK(H825,$H$5:$H$2004)))</f>
        <v/>
      </c>
      <c r="J825" s="21" t="str">
        <f aca="false">IF($A825="","",IF(B825=0,"No COD orders",IF(B825&lt;Settings!$B$8,"Too few orders",IF(D825&gt;=Settings!$B$9,"Restrict COD or verify","Keep COD"))))</f>
        <v/>
      </c>
    </row>
    <row r="826" customFormat="false" ht="15" hidden="false" customHeight="false" outlineLevel="0" collapsed="false">
      <c r="A826" s="27"/>
      <c r="B826" s="17" t="str">
        <f aca="false">IF($A826="","",COUNTIFS(Orders!$C$2:$C$20001,$A826,Orders!$E$2:$E$20001,"COD",Orders!$F$2:$F$20001,"Delivered")+COUNTIFS(Orders!$C$2:$C$20001,$A826,Orders!$E$2:$E$20001,"COD",Orders!$F$2:$F$20001,"RTO"))</f>
        <v/>
      </c>
      <c r="C826" s="17" t="str">
        <f aca="false">IF($A826="","",COUNTIFS(Orders!$C$2:$C$20001,$A826,Orders!$E$2:$E$20001,"COD",Orders!$F$2:$F$20001,"RTO"))</f>
        <v/>
      </c>
      <c r="D826" s="18" t="str">
        <f aca="false">IF($A826="","",IFERROR(C826/B826,0))</f>
        <v/>
      </c>
      <c r="E826" s="17" t="str">
        <f aca="false">IF($A826="","",COUNTIFS(Orders!$C$2:$C$20001,$A826,Orders!$E$2:$E$20001,"Prepaid",Orders!$F$2:$F$20001,"Delivered")+COUNTIFS(Orders!$C$2:$C$20001,$A826,Orders!$E$2:$E$20001,"Prepaid",Orders!$F$2:$F$20001,"RTO"))</f>
        <v/>
      </c>
      <c r="F826" s="17" t="str">
        <f aca="false">IF($A826="","",COUNTIFS(Orders!$C$2:$C$20001,$A826,Orders!$E$2:$E$20001,"Prepaid",Orders!$F$2:$F$20001,"RTO"))</f>
        <v/>
      </c>
      <c r="G826" s="18" t="str">
        <f aca="false">IF($A826="","",IFERROR(F826/E826,0))</f>
        <v/>
      </c>
      <c r="H826" s="19" t="str">
        <f aca="false">IF($A826="","",C826*Settings!$B$11)</f>
        <v/>
      </c>
      <c r="I826" s="20" t="str">
        <f aca="false">IF($A826="","",IF(N(H826)=0,"",RANK(H826,$H$5:$H$2004)))</f>
        <v/>
      </c>
      <c r="J826" s="21" t="str">
        <f aca="false">IF($A826="","",IF(B826=0,"No COD orders",IF(B826&lt;Settings!$B$8,"Too few orders",IF(D826&gt;=Settings!$B$9,"Restrict COD or verify","Keep COD"))))</f>
        <v/>
      </c>
    </row>
    <row r="827" customFormat="false" ht="15" hidden="false" customHeight="false" outlineLevel="0" collapsed="false">
      <c r="A827" s="27"/>
      <c r="B827" s="17" t="str">
        <f aca="false">IF($A827="","",COUNTIFS(Orders!$C$2:$C$20001,$A827,Orders!$E$2:$E$20001,"COD",Orders!$F$2:$F$20001,"Delivered")+COUNTIFS(Orders!$C$2:$C$20001,$A827,Orders!$E$2:$E$20001,"COD",Orders!$F$2:$F$20001,"RTO"))</f>
        <v/>
      </c>
      <c r="C827" s="17" t="str">
        <f aca="false">IF($A827="","",COUNTIFS(Orders!$C$2:$C$20001,$A827,Orders!$E$2:$E$20001,"COD",Orders!$F$2:$F$20001,"RTO"))</f>
        <v/>
      </c>
      <c r="D827" s="18" t="str">
        <f aca="false">IF($A827="","",IFERROR(C827/B827,0))</f>
        <v/>
      </c>
      <c r="E827" s="17" t="str">
        <f aca="false">IF($A827="","",COUNTIFS(Orders!$C$2:$C$20001,$A827,Orders!$E$2:$E$20001,"Prepaid",Orders!$F$2:$F$20001,"Delivered")+COUNTIFS(Orders!$C$2:$C$20001,$A827,Orders!$E$2:$E$20001,"Prepaid",Orders!$F$2:$F$20001,"RTO"))</f>
        <v/>
      </c>
      <c r="F827" s="17" t="str">
        <f aca="false">IF($A827="","",COUNTIFS(Orders!$C$2:$C$20001,$A827,Orders!$E$2:$E$20001,"Prepaid",Orders!$F$2:$F$20001,"RTO"))</f>
        <v/>
      </c>
      <c r="G827" s="18" t="str">
        <f aca="false">IF($A827="","",IFERROR(F827/E827,0))</f>
        <v/>
      </c>
      <c r="H827" s="19" t="str">
        <f aca="false">IF($A827="","",C827*Settings!$B$11)</f>
        <v/>
      </c>
      <c r="I827" s="20" t="str">
        <f aca="false">IF($A827="","",IF(N(H827)=0,"",RANK(H827,$H$5:$H$2004)))</f>
        <v/>
      </c>
      <c r="J827" s="21" t="str">
        <f aca="false">IF($A827="","",IF(B827=0,"No COD orders",IF(B827&lt;Settings!$B$8,"Too few orders",IF(D827&gt;=Settings!$B$9,"Restrict COD or verify","Keep COD"))))</f>
        <v/>
      </c>
    </row>
    <row r="828" customFormat="false" ht="15" hidden="false" customHeight="false" outlineLevel="0" collapsed="false">
      <c r="A828" s="27"/>
      <c r="B828" s="17" t="str">
        <f aca="false">IF($A828="","",COUNTIFS(Orders!$C$2:$C$20001,$A828,Orders!$E$2:$E$20001,"COD",Orders!$F$2:$F$20001,"Delivered")+COUNTIFS(Orders!$C$2:$C$20001,$A828,Orders!$E$2:$E$20001,"COD",Orders!$F$2:$F$20001,"RTO"))</f>
        <v/>
      </c>
      <c r="C828" s="17" t="str">
        <f aca="false">IF($A828="","",COUNTIFS(Orders!$C$2:$C$20001,$A828,Orders!$E$2:$E$20001,"COD",Orders!$F$2:$F$20001,"RTO"))</f>
        <v/>
      </c>
      <c r="D828" s="18" t="str">
        <f aca="false">IF($A828="","",IFERROR(C828/B828,0))</f>
        <v/>
      </c>
      <c r="E828" s="17" t="str">
        <f aca="false">IF($A828="","",COUNTIFS(Orders!$C$2:$C$20001,$A828,Orders!$E$2:$E$20001,"Prepaid",Orders!$F$2:$F$20001,"Delivered")+COUNTIFS(Orders!$C$2:$C$20001,$A828,Orders!$E$2:$E$20001,"Prepaid",Orders!$F$2:$F$20001,"RTO"))</f>
        <v/>
      </c>
      <c r="F828" s="17" t="str">
        <f aca="false">IF($A828="","",COUNTIFS(Orders!$C$2:$C$20001,$A828,Orders!$E$2:$E$20001,"Prepaid",Orders!$F$2:$F$20001,"RTO"))</f>
        <v/>
      </c>
      <c r="G828" s="18" t="str">
        <f aca="false">IF($A828="","",IFERROR(F828/E828,0))</f>
        <v/>
      </c>
      <c r="H828" s="19" t="str">
        <f aca="false">IF($A828="","",C828*Settings!$B$11)</f>
        <v/>
      </c>
      <c r="I828" s="20" t="str">
        <f aca="false">IF($A828="","",IF(N(H828)=0,"",RANK(H828,$H$5:$H$2004)))</f>
        <v/>
      </c>
      <c r="J828" s="21" t="str">
        <f aca="false">IF($A828="","",IF(B828=0,"No COD orders",IF(B828&lt;Settings!$B$8,"Too few orders",IF(D828&gt;=Settings!$B$9,"Restrict COD or verify","Keep COD"))))</f>
        <v/>
      </c>
    </row>
    <row r="829" customFormat="false" ht="15" hidden="false" customHeight="false" outlineLevel="0" collapsed="false">
      <c r="A829" s="27"/>
      <c r="B829" s="17" t="str">
        <f aca="false">IF($A829="","",COUNTIFS(Orders!$C$2:$C$20001,$A829,Orders!$E$2:$E$20001,"COD",Orders!$F$2:$F$20001,"Delivered")+COUNTIFS(Orders!$C$2:$C$20001,$A829,Orders!$E$2:$E$20001,"COD",Orders!$F$2:$F$20001,"RTO"))</f>
        <v/>
      </c>
      <c r="C829" s="17" t="str">
        <f aca="false">IF($A829="","",COUNTIFS(Orders!$C$2:$C$20001,$A829,Orders!$E$2:$E$20001,"COD",Orders!$F$2:$F$20001,"RTO"))</f>
        <v/>
      </c>
      <c r="D829" s="18" t="str">
        <f aca="false">IF($A829="","",IFERROR(C829/B829,0))</f>
        <v/>
      </c>
      <c r="E829" s="17" t="str">
        <f aca="false">IF($A829="","",COUNTIFS(Orders!$C$2:$C$20001,$A829,Orders!$E$2:$E$20001,"Prepaid",Orders!$F$2:$F$20001,"Delivered")+COUNTIFS(Orders!$C$2:$C$20001,$A829,Orders!$E$2:$E$20001,"Prepaid",Orders!$F$2:$F$20001,"RTO"))</f>
        <v/>
      </c>
      <c r="F829" s="17" t="str">
        <f aca="false">IF($A829="","",COUNTIFS(Orders!$C$2:$C$20001,$A829,Orders!$E$2:$E$20001,"Prepaid",Orders!$F$2:$F$20001,"RTO"))</f>
        <v/>
      </c>
      <c r="G829" s="18" t="str">
        <f aca="false">IF($A829="","",IFERROR(F829/E829,0))</f>
        <v/>
      </c>
      <c r="H829" s="19" t="str">
        <f aca="false">IF($A829="","",C829*Settings!$B$11)</f>
        <v/>
      </c>
      <c r="I829" s="20" t="str">
        <f aca="false">IF($A829="","",IF(N(H829)=0,"",RANK(H829,$H$5:$H$2004)))</f>
        <v/>
      </c>
      <c r="J829" s="21" t="str">
        <f aca="false">IF($A829="","",IF(B829=0,"No COD orders",IF(B829&lt;Settings!$B$8,"Too few orders",IF(D829&gt;=Settings!$B$9,"Restrict COD or verify","Keep COD"))))</f>
        <v/>
      </c>
    </row>
    <row r="830" customFormat="false" ht="15" hidden="false" customHeight="false" outlineLevel="0" collapsed="false">
      <c r="A830" s="27"/>
      <c r="B830" s="17" t="str">
        <f aca="false">IF($A830="","",COUNTIFS(Orders!$C$2:$C$20001,$A830,Orders!$E$2:$E$20001,"COD",Orders!$F$2:$F$20001,"Delivered")+COUNTIFS(Orders!$C$2:$C$20001,$A830,Orders!$E$2:$E$20001,"COD",Orders!$F$2:$F$20001,"RTO"))</f>
        <v/>
      </c>
      <c r="C830" s="17" t="str">
        <f aca="false">IF($A830="","",COUNTIFS(Orders!$C$2:$C$20001,$A830,Orders!$E$2:$E$20001,"COD",Orders!$F$2:$F$20001,"RTO"))</f>
        <v/>
      </c>
      <c r="D830" s="18" t="str">
        <f aca="false">IF($A830="","",IFERROR(C830/B830,0))</f>
        <v/>
      </c>
      <c r="E830" s="17" t="str">
        <f aca="false">IF($A830="","",COUNTIFS(Orders!$C$2:$C$20001,$A830,Orders!$E$2:$E$20001,"Prepaid",Orders!$F$2:$F$20001,"Delivered")+COUNTIFS(Orders!$C$2:$C$20001,$A830,Orders!$E$2:$E$20001,"Prepaid",Orders!$F$2:$F$20001,"RTO"))</f>
        <v/>
      </c>
      <c r="F830" s="17" t="str">
        <f aca="false">IF($A830="","",COUNTIFS(Orders!$C$2:$C$20001,$A830,Orders!$E$2:$E$20001,"Prepaid",Orders!$F$2:$F$20001,"RTO"))</f>
        <v/>
      </c>
      <c r="G830" s="18" t="str">
        <f aca="false">IF($A830="","",IFERROR(F830/E830,0))</f>
        <v/>
      </c>
      <c r="H830" s="19" t="str">
        <f aca="false">IF($A830="","",C830*Settings!$B$11)</f>
        <v/>
      </c>
      <c r="I830" s="20" t="str">
        <f aca="false">IF($A830="","",IF(N(H830)=0,"",RANK(H830,$H$5:$H$2004)))</f>
        <v/>
      </c>
      <c r="J830" s="21" t="str">
        <f aca="false">IF($A830="","",IF(B830=0,"No COD orders",IF(B830&lt;Settings!$B$8,"Too few orders",IF(D830&gt;=Settings!$B$9,"Restrict COD or verify","Keep COD"))))</f>
        <v/>
      </c>
    </row>
    <row r="831" customFormat="false" ht="15" hidden="false" customHeight="false" outlineLevel="0" collapsed="false">
      <c r="A831" s="27"/>
      <c r="B831" s="17" t="str">
        <f aca="false">IF($A831="","",COUNTIFS(Orders!$C$2:$C$20001,$A831,Orders!$E$2:$E$20001,"COD",Orders!$F$2:$F$20001,"Delivered")+COUNTIFS(Orders!$C$2:$C$20001,$A831,Orders!$E$2:$E$20001,"COD",Orders!$F$2:$F$20001,"RTO"))</f>
        <v/>
      </c>
      <c r="C831" s="17" t="str">
        <f aca="false">IF($A831="","",COUNTIFS(Orders!$C$2:$C$20001,$A831,Orders!$E$2:$E$20001,"COD",Orders!$F$2:$F$20001,"RTO"))</f>
        <v/>
      </c>
      <c r="D831" s="18" t="str">
        <f aca="false">IF($A831="","",IFERROR(C831/B831,0))</f>
        <v/>
      </c>
      <c r="E831" s="17" t="str">
        <f aca="false">IF($A831="","",COUNTIFS(Orders!$C$2:$C$20001,$A831,Orders!$E$2:$E$20001,"Prepaid",Orders!$F$2:$F$20001,"Delivered")+COUNTIFS(Orders!$C$2:$C$20001,$A831,Orders!$E$2:$E$20001,"Prepaid",Orders!$F$2:$F$20001,"RTO"))</f>
        <v/>
      </c>
      <c r="F831" s="17" t="str">
        <f aca="false">IF($A831="","",COUNTIFS(Orders!$C$2:$C$20001,$A831,Orders!$E$2:$E$20001,"Prepaid",Orders!$F$2:$F$20001,"RTO"))</f>
        <v/>
      </c>
      <c r="G831" s="18" t="str">
        <f aca="false">IF($A831="","",IFERROR(F831/E831,0))</f>
        <v/>
      </c>
      <c r="H831" s="19" t="str">
        <f aca="false">IF($A831="","",C831*Settings!$B$11)</f>
        <v/>
      </c>
      <c r="I831" s="20" t="str">
        <f aca="false">IF($A831="","",IF(N(H831)=0,"",RANK(H831,$H$5:$H$2004)))</f>
        <v/>
      </c>
      <c r="J831" s="21" t="str">
        <f aca="false">IF($A831="","",IF(B831=0,"No COD orders",IF(B831&lt;Settings!$B$8,"Too few orders",IF(D831&gt;=Settings!$B$9,"Restrict COD or verify","Keep COD"))))</f>
        <v/>
      </c>
    </row>
    <row r="832" customFormat="false" ht="15" hidden="false" customHeight="false" outlineLevel="0" collapsed="false">
      <c r="A832" s="27"/>
      <c r="B832" s="17" t="str">
        <f aca="false">IF($A832="","",COUNTIFS(Orders!$C$2:$C$20001,$A832,Orders!$E$2:$E$20001,"COD",Orders!$F$2:$F$20001,"Delivered")+COUNTIFS(Orders!$C$2:$C$20001,$A832,Orders!$E$2:$E$20001,"COD",Orders!$F$2:$F$20001,"RTO"))</f>
        <v/>
      </c>
      <c r="C832" s="17" t="str">
        <f aca="false">IF($A832="","",COUNTIFS(Orders!$C$2:$C$20001,$A832,Orders!$E$2:$E$20001,"COD",Orders!$F$2:$F$20001,"RTO"))</f>
        <v/>
      </c>
      <c r="D832" s="18" t="str">
        <f aca="false">IF($A832="","",IFERROR(C832/B832,0))</f>
        <v/>
      </c>
      <c r="E832" s="17" t="str">
        <f aca="false">IF($A832="","",COUNTIFS(Orders!$C$2:$C$20001,$A832,Orders!$E$2:$E$20001,"Prepaid",Orders!$F$2:$F$20001,"Delivered")+COUNTIFS(Orders!$C$2:$C$20001,$A832,Orders!$E$2:$E$20001,"Prepaid",Orders!$F$2:$F$20001,"RTO"))</f>
        <v/>
      </c>
      <c r="F832" s="17" t="str">
        <f aca="false">IF($A832="","",COUNTIFS(Orders!$C$2:$C$20001,$A832,Orders!$E$2:$E$20001,"Prepaid",Orders!$F$2:$F$20001,"RTO"))</f>
        <v/>
      </c>
      <c r="G832" s="18" t="str">
        <f aca="false">IF($A832="","",IFERROR(F832/E832,0))</f>
        <v/>
      </c>
      <c r="H832" s="19" t="str">
        <f aca="false">IF($A832="","",C832*Settings!$B$11)</f>
        <v/>
      </c>
      <c r="I832" s="20" t="str">
        <f aca="false">IF($A832="","",IF(N(H832)=0,"",RANK(H832,$H$5:$H$2004)))</f>
        <v/>
      </c>
      <c r="J832" s="21" t="str">
        <f aca="false">IF($A832="","",IF(B832=0,"No COD orders",IF(B832&lt;Settings!$B$8,"Too few orders",IF(D832&gt;=Settings!$B$9,"Restrict COD or verify","Keep COD"))))</f>
        <v/>
      </c>
    </row>
    <row r="833" customFormat="false" ht="15" hidden="false" customHeight="false" outlineLevel="0" collapsed="false">
      <c r="A833" s="27"/>
      <c r="B833" s="17" t="str">
        <f aca="false">IF($A833="","",COUNTIFS(Orders!$C$2:$C$20001,$A833,Orders!$E$2:$E$20001,"COD",Orders!$F$2:$F$20001,"Delivered")+COUNTIFS(Orders!$C$2:$C$20001,$A833,Orders!$E$2:$E$20001,"COD",Orders!$F$2:$F$20001,"RTO"))</f>
        <v/>
      </c>
      <c r="C833" s="17" t="str">
        <f aca="false">IF($A833="","",COUNTIFS(Orders!$C$2:$C$20001,$A833,Orders!$E$2:$E$20001,"COD",Orders!$F$2:$F$20001,"RTO"))</f>
        <v/>
      </c>
      <c r="D833" s="18" t="str">
        <f aca="false">IF($A833="","",IFERROR(C833/B833,0))</f>
        <v/>
      </c>
      <c r="E833" s="17" t="str">
        <f aca="false">IF($A833="","",COUNTIFS(Orders!$C$2:$C$20001,$A833,Orders!$E$2:$E$20001,"Prepaid",Orders!$F$2:$F$20001,"Delivered")+COUNTIFS(Orders!$C$2:$C$20001,$A833,Orders!$E$2:$E$20001,"Prepaid",Orders!$F$2:$F$20001,"RTO"))</f>
        <v/>
      </c>
      <c r="F833" s="17" t="str">
        <f aca="false">IF($A833="","",COUNTIFS(Orders!$C$2:$C$20001,$A833,Orders!$E$2:$E$20001,"Prepaid",Orders!$F$2:$F$20001,"RTO"))</f>
        <v/>
      </c>
      <c r="G833" s="18" t="str">
        <f aca="false">IF($A833="","",IFERROR(F833/E833,0))</f>
        <v/>
      </c>
      <c r="H833" s="19" t="str">
        <f aca="false">IF($A833="","",C833*Settings!$B$11)</f>
        <v/>
      </c>
      <c r="I833" s="20" t="str">
        <f aca="false">IF($A833="","",IF(N(H833)=0,"",RANK(H833,$H$5:$H$2004)))</f>
        <v/>
      </c>
      <c r="J833" s="21" t="str">
        <f aca="false">IF($A833="","",IF(B833=0,"No COD orders",IF(B833&lt;Settings!$B$8,"Too few orders",IF(D833&gt;=Settings!$B$9,"Restrict COD or verify","Keep COD"))))</f>
        <v/>
      </c>
    </row>
    <row r="834" customFormat="false" ht="15" hidden="false" customHeight="false" outlineLevel="0" collapsed="false">
      <c r="A834" s="27"/>
      <c r="B834" s="17" t="str">
        <f aca="false">IF($A834="","",COUNTIFS(Orders!$C$2:$C$20001,$A834,Orders!$E$2:$E$20001,"COD",Orders!$F$2:$F$20001,"Delivered")+COUNTIFS(Orders!$C$2:$C$20001,$A834,Orders!$E$2:$E$20001,"COD",Orders!$F$2:$F$20001,"RTO"))</f>
        <v/>
      </c>
      <c r="C834" s="17" t="str">
        <f aca="false">IF($A834="","",COUNTIFS(Orders!$C$2:$C$20001,$A834,Orders!$E$2:$E$20001,"COD",Orders!$F$2:$F$20001,"RTO"))</f>
        <v/>
      </c>
      <c r="D834" s="18" t="str">
        <f aca="false">IF($A834="","",IFERROR(C834/B834,0))</f>
        <v/>
      </c>
      <c r="E834" s="17" t="str">
        <f aca="false">IF($A834="","",COUNTIFS(Orders!$C$2:$C$20001,$A834,Orders!$E$2:$E$20001,"Prepaid",Orders!$F$2:$F$20001,"Delivered")+COUNTIFS(Orders!$C$2:$C$20001,$A834,Orders!$E$2:$E$20001,"Prepaid",Orders!$F$2:$F$20001,"RTO"))</f>
        <v/>
      </c>
      <c r="F834" s="17" t="str">
        <f aca="false">IF($A834="","",COUNTIFS(Orders!$C$2:$C$20001,$A834,Orders!$E$2:$E$20001,"Prepaid",Orders!$F$2:$F$20001,"RTO"))</f>
        <v/>
      </c>
      <c r="G834" s="18" t="str">
        <f aca="false">IF($A834="","",IFERROR(F834/E834,0))</f>
        <v/>
      </c>
      <c r="H834" s="19" t="str">
        <f aca="false">IF($A834="","",C834*Settings!$B$11)</f>
        <v/>
      </c>
      <c r="I834" s="20" t="str">
        <f aca="false">IF($A834="","",IF(N(H834)=0,"",RANK(H834,$H$5:$H$2004)))</f>
        <v/>
      </c>
      <c r="J834" s="21" t="str">
        <f aca="false">IF($A834="","",IF(B834=0,"No COD orders",IF(B834&lt;Settings!$B$8,"Too few orders",IF(D834&gt;=Settings!$B$9,"Restrict COD or verify","Keep COD"))))</f>
        <v/>
      </c>
    </row>
    <row r="835" customFormat="false" ht="15" hidden="false" customHeight="false" outlineLevel="0" collapsed="false">
      <c r="A835" s="27"/>
      <c r="B835" s="17" t="str">
        <f aca="false">IF($A835="","",COUNTIFS(Orders!$C$2:$C$20001,$A835,Orders!$E$2:$E$20001,"COD",Orders!$F$2:$F$20001,"Delivered")+COUNTIFS(Orders!$C$2:$C$20001,$A835,Orders!$E$2:$E$20001,"COD",Orders!$F$2:$F$20001,"RTO"))</f>
        <v/>
      </c>
      <c r="C835" s="17" t="str">
        <f aca="false">IF($A835="","",COUNTIFS(Orders!$C$2:$C$20001,$A835,Orders!$E$2:$E$20001,"COD",Orders!$F$2:$F$20001,"RTO"))</f>
        <v/>
      </c>
      <c r="D835" s="18" t="str">
        <f aca="false">IF($A835="","",IFERROR(C835/B835,0))</f>
        <v/>
      </c>
      <c r="E835" s="17" t="str">
        <f aca="false">IF($A835="","",COUNTIFS(Orders!$C$2:$C$20001,$A835,Orders!$E$2:$E$20001,"Prepaid",Orders!$F$2:$F$20001,"Delivered")+COUNTIFS(Orders!$C$2:$C$20001,$A835,Orders!$E$2:$E$20001,"Prepaid",Orders!$F$2:$F$20001,"RTO"))</f>
        <v/>
      </c>
      <c r="F835" s="17" t="str">
        <f aca="false">IF($A835="","",COUNTIFS(Orders!$C$2:$C$20001,$A835,Orders!$E$2:$E$20001,"Prepaid",Orders!$F$2:$F$20001,"RTO"))</f>
        <v/>
      </c>
      <c r="G835" s="18" t="str">
        <f aca="false">IF($A835="","",IFERROR(F835/E835,0))</f>
        <v/>
      </c>
      <c r="H835" s="19" t="str">
        <f aca="false">IF($A835="","",C835*Settings!$B$11)</f>
        <v/>
      </c>
      <c r="I835" s="20" t="str">
        <f aca="false">IF($A835="","",IF(N(H835)=0,"",RANK(H835,$H$5:$H$2004)))</f>
        <v/>
      </c>
      <c r="J835" s="21" t="str">
        <f aca="false">IF($A835="","",IF(B835=0,"No COD orders",IF(B835&lt;Settings!$B$8,"Too few orders",IF(D835&gt;=Settings!$B$9,"Restrict COD or verify","Keep COD"))))</f>
        <v/>
      </c>
    </row>
    <row r="836" customFormat="false" ht="15" hidden="false" customHeight="false" outlineLevel="0" collapsed="false">
      <c r="A836" s="27"/>
      <c r="B836" s="17" t="str">
        <f aca="false">IF($A836="","",COUNTIFS(Orders!$C$2:$C$20001,$A836,Orders!$E$2:$E$20001,"COD",Orders!$F$2:$F$20001,"Delivered")+COUNTIFS(Orders!$C$2:$C$20001,$A836,Orders!$E$2:$E$20001,"COD",Orders!$F$2:$F$20001,"RTO"))</f>
        <v/>
      </c>
      <c r="C836" s="17" t="str">
        <f aca="false">IF($A836="","",COUNTIFS(Orders!$C$2:$C$20001,$A836,Orders!$E$2:$E$20001,"COD",Orders!$F$2:$F$20001,"RTO"))</f>
        <v/>
      </c>
      <c r="D836" s="18" t="str">
        <f aca="false">IF($A836="","",IFERROR(C836/B836,0))</f>
        <v/>
      </c>
      <c r="E836" s="17" t="str">
        <f aca="false">IF($A836="","",COUNTIFS(Orders!$C$2:$C$20001,$A836,Orders!$E$2:$E$20001,"Prepaid",Orders!$F$2:$F$20001,"Delivered")+COUNTIFS(Orders!$C$2:$C$20001,$A836,Orders!$E$2:$E$20001,"Prepaid",Orders!$F$2:$F$20001,"RTO"))</f>
        <v/>
      </c>
      <c r="F836" s="17" t="str">
        <f aca="false">IF($A836="","",COUNTIFS(Orders!$C$2:$C$20001,$A836,Orders!$E$2:$E$20001,"Prepaid",Orders!$F$2:$F$20001,"RTO"))</f>
        <v/>
      </c>
      <c r="G836" s="18" t="str">
        <f aca="false">IF($A836="","",IFERROR(F836/E836,0))</f>
        <v/>
      </c>
      <c r="H836" s="19" t="str">
        <f aca="false">IF($A836="","",C836*Settings!$B$11)</f>
        <v/>
      </c>
      <c r="I836" s="20" t="str">
        <f aca="false">IF($A836="","",IF(N(H836)=0,"",RANK(H836,$H$5:$H$2004)))</f>
        <v/>
      </c>
      <c r="J836" s="21" t="str">
        <f aca="false">IF($A836="","",IF(B836=0,"No COD orders",IF(B836&lt;Settings!$B$8,"Too few orders",IF(D836&gt;=Settings!$B$9,"Restrict COD or verify","Keep COD"))))</f>
        <v/>
      </c>
    </row>
    <row r="837" customFormat="false" ht="15" hidden="false" customHeight="false" outlineLevel="0" collapsed="false">
      <c r="A837" s="27"/>
      <c r="B837" s="17" t="str">
        <f aca="false">IF($A837="","",COUNTIFS(Orders!$C$2:$C$20001,$A837,Orders!$E$2:$E$20001,"COD",Orders!$F$2:$F$20001,"Delivered")+COUNTIFS(Orders!$C$2:$C$20001,$A837,Orders!$E$2:$E$20001,"COD",Orders!$F$2:$F$20001,"RTO"))</f>
        <v/>
      </c>
      <c r="C837" s="17" t="str">
        <f aca="false">IF($A837="","",COUNTIFS(Orders!$C$2:$C$20001,$A837,Orders!$E$2:$E$20001,"COD",Orders!$F$2:$F$20001,"RTO"))</f>
        <v/>
      </c>
      <c r="D837" s="18" t="str">
        <f aca="false">IF($A837="","",IFERROR(C837/B837,0))</f>
        <v/>
      </c>
      <c r="E837" s="17" t="str">
        <f aca="false">IF($A837="","",COUNTIFS(Orders!$C$2:$C$20001,$A837,Orders!$E$2:$E$20001,"Prepaid",Orders!$F$2:$F$20001,"Delivered")+COUNTIFS(Orders!$C$2:$C$20001,$A837,Orders!$E$2:$E$20001,"Prepaid",Orders!$F$2:$F$20001,"RTO"))</f>
        <v/>
      </c>
      <c r="F837" s="17" t="str">
        <f aca="false">IF($A837="","",COUNTIFS(Orders!$C$2:$C$20001,$A837,Orders!$E$2:$E$20001,"Prepaid",Orders!$F$2:$F$20001,"RTO"))</f>
        <v/>
      </c>
      <c r="G837" s="18" t="str">
        <f aca="false">IF($A837="","",IFERROR(F837/E837,0))</f>
        <v/>
      </c>
      <c r="H837" s="19" t="str">
        <f aca="false">IF($A837="","",C837*Settings!$B$11)</f>
        <v/>
      </c>
      <c r="I837" s="20" t="str">
        <f aca="false">IF($A837="","",IF(N(H837)=0,"",RANK(H837,$H$5:$H$2004)))</f>
        <v/>
      </c>
      <c r="J837" s="21" t="str">
        <f aca="false">IF($A837="","",IF(B837=0,"No COD orders",IF(B837&lt;Settings!$B$8,"Too few orders",IF(D837&gt;=Settings!$B$9,"Restrict COD or verify","Keep COD"))))</f>
        <v/>
      </c>
    </row>
    <row r="838" customFormat="false" ht="15" hidden="false" customHeight="false" outlineLevel="0" collapsed="false">
      <c r="A838" s="27"/>
      <c r="B838" s="17" t="str">
        <f aca="false">IF($A838="","",COUNTIFS(Orders!$C$2:$C$20001,$A838,Orders!$E$2:$E$20001,"COD",Orders!$F$2:$F$20001,"Delivered")+COUNTIFS(Orders!$C$2:$C$20001,$A838,Orders!$E$2:$E$20001,"COD",Orders!$F$2:$F$20001,"RTO"))</f>
        <v/>
      </c>
      <c r="C838" s="17" t="str">
        <f aca="false">IF($A838="","",COUNTIFS(Orders!$C$2:$C$20001,$A838,Orders!$E$2:$E$20001,"COD",Orders!$F$2:$F$20001,"RTO"))</f>
        <v/>
      </c>
      <c r="D838" s="18" t="str">
        <f aca="false">IF($A838="","",IFERROR(C838/B838,0))</f>
        <v/>
      </c>
      <c r="E838" s="17" t="str">
        <f aca="false">IF($A838="","",COUNTIFS(Orders!$C$2:$C$20001,$A838,Orders!$E$2:$E$20001,"Prepaid",Orders!$F$2:$F$20001,"Delivered")+COUNTIFS(Orders!$C$2:$C$20001,$A838,Orders!$E$2:$E$20001,"Prepaid",Orders!$F$2:$F$20001,"RTO"))</f>
        <v/>
      </c>
      <c r="F838" s="17" t="str">
        <f aca="false">IF($A838="","",COUNTIFS(Orders!$C$2:$C$20001,$A838,Orders!$E$2:$E$20001,"Prepaid",Orders!$F$2:$F$20001,"RTO"))</f>
        <v/>
      </c>
      <c r="G838" s="18" t="str">
        <f aca="false">IF($A838="","",IFERROR(F838/E838,0))</f>
        <v/>
      </c>
      <c r="H838" s="19" t="str">
        <f aca="false">IF($A838="","",C838*Settings!$B$11)</f>
        <v/>
      </c>
      <c r="I838" s="20" t="str">
        <f aca="false">IF($A838="","",IF(N(H838)=0,"",RANK(H838,$H$5:$H$2004)))</f>
        <v/>
      </c>
      <c r="J838" s="21" t="str">
        <f aca="false">IF($A838="","",IF(B838=0,"No COD orders",IF(B838&lt;Settings!$B$8,"Too few orders",IF(D838&gt;=Settings!$B$9,"Restrict COD or verify","Keep COD"))))</f>
        <v/>
      </c>
    </row>
    <row r="839" customFormat="false" ht="15" hidden="false" customHeight="false" outlineLevel="0" collapsed="false">
      <c r="A839" s="27"/>
      <c r="B839" s="17" t="str">
        <f aca="false">IF($A839="","",COUNTIFS(Orders!$C$2:$C$20001,$A839,Orders!$E$2:$E$20001,"COD",Orders!$F$2:$F$20001,"Delivered")+COUNTIFS(Orders!$C$2:$C$20001,$A839,Orders!$E$2:$E$20001,"COD",Orders!$F$2:$F$20001,"RTO"))</f>
        <v/>
      </c>
      <c r="C839" s="17" t="str">
        <f aca="false">IF($A839="","",COUNTIFS(Orders!$C$2:$C$20001,$A839,Orders!$E$2:$E$20001,"COD",Orders!$F$2:$F$20001,"RTO"))</f>
        <v/>
      </c>
      <c r="D839" s="18" t="str">
        <f aca="false">IF($A839="","",IFERROR(C839/B839,0))</f>
        <v/>
      </c>
      <c r="E839" s="17" t="str">
        <f aca="false">IF($A839="","",COUNTIFS(Orders!$C$2:$C$20001,$A839,Orders!$E$2:$E$20001,"Prepaid",Orders!$F$2:$F$20001,"Delivered")+COUNTIFS(Orders!$C$2:$C$20001,$A839,Orders!$E$2:$E$20001,"Prepaid",Orders!$F$2:$F$20001,"RTO"))</f>
        <v/>
      </c>
      <c r="F839" s="17" t="str">
        <f aca="false">IF($A839="","",COUNTIFS(Orders!$C$2:$C$20001,$A839,Orders!$E$2:$E$20001,"Prepaid",Orders!$F$2:$F$20001,"RTO"))</f>
        <v/>
      </c>
      <c r="G839" s="18" t="str">
        <f aca="false">IF($A839="","",IFERROR(F839/E839,0))</f>
        <v/>
      </c>
      <c r="H839" s="19" t="str">
        <f aca="false">IF($A839="","",C839*Settings!$B$11)</f>
        <v/>
      </c>
      <c r="I839" s="20" t="str">
        <f aca="false">IF($A839="","",IF(N(H839)=0,"",RANK(H839,$H$5:$H$2004)))</f>
        <v/>
      </c>
      <c r="J839" s="21" t="str">
        <f aca="false">IF($A839="","",IF(B839=0,"No COD orders",IF(B839&lt;Settings!$B$8,"Too few orders",IF(D839&gt;=Settings!$B$9,"Restrict COD or verify","Keep COD"))))</f>
        <v/>
      </c>
    </row>
    <row r="840" customFormat="false" ht="15" hidden="false" customHeight="false" outlineLevel="0" collapsed="false">
      <c r="A840" s="27"/>
      <c r="B840" s="17" t="str">
        <f aca="false">IF($A840="","",COUNTIFS(Orders!$C$2:$C$20001,$A840,Orders!$E$2:$E$20001,"COD",Orders!$F$2:$F$20001,"Delivered")+COUNTIFS(Orders!$C$2:$C$20001,$A840,Orders!$E$2:$E$20001,"COD",Orders!$F$2:$F$20001,"RTO"))</f>
        <v/>
      </c>
      <c r="C840" s="17" t="str">
        <f aca="false">IF($A840="","",COUNTIFS(Orders!$C$2:$C$20001,$A840,Orders!$E$2:$E$20001,"COD",Orders!$F$2:$F$20001,"RTO"))</f>
        <v/>
      </c>
      <c r="D840" s="18" t="str">
        <f aca="false">IF($A840="","",IFERROR(C840/B840,0))</f>
        <v/>
      </c>
      <c r="E840" s="17" t="str">
        <f aca="false">IF($A840="","",COUNTIFS(Orders!$C$2:$C$20001,$A840,Orders!$E$2:$E$20001,"Prepaid",Orders!$F$2:$F$20001,"Delivered")+COUNTIFS(Orders!$C$2:$C$20001,$A840,Orders!$E$2:$E$20001,"Prepaid",Orders!$F$2:$F$20001,"RTO"))</f>
        <v/>
      </c>
      <c r="F840" s="17" t="str">
        <f aca="false">IF($A840="","",COUNTIFS(Orders!$C$2:$C$20001,$A840,Orders!$E$2:$E$20001,"Prepaid",Orders!$F$2:$F$20001,"RTO"))</f>
        <v/>
      </c>
      <c r="G840" s="18" t="str">
        <f aca="false">IF($A840="","",IFERROR(F840/E840,0))</f>
        <v/>
      </c>
      <c r="H840" s="19" t="str">
        <f aca="false">IF($A840="","",C840*Settings!$B$11)</f>
        <v/>
      </c>
      <c r="I840" s="20" t="str">
        <f aca="false">IF($A840="","",IF(N(H840)=0,"",RANK(H840,$H$5:$H$2004)))</f>
        <v/>
      </c>
      <c r="J840" s="21" t="str">
        <f aca="false">IF($A840="","",IF(B840=0,"No COD orders",IF(B840&lt;Settings!$B$8,"Too few orders",IF(D840&gt;=Settings!$B$9,"Restrict COD or verify","Keep COD"))))</f>
        <v/>
      </c>
    </row>
    <row r="841" customFormat="false" ht="15" hidden="false" customHeight="false" outlineLevel="0" collapsed="false">
      <c r="A841" s="27"/>
      <c r="B841" s="17" t="str">
        <f aca="false">IF($A841="","",COUNTIFS(Orders!$C$2:$C$20001,$A841,Orders!$E$2:$E$20001,"COD",Orders!$F$2:$F$20001,"Delivered")+COUNTIFS(Orders!$C$2:$C$20001,$A841,Orders!$E$2:$E$20001,"COD",Orders!$F$2:$F$20001,"RTO"))</f>
        <v/>
      </c>
      <c r="C841" s="17" t="str">
        <f aca="false">IF($A841="","",COUNTIFS(Orders!$C$2:$C$20001,$A841,Orders!$E$2:$E$20001,"COD",Orders!$F$2:$F$20001,"RTO"))</f>
        <v/>
      </c>
      <c r="D841" s="18" t="str">
        <f aca="false">IF($A841="","",IFERROR(C841/B841,0))</f>
        <v/>
      </c>
      <c r="E841" s="17" t="str">
        <f aca="false">IF($A841="","",COUNTIFS(Orders!$C$2:$C$20001,$A841,Orders!$E$2:$E$20001,"Prepaid",Orders!$F$2:$F$20001,"Delivered")+COUNTIFS(Orders!$C$2:$C$20001,$A841,Orders!$E$2:$E$20001,"Prepaid",Orders!$F$2:$F$20001,"RTO"))</f>
        <v/>
      </c>
      <c r="F841" s="17" t="str">
        <f aca="false">IF($A841="","",COUNTIFS(Orders!$C$2:$C$20001,$A841,Orders!$E$2:$E$20001,"Prepaid",Orders!$F$2:$F$20001,"RTO"))</f>
        <v/>
      </c>
      <c r="G841" s="18" t="str">
        <f aca="false">IF($A841="","",IFERROR(F841/E841,0))</f>
        <v/>
      </c>
      <c r="H841" s="19" t="str">
        <f aca="false">IF($A841="","",C841*Settings!$B$11)</f>
        <v/>
      </c>
      <c r="I841" s="20" t="str">
        <f aca="false">IF($A841="","",IF(N(H841)=0,"",RANK(H841,$H$5:$H$2004)))</f>
        <v/>
      </c>
      <c r="J841" s="21" t="str">
        <f aca="false">IF($A841="","",IF(B841=0,"No COD orders",IF(B841&lt;Settings!$B$8,"Too few orders",IF(D841&gt;=Settings!$B$9,"Restrict COD or verify","Keep COD"))))</f>
        <v/>
      </c>
    </row>
    <row r="842" customFormat="false" ht="15" hidden="false" customHeight="false" outlineLevel="0" collapsed="false">
      <c r="A842" s="27"/>
      <c r="B842" s="17" t="str">
        <f aca="false">IF($A842="","",COUNTIFS(Orders!$C$2:$C$20001,$A842,Orders!$E$2:$E$20001,"COD",Orders!$F$2:$F$20001,"Delivered")+COUNTIFS(Orders!$C$2:$C$20001,$A842,Orders!$E$2:$E$20001,"COD",Orders!$F$2:$F$20001,"RTO"))</f>
        <v/>
      </c>
      <c r="C842" s="17" t="str">
        <f aca="false">IF($A842="","",COUNTIFS(Orders!$C$2:$C$20001,$A842,Orders!$E$2:$E$20001,"COD",Orders!$F$2:$F$20001,"RTO"))</f>
        <v/>
      </c>
      <c r="D842" s="18" t="str">
        <f aca="false">IF($A842="","",IFERROR(C842/B842,0))</f>
        <v/>
      </c>
      <c r="E842" s="17" t="str">
        <f aca="false">IF($A842="","",COUNTIFS(Orders!$C$2:$C$20001,$A842,Orders!$E$2:$E$20001,"Prepaid",Orders!$F$2:$F$20001,"Delivered")+COUNTIFS(Orders!$C$2:$C$20001,$A842,Orders!$E$2:$E$20001,"Prepaid",Orders!$F$2:$F$20001,"RTO"))</f>
        <v/>
      </c>
      <c r="F842" s="17" t="str">
        <f aca="false">IF($A842="","",COUNTIFS(Orders!$C$2:$C$20001,$A842,Orders!$E$2:$E$20001,"Prepaid",Orders!$F$2:$F$20001,"RTO"))</f>
        <v/>
      </c>
      <c r="G842" s="18" t="str">
        <f aca="false">IF($A842="","",IFERROR(F842/E842,0))</f>
        <v/>
      </c>
      <c r="H842" s="19" t="str">
        <f aca="false">IF($A842="","",C842*Settings!$B$11)</f>
        <v/>
      </c>
      <c r="I842" s="20" t="str">
        <f aca="false">IF($A842="","",IF(N(H842)=0,"",RANK(H842,$H$5:$H$2004)))</f>
        <v/>
      </c>
      <c r="J842" s="21" t="str">
        <f aca="false">IF($A842="","",IF(B842=0,"No COD orders",IF(B842&lt;Settings!$B$8,"Too few orders",IF(D842&gt;=Settings!$B$9,"Restrict COD or verify","Keep COD"))))</f>
        <v/>
      </c>
    </row>
    <row r="843" customFormat="false" ht="15" hidden="false" customHeight="false" outlineLevel="0" collapsed="false">
      <c r="A843" s="27"/>
      <c r="B843" s="17" t="str">
        <f aca="false">IF($A843="","",COUNTIFS(Orders!$C$2:$C$20001,$A843,Orders!$E$2:$E$20001,"COD",Orders!$F$2:$F$20001,"Delivered")+COUNTIFS(Orders!$C$2:$C$20001,$A843,Orders!$E$2:$E$20001,"COD",Orders!$F$2:$F$20001,"RTO"))</f>
        <v/>
      </c>
      <c r="C843" s="17" t="str">
        <f aca="false">IF($A843="","",COUNTIFS(Orders!$C$2:$C$20001,$A843,Orders!$E$2:$E$20001,"COD",Orders!$F$2:$F$20001,"RTO"))</f>
        <v/>
      </c>
      <c r="D843" s="18" t="str">
        <f aca="false">IF($A843="","",IFERROR(C843/B843,0))</f>
        <v/>
      </c>
      <c r="E843" s="17" t="str">
        <f aca="false">IF($A843="","",COUNTIFS(Orders!$C$2:$C$20001,$A843,Orders!$E$2:$E$20001,"Prepaid",Orders!$F$2:$F$20001,"Delivered")+COUNTIFS(Orders!$C$2:$C$20001,$A843,Orders!$E$2:$E$20001,"Prepaid",Orders!$F$2:$F$20001,"RTO"))</f>
        <v/>
      </c>
      <c r="F843" s="17" t="str">
        <f aca="false">IF($A843="","",COUNTIFS(Orders!$C$2:$C$20001,$A843,Orders!$E$2:$E$20001,"Prepaid",Orders!$F$2:$F$20001,"RTO"))</f>
        <v/>
      </c>
      <c r="G843" s="18" t="str">
        <f aca="false">IF($A843="","",IFERROR(F843/E843,0))</f>
        <v/>
      </c>
      <c r="H843" s="19" t="str">
        <f aca="false">IF($A843="","",C843*Settings!$B$11)</f>
        <v/>
      </c>
      <c r="I843" s="20" t="str">
        <f aca="false">IF($A843="","",IF(N(H843)=0,"",RANK(H843,$H$5:$H$2004)))</f>
        <v/>
      </c>
      <c r="J843" s="21" t="str">
        <f aca="false">IF($A843="","",IF(B843=0,"No COD orders",IF(B843&lt;Settings!$B$8,"Too few orders",IF(D843&gt;=Settings!$B$9,"Restrict COD or verify","Keep COD"))))</f>
        <v/>
      </c>
    </row>
    <row r="844" customFormat="false" ht="15" hidden="false" customHeight="false" outlineLevel="0" collapsed="false">
      <c r="A844" s="27"/>
      <c r="B844" s="17" t="str">
        <f aca="false">IF($A844="","",COUNTIFS(Orders!$C$2:$C$20001,$A844,Orders!$E$2:$E$20001,"COD",Orders!$F$2:$F$20001,"Delivered")+COUNTIFS(Orders!$C$2:$C$20001,$A844,Orders!$E$2:$E$20001,"COD",Orders!$F$2:$F$20001,"RTO"))</f>
        <v/>
      </c>
      <c r="C844" s="17" t="str">
        <f aca="false">IF($A844="","",COUNTIFS(Orders!$C$2:$C$20001,$A844,Orders!$E$2:$E$20001,"COD",Orders!$F$2:$F$20001,"RTO"))</f>
        <v/>
      </c>
      <c r="D844" s="18" t="str">
        <f aca="false">IF($A844="","",IFERROR(C844/B844,0))</f>
        <v/>
      </c>
      <c r="E844" s="17" t="str">
        <f aca="false">IF($A844="","",COUNTIFS(Orders!$C$2:$C$20001,$A844,Orders!$E$2:$E$20001,"Prepaid",Orders!$F$2:$F$20001,"Delivered")+COUNTIFS(Orders!$C$2:$C$20001,$A844,Orders!$E$2:$E$20001,"Prepaid",Orders!$F$2:$F$20001,"RTO"))</f>
        <v/>
      </c>
      <c r="F844" s="17" t="str">
        <f aca="false">IF($A844="","",COUNTIFS(Orders!$C$2:$C$20001,$A844,Orders!$E$2:$E$20001,"Prepaid",Orders!$F$2:$F$20001,"RTO"))</f>
        <v/>
      </c>
      <c r="G844" s="18" t="str">
        <f aca="false">IF($A844="","",IFERROR(F844/E844,0))</f>
        <v/>
      </c>
      <c r="H844" s="19" t="str">
        <f aca="false">IF($A844="","",C844*Settings!$B$11)</f>
        <v/>
      </c>
      <c r="I844" s="20" t="str">
        <f aca="false">IF($A844="","",IF(N(H844)=0,"",RANK(H844,$H$5:$H$2004)))</f>
        <v/>
      </c>
      <c r="J844" s="21" t="str">
        <f aca="false">IF($A844="","",IF(B844=0,"No COD orders",IF(B844&lt;Settings!$B$8,"Too few orders",IF(D844&gt;=Settings!$B$9,"Restrict COD or verify","Keep COD"))))</f>
        <v/>
      </c>
    </row>
    <row r="845" customFormat="false" ht="15" hidden="false" customHeight="false" outlineLevel="0" collapsed="false">
      <c r="A845" s="27"/>
      <c r="B845" s="17" t="str">
        <f aca="false">IF($A845="","",COUNTIFS(Orders!$C$2:$C$20001,$A845,Orders!$E$2:$E$20001,"COD",Orders!$F$2:$F$20001,"Delivered")+COUNTIFS(Orders!$C$2:$C$20001,$A845,Orders!$E$2:$E$20001,"COD",Orders!$F$2:$F$20001,"RTO"))</f>
        <v/>
      </c>
      <c r="C845" s="17" t="str">
        <f aca="false">IF($A845="","",COUNTIFS(Orders!$C$2:$C$20001,$A845,Orders!$E$2:$E$20001,"COD",Orders!$F$2:$F$20001,"RTO"))</f>
        <v/>
      </c>
      <c r="D845" s="18" t="str">
        <f aca="false">IF($A845="","",IFERROR(C845/B845,0))</f>
        <v/>
      </c>
      <c r="E845" s="17" t="str">
        <f aca="false">IF($A845="","",COUNTIFS(Orders!$C$2:$C$20001,$A845,Orders!$E$2:$E$20001,"Prepaid",Orders!$F$2:$F$20001,"Delivered")+COUNTIFS(Orders!$C$2:$C$20001,$A845,Orders!$E$2:$E$20001,"Prepaid",Orders!$F$2:$F$20001,"RTO"))</f>
        <v/>
      </c>
      <c r="F845" s="17" t="str">
        <f aca="false">IF($A845="","",COUNTIFS(Orders!$C$2:$C$20001,$A845,Orders!$E$2:$E$20001,"Prepaid",Orders!$F$2:$F$20001,"RTO"))</f>
        <v/>
      </c>
      <c r="G845" s="18" t="str">
        <f aca="false">IF($A845="","",IFERROR(F845/E845,0))</f>
        <v/>
      </c>
      <c r="H845" s="19" t="str">
        <f aca="false">IF($A845="","",C845*Settings!$B$11)</f>
        <v/>
      </c>
      <c r="I845" s="20" t="str">
        <f aca="false">IF($A845="","",IF(N(H845)=0,"",RANK(H845,$H$5:$H$2004)))</f>
        <v/>
      </c>
      <c r="J845" s="21" t="str">
        <f aca="false">IF($A845="","",IF(B845=0,"No COD orders",IF(B845&lt;Settings!$B$8,"Too few orders",IF(D845&gt;=Settings!$B$9,"Restrict COD or verify","Keep COD"))))</f>
        <v/>
      </c>
    </row>
    <row r="846" customFormat="false" ht="15" hidden="false" customHeight="false" outlineLevel="0" collapsed="false">
      <c r="A846" s="27"/>
      <c r="B846" s="17" t="str">
        <f aca="false">IF($A846="","",COUNTIFS(Orders!$C$2:$C$20001,$A846,Orders!$E$2:$E$20001,"COD",Orders!$F$2:$F$20001,"Delivered")+COUNTIFS(Orders!$C$2:$C$20001,$A846,Orders!$E$2:$E$20001,"COD",Orders!$F$2:$F$20001,"RTO"))</f>
        <v/>
      </c>
      <c r="C846" s="17" t="str">
        <f aca="false">IF($A846="","",COUNTIFS(Orders!$C$2:$C$20001,$A846,Orders!$E$2:$E$20001,"COD",Orders!$F$2:$F$20001,"RTO"))</f>
        <v/>
      </c>
      <c r="D846" s="18" t="str">
        <f aca="false">IF($A846="","",IFERROR(C846/B846,0))</f>
        <v/>
      </c>
      <c r="E846" s="17" t="str">
        <f aca="false">IF($A846="","",COUNTIFS(Orders!$C$2:$C$20001,$A846,Orders!$E$2:$E$20001,"Prepaid",Orders!$F$2:$F$20001,"Delivered")+COUNTIFS(Orders!$C$2:$C$20001,$A846,Orders!$E$2:$E$20001,"Prepaid",Orders!$F$2:$F$20001,"RTO"))</f>
        <v/>
      </c>
      <c r="F846" s="17" t="str">
        <f aca="false">IF($A846="","",COUNTIFS(Orders!$C$2:$C$20001,$A846,Orders!$E$2:$E$20001,"Prepaid",Orders!$F$2:$F$20001,"RTO"))</f>
        <v/>
      </c>
      <c r="G846" s="18" t="str">
        <f aca="false">IF($A846="","",IFERROR(F846/E846,0))</f>
        <v/>
      </c>
      <c r="H846" s="19" t="str">
        <f aca="false">IF($A846="","",C846*Settings!$B$11)</f>
        <v/>
      </c>
      <c r="I846" s="20" t="str">
        <f aca="false">IF($A846="","",IF(N(H846)=0,"",RANK(H846,$H$5:$H$2004)))</f>
        <v/>
      </c>
      <c r="J846" s="21" t="str">
        <f aca="false">IF($A846="","",IF(B846=0,"No COD orders",IF(B846&lt;Settings!$B$8,"Too few orders",IF(D846&gt;=Settings!$B$9,"Restrict COD or verify","Keep COD"))))</f>
        <v/>
      </c>
    </row>
    <row r="847" customFormat="false" ht="15" hidden="false" customHeight="false" outlineLevel="0" collapsed="false">
      <c r="A847" s="27"/>
      <c r="B847" s="17" t="str">
        <f aca="false">IF($A847="","",COUNTIFS(Orders!$C$2:$C$20001,$A847,Orders!$E$2:$E$20001,"COD",Orders!$F$2:$F$20001,"Delivered")+COUNTIFS(Orders!$C$2:$C$20001,$A847,Orders!$E$2:$E$20001,"COD",Orders!$F$2:$F$20001,"RTO"))</f>
        <v/>
      </c>
      <c r="C847" s="17" t="str">
        <f aca="false">IF($A847="","",COUNTIFS(Orders!$C$2:$C$20001,$A847,Orders!$E$2:$E$20001,"COD",Orders!$F$2:$F$20001,"RTO"))</f>
        <v/>
      </c>
      <c r="D847" s="18" t="str">
        <f aca="false">IF($A847="","",IFERROR(C847/B847,0))</f>
        <v/>
      </c>
      <c r="E847" s="17" t="str">
        <f aca="false">IF($A847="","",COUNTIFS(Orders!$C$2:$C$20001,$A847,Orders!$E$2:$E$20001,"Prepaid",Orders!$F$2:$F$20001,"Delivered")+COUNTIFS(Orders!$C$2:$C$20001,$A847,Orders!$E$2:$E$20001,"Prepaid",Orders!$F$2:$F$20001,"RTO"))</f>
        <v/>
      </c>
      <c r="F847" s="17" t="str">
        <f aca="false">IF($A847="","",COUNTIFS(Orders!$C$2:$C$20001,$A847,Orders!$E$2:$E$20001,"Prepaid",Orders!$F$2:$F$20001,"RTO"))</f>
        <v/>
      </c>
      <c r="G847" s="18" t="str">
        <f aca="false">IF($A847="","",IFERROR(F847/E847,0))</f>
        <v/>
      </c>
      <c r="H847" s="19" t="str">
        <f aca="false">IF($A847="","",C847*Settings!$B$11)</f>
        <v/>
      </c>
      <c r="I847" s="20" t="str">
        <f aca="false">IF($A847="","",IF(N(H847)=0,"",RANK(H847,$H$5:$H$2004)))</f>
        <v/>
      </c>
      <c r="J847" s="21" t="str">
        <f aca="false">IF($A847="","",IF(B847=0,"No COD orders",IF(B847&lt;Settings!$B$8,"Too few orders",IF(D847&gt;=Settings!$B$9,"Restrict COD or verify","Keep COD"))))</f>
        <v/>
      </c>
    </row>
    <row r="848" customFormat="false" ht="15" hidden="false" customHeight="false" outlineLevel="0" collapsed="false">
      <c r="A848" s="27"/>
      <c r="B848" s="17" t="str">
        <f aca="false">IF($A848="","",COUNTIFS(Orders!$C$2:$C$20001,$A848,Orders!$E$2:$E$20001,"COD",Orders!$F$2:$F$20001,"Delivered")+COUNTIFS(Orders!$C$2:$C$20001,$A848,Orders!$E$2:$E$20001,"COD",Orders!$F$2:$F$20001,"RTO"))</f>
        <v/>
      </c>
      <c r="C848" s="17" t="str">
        <f aca="false">IF($A848="","",COUNTIFS(Orders!$C$2:$C$20001,$A848,Orders!$E$2:$E$20001,"COD",Orders!$F$2:$F$20001,"RTO"))</f>
        <v/>
      </c>
      <c r="D848" s="18" t="str">
        <f aca="false">IF($A848="","",IFERROR(C848/B848,0))</f>
        <v/>
      </c>
      <c r="E848" s="17" t="str">
        <f aca="false">IF($A848="","",COUNTIFS(Orders!$C$2:$C$20001,$A848,Orders!$E$2:$E$20001,"Prepaid",Orders!$F$2:$F$20001,"Delivered")+COUNTIFS(Orders!$C$2:$C$20001,$A848,Orders!$E$2:$E$20001,"Prepaid",Orders!$F$2:$F$20001,"RTO"))</f>
        <v/>
      </c>
      <c r="F848" s="17" t="str">
        <f aca="false">IF($A848="","",COUNTIFS(Orders!$C$2:$C$20001,$A848,Orders!$E$2:$E$20001,"Prepaid",Orders!$F$2:$F$20001,"RTO"))</f>
        <v/>
      </c>
      <c r="G848" s="18" t="str">
        <f aca="false">IF($A848="","",IFERROR(F848/E848,0))</f>
        <v/>
      </c>
      <c r="H848" s="19" t="str">
        <f aca="false">IF($A848="","",C848*Settings!$B$11)</f>
        <v/>
      </c>
      <c r="I848" s="20" t="str">
        <f aca="false">IF($A848="","",IF(N(H848)=0,"",RANK(H848,$H$5:$H$2004)))</f>
        <v/>
      </c>
      <c r="J848" s="21" t="str">
        <f aca="false">IF($A848="","",IF(B848=0,"No COD orders",IF(B848&lt;Settings!$B$8,"Too few orders",IF(D848&gt;=Settings!$B$9,"Restrict COD or verify","Keep COD"))))</f>
        <v/>
      </c>
    </row>
    <row r="849" customFormat="false" ht="15" hidden="false" customHeight="false" outlineLevel="0" collapsed="false">
      <c r="A849" s="27"/>
      <c r="B849" s="17" t="str">
        <f aca="false">IF($A849="","",COUNTIFS(Orders!$C$2:$C$20001,$A849,Orders!$E$2:$E$20001,"COD",Orders!$F$2:$F$20001,"Delivered")+COUNTIFS(Orders!$C$2:$C$20001,$A849,Orders!$E$2:$E$20001,"COD",Orders!$F$2:$F$20001,"RTO"))</f>
        <v/>
      </c>
      <c r="C849" s="17" t="str">
        <f aca="false">IF($A849="","",COUNTIFS(Orders!$C$2:$C$20001,$A849,Orders!$E$2:$E$20001,"COD",Orders!$F$2:$F$20001,"RTO"))</f>
        <v/>
      </c>
      <c r="D849" s="18" t="str">
        <f aca="false">IF($A849="","",IFERROR(C849/B849,0))</f>
        <v/>
      </c>
      <c r="E849" s="17" t="str">
        <f aca="false">IF($A849="","",COUNTIFS(Orders!$C$2:$C$20001,$A849,Orders!$E$2:$E$20001,"Prepaid",Orders!$F$2:$F$20001,"Delivered")+COUNTIFS(Orders!$C$2:$C$20001,$A849,Orders!$E$2:$E$20001,"Prepaid",Orders!$F$2:$F$20001,"RTO"))</f>
        <v/>
      </c>
      <c r="F849" s="17" t="str">
        <f aca="false">IF($A849="","",COUNTIFS(Orders!$C$2:$C$20001,$A849,Orders!$E$2:$E$20001,"Prepaid",Orders!$F$2:$F$20001,"RTO"))</f>
        <v/>
      </c>
      <c r="G849" s="18" t="str">
        <f aca="false">IF($A849="","",IFERROR(F849/E849,0))</f>
        <v/>
      </c>
      <c r="H849" s="19" t="str">
        <f aca="false">IF($A849="","",C849*Settings!$B$11)</f>
        <v/>
      </c>
      <c r="I849" s="20" t="str">
        <f aca="false">IF($A849="","",IF(N(H849)=0,"",RANK(H849,$H$5:$H$2004)))</f>
        <v/>
      </c>
      <c r="J849" s="21" t="str">
        <f aca="false">IF($A849="","",IF(B849=0,"No COD orders",IF(B849&lt;Settings!$B$8,"Too few orders",IF(D849&gt;=Settings!$B$9,"Restrict COD or verify","Keep COD"))))</f>
        <v/>
      </c>
    </row>
    <row r="850" customFormat="false" ht="15" hidden="false" customHeight="false" outlineLevel="0" collapsed="false">
      <c r="A850" s="27"/>
      <c r="B850" s="17" t="str">
        <f aca="false">IF($A850="","",COUNTIFS(Orders!$C$2:$C$20001,$A850,Orders!$E$2:$E$20001,"COD",Orders!$F$2:$F$20001,"Delivered")+COUNTIFS(Orders!$C$2:$C$20001,$A850,Orders!$E$2:$E$20001,"COD",Orders!$F$2:$F$20001,"RTO"))</f>
        <v/>
      </c>
      <c r="C850" s="17" t="str">
        <f aca="false">IF($A850="","",COUNTIFS(Orders!$C$2:$C$20001,$A850,Orders!$E$2:$E$20001,"COD",Orders!$F$2:$F$20001,"RTO"))</f>
        <v/>
      </c>
      <c r="D850" s="18" t="str">
        <f aca="false">IF($A850="","",IFERROR(C850/B850,0))</f>
        <v/>
      </c>
      <c r="E850" s="17" t="str">
        <f aca="false">IF($A850="","",COUNTIFS(Orders!$C$2:$C$20001,$A850,Orders!$E$2:$E$20001,"Prepaid",Orders!$F$2:$F$20001,"Delivered")+COUNTIFS(Orders!$C$2:$C$20001,$A850,Orders!$E$2:$E$20001,"Prepaid",Orders!$F$2:$F$20001,"RTO"))</f>
        <v/>
      </c>
      <c r="F850" s="17" t="str">
        <f aca="false">IF($A850="","",COUNTIFS(Orders!$C$2:$C$20001,$A850,Orders!$E$2:$E$20001,"Prepaid",Orders!$F$2:$F$20001,"RTO"))</f>
        <v/>
      </c>
      <c r="G850" s="18" t="str">
        <f aca="false">IF($A850="","",IFERROR(F850/E850,0))</f>
        <v/>
      </c>
      <c r="H850" s="19" t="str">
        <f aca="false">IF($A850="","",C850*Settings!$B$11)</f>
        <v/>
      </c>
      <c r="I850" s="20" t="str">
        <f aca="false">IF($A850="","",IF(N(H850)=0,"",RANK(H850,$H$5:$H$2004)))</f>
        <v/>
      </c>
      <c r="J850" s="21" t="str">
        <f aca="false">IF($A850="","",IF(B850=0,"No COD orders",IF(B850&lt;Settings!$B$8,"Too few orders",IF(D850&gt;=Settings!$B$9,"Restrict COD or verify","Keep COD"))))</f>
        <v/>
      </c>
    </row>
    <row r="851" customFormat="false" ht="15" hidden="false" customHeight="false" outlineLevel="0" collapsed="false">
      <c r="A851" s="27"/>
      <c r="B851" s="17" t="str">
        <f aca="false">IF($A851="","",COUNTIFS(Orders!$C$2:$C$20001,$A851,Orders!$E$2:$E$20001,"COD",Orders!$F$2:$F$20001,"Delivered")+COUNTIFS(Orders!$C$2:$C$20001,$A851,Orders!$E$2:$E$20001,"COD",Orders!$F$2:$F$20001,"RTO"))</f>
        <v/>
      </c>
      <c r="C851" s="17" t="str">
        <f aca="false">IF($A851="","",COUNTIFS(Orders!$C$2:$C$20001,$A851,Orders!$E$2:$E$20001,"COD",Orders!$F$2:$F$20001,"RTO"))</f>
        <v/>
      </c>
      <c r="D851" s="18" t="str">
        <f aca="false">IF($A851="","",IFERROR(C851/B851,0))</f>
        <v/>
      </c>
      <c r="E851" s="17" t="str">
        <f aca="false">IF($A851="","",COUNTIFS(Orders!$C$2:$C$20001,$A851,Orders!$E$2:$E$20001,"Prepaid",Orders!$F$2:$F$20001,"Delivered")+COUNTIFS(Orders!$C$2:$C$20001,$A851,Orders!$E$2:$E$20001,"Prepaid",Orders!$F$2:$F$20001,"RTO"))</f>
        <v/>
      </c>
      <c r="F851" s="17" t="str">
        <f aca="false">IF($A851="","",COUNTIFS(Orders!$C$2:$C$20001,$A851,Orders!$E$2:$E$20001,"Prepaid",Orders!$F$2:$F$20001,"RTO"))</f>
        <v/>
      </c>
      <c r="G851" s="18" t="str">
        <f aca="false">IF($A851="","",IFERROR(F851/E851,0))</f>
        <v/>
      </c>
      <c r="H851" s="19" t="str">
        <f aca="false">IF($A851="","",C851*Settings!$B$11)</f>
        <v/>
      </c>
      <c r="I851" s="20" t="str">
        <f aca="false">IF($A851="","",IF(N(H851)=0,"",RANK(H851,$H$5:$H$2004)))</f>
        <v/>
      </c>
      <c r="J851" s="21" t="str">
        <f aca="false">IF($A851="","",IF(B851=0,"No COD orders",IF(B851&lt;Settings!$B$8,"Too few orders",IF(D851&gt;=Settings!$B$9,"Restrict COD or verify","Keep COD"))))</f>
        <v/>
      </c>
    </row>
    <row r="852" customFormat="false" ht="15" hidden="false" customHeight="false" outlineLevel="0" collapsed="false">
      <c r="A852" s="27"/>
      <c r="B852" s="17" t="str">
        <f aca="false">IF($A852="","",COUNTIFS(Orders!$C$2:$C$20001,$A852,Orders!$E$2:$E$20001,"COD",Orders!$F$2:$F$20001,"Delivered")+COUNTIFS(Orders!$C$2:$C$20001,$A852,Orders!$E$2:$E$20001,"COD",Orders!$F$2:$F$20001,"RTO"))</f>
        <v/>
      </c>
      <c r="C852" s="17" t="str">
        <f aca="false">IF($A852="","",COUNTIFS(Orders!$C$2:$C$20001,$A852,Orders!$E$2:$E$20001,"COD",Orders!$F$2:$F$20001,"RTO"))</f>
        <v/>
      </c>
      <c r="D852" s="18" t="str">
        <f aca="false">IF($A852="","",IFERROR(C852/B852,0))</f>
        <v/>
      </c>
      <c r="E852" s="17" t="str">
        <f aca="false">IF($A852="","",COUNTIFS(Orders!$C$2:$C$20001,$A852,Orders!$E$2:$E$20001,"Prepaid",Orders!$F$2:$F$20001,"Delivered")+COUNTIFS(Orders!$C$2:$C$20001,$A852,Orders!$E$2:$E$20001,"Prepaid",Orders!$F$2:$F$20001,"RTO"))</f>
        <v/>
      </c>
      <c r="F852" s="17" t="str">
        <f aca="false">IF($A852="","",COUNTIFS(Orders!$C$2:$C$20001,$A852,Orders!$E$2:$E$20001,"Prepaid",Orders!$F$2:$F$20001,"RTO"))</f>
        <v/>
      </c>
      <c r="G852" s="18" t="str">
        <f aca="false">IF($A852="","",IFERROR(F852/E852,0))</f>
        <v/>
      </c>
      <c r="H852" s="19" t="str">
        <f aca="false">IF($A852="","",C852*Settings!$B$11)</f>
        <v/>
      </c>
      <c r="I852" s="20" t="str">
        <f aca="false">IF($A852="","",IF(N(H852)=0,"",RANK(H852,$H$5:$H$2004)))</f>
        <v/>
      </c>
      <c r="J852" s="21" t="str">
        <f aca="false">IF($A852="","",IF(B852=0,"No COD orders",IF(B852&lt;Settings!$B$8,"Too few orders",IF(D852&gt;=Settings!$B$9,"Restrict COD or verify","Keep COD"))))</f>
        <v/>
      </c>
    </row>
    <row r="853" customFormat="false" ht="15" hidden="false" customHeight="false" outlineLevel="0" collapsed="false">
      <c r="A853" s="27"/>
      <c r="B853" s="17" t="str">
        <f aca="false">IF($A853="","",COUNTIFS(Orders!$C$2:$C$20001,$A853,Orders!$E$2:$E$20001,"COD",Orders!$F$2:$F$20001,"Delivered")+COUNTIFS(Orders!$C$2:$C$20001,$A853,Orders!$E$2:$E$20001,"COD",Orders!$F$2:$F$20001,"RTO"))</f>
        <v/>
      </c>
      <c r="C853" s="17" t="str">
        <f aca="false">IF($A853="","",COUNTIFS(Orders!$C$2:$C$20001,$A853,Orders!$E$2:$E$20001,"COD",Orders!$F$2:$F$20001,"RTO"))</f>
        <v/>
      </c>
      <c r="D853" s="18" t="str">
        <f aca="false">IF($A853="","",IFERROR(C853/B853,0))</f>
        <v/>
      </c>
      <c r="E853" s="17" t="str">
        <f aca="false">IF($A853="","",COUNTIFS(Orders!$C$2:$C$20001,$A853,Orders!$E$2:$E$20001,"Prepaid",Orders!$F$2:$F$20001,"Delivered")+COUNTIFS(Orders!$C$2:$C$20001,$A853,Orders!$E$2:$E$20001,"Prepaid",Orders!$F$2:$F$20001,"RTO"))</f>
        <v/>
      </c>
      <c r="F853" s="17" t="str">
        <f aca="false">IF($A853="","",COUNTIFS(Orders!$C$2:$C$20001,$A853,Orders!$E$2:$E$20001,"Prepaid",Orders!$F$2:$F$20001,"RTO"))</f>
        <v/>
      </c>
      <c r="G853" s="18" t="str">
        <f aca="false">IF($A853="","",IFERROR(F853/E853,0))</f>
        <v/>
      </c>
      <c r="H853" s="19" t="str">
        <f aca="false">IF($A853="","",C853*Settings!$B$11)</f>
        <v/>
      </c>
      <c r="I853" s="20" t="str">
        <f aca="false">IF($A853="","",IF(N(H853)=0,"",RANK(H853,$H$5:$H$2004)))</f>
        <v/>
      </c>
      <c r="J853" s="21" t="str">
        <f aca="false">IF($A853="","",IF(B853=0,"No COD orders",IF(B853&lt;Settings!$B$8,"Too few orders",IF(D853&gt;=Settings!$B$9,"Restrict COD or verify","Keep COD"))))</f>
        <v/>
      </c>
    </row>
    <row r="854" customFormat="false" ht="15" hidden="false" customHeight="false" outlineLevel="0" collapsed="false">
      <c r="A854" s="27"/>
      <c r="B854" s="17" t="str">
        <f aca="false">IF($A854="","",COUNTIFS(Orders!$C$2:$C$20001,$A854,Orders!$E$2:$E$20001,"COD",Orders!$F$2:$F$20001,"Delivered")+COUNTIFS(Orders!$C$2:$C$20001,$A854,Orders!$E$2:$E$20001,"COD",Orders!$F$2:$F$20001,"RTO"))</f>
        <v/>
      </c>
      <c r="C854" s="17" t="str">
        <f aca="false">IF($A854="","",COUNTIFS(Orders!$C$2:$C$20001,$A854,Orders!$E$2:$E$20001,"COD",Orders!$F$2:$F$20001,"RTO"))</f>
        <v/>
      </c>
      <c r="D854" s="18" t="str">
        <f aca="false">IF($A854="","",IFERROR(C854/B854,0))</f>
        <v/>
      </c>
      <c r="E854" s="17" t="str">
        <f aca="false">IF($A854="","",COUNTIFS(Orders!$C$2:$C$20001,$A854,Orders!$E$2:$E$20001,"Prepaid",Orders!$F$2:$F$20001,"Delivered")+COUNTIFS(Orders!$C$2:$C$20001,$A854,Orders!$E$2:$E$20001,"Prepaid",Orders!$F$2:$F$20001,"RTO"))</f>
        <v/>
      </c>
      <c r="F854" s="17" t="str">
        <f aca="false">IF($A854="","",COUNTIFS(Orders!$C$2:$C$20001,$A854,Orders!$E$2:$E$20001,"Prepaid",Orders!$F$2:$F$20001,"RTO"))</f>
        <v/>
      </c>
      <c r="G854" s="18" t="str">
        <f aca="false">IF($A854="","",IFERROR(F854/E854,0))</f>
        <v/>
      </c>
      <c r="H854" s="19" t="str">
        <f aca="false">IF($A854="","",C854*Settings!$B$11)</f>
        <v/>
      </c>
      <c r="I854" s="20" t="str">
        <f aca="false">IF($A854="","",IF(N(H854)=0,"",RANK(H854,$H$5:$H$2004)))</f>
        <v/>
      </c>
      <c r="J854" s="21" t="str">
        <f aca="false">IF($A854="","",IF(B854=0,"No COD orders",IF(B854&lt;Settings!$B$8,"Too few orders",IF(D854&gt;=Settings!$B$9,"Restrict COD or verify","Keep COD"))))</f>
        <v/>
      </c>
    </row>
    <row r="855" customFormat="false" ht="15" hidden="false" customHeight="false" outlineLevel="0" collapsed="false">
      <c r="A855" s="27"/>
      <c r="B855" s="17" t="str">
        <f aca="false">IF($A855="","",COUNTIFS(Orders!$C$2:$C$20001,$A855,Orders!$E$2:$E$20001,"COD",Orders!$F$2:$F$20001,"Delivered")+COUNTIFS(Orders!$C$2:$C$20001,$A855,Orders!$E$2:$E$20001,"COD",Orders!$F$2:$F$20001,"RTO"))</f>
        <v/>
      </c>
      <c r="C855" s="17" t="str">
        <f aca="false">IF($A855="","",COUNTIFS(Orders!$C$2:$C$20001,$A855,Orders!$E$2:$E$20001,"COD",Orders!$F$2:$F$20001,"RTO"))</f>
        <v/>
      </c>
      <c r="D855" s="18" t="str">
        <f aca="false">IF($A855="","",IFERROR(C855/B855,0))</f>
        <v/>
      </c>
      <c r="E855" s="17" t="str">
        <f aca="false">IF($A855="","",COUNTIFS(Orders!$C$2:$C$20001,$A855,Orders!$E$2:$E$20001,"Prepaid",Orders!$F$2:$F$20001,"Delivered")+COUNTIFS(Orders!$C$2:$C$20001,$A855,Orders!$E$2:$E$20001,"Prepaid",Orders!$F$2:$F$20001,"RTO"))</f>
        <v/>
      </c>
      <c r="F855" s="17" t="str">
        <f aca="false">IF($A855="","",COUNTIFS(Orders!$C$2:$C$20001,$A855,Orders!$E$2:$E$20001,"Prepaid",Orders!$F$2:$F$20001,"RTO"))</f>
        <v/>
      </c>
      <c r="G855" s="18" t="str">
        <f aca="false">IF($A855="","",IFERROR(F855/E855,0))</f>
        <v/>
      </c>
      <c r="H855" s="19" t="str">
        <f aca="false">IF($A855="","",C855*Settings!$B$11)</f>
        <v/>
      </c>
      <c r="I855" s="20" t="str">
        <f aca="false">IF($A855="","",IF(N(H855)=0,"",RANK(H855,$H$5:$H$2004)))</f>
        <v/>
      </c>
      <c r="J855" s="21" t="str">
        <f aca="false">IF($A855="","",IF(B855=0,"No COD orders",IF(B855&lt;Settings!$B$8,"Too few orders",IF(D855&gt;=Settings!$B$9,"Restrict COD or verify","Keep COD"))))</f>
        <v/>
      </c>
    </row>
    <row r="856" customFormat="false" ht="15" hidden="false" customHeight="false" outlineLevel="0" collapsed="false">
      <c r="A856" s="27"/>
      <c r="B856" s="17" t="str">
        <f aca="false">IF($A856="","",COUNTIFS(Orders!$C$2:$C$20001,$A856,Orders!$E$2:$E$20001,"COD",Orders!$F$2:$F$20001,"Delivered")+COUNTIFS(Orders!$C$2:$C$20001,$A856,Orders!$E$2:$E$20001,"COD",Orders!$F$2:$F$20001,"RTO"))</f>
        <v/>
      </c>
      <c r="C856" s="17" t="str">
        <f aca="false">IF($A856="","",COUNTIFS(Orders!$C$2:$C$20001,$A856,Orders!$E$2:$E$20001,"COD",Orders!$F$2:$F$20001,"RTO"))</f>
        <v/>
      </c>
      <c r="D856" s="18" t="str">
        <f aca="false">IF($A856="","",IFERROR(C856/B856,0))</f>
        <v/>
      </c>
      <c r="E856" s="17" t="str">
        <f aca="false">IF($A856="","",COUNTIFS(Orders!$C$2:$C$20001,$A856,Orders!$E$2:$E$20001,"Prepaid",Orders!$F$2:$F$20001,"Delivered")+COUNTIFS(Orders!$C$2:$C$20001,$A856,Orders!$E$2:$E$20001,"Prepaid",Orders!$F$2:$F$20001,"RTO"))</f>
        <v/>
      </c>
      <c r="F856" s="17" t="str">
        <f aca="false">IF($A856="","",COUNTIFS(Orders!$C$2:$C$20001,$A856,Orders!$E$2:$E$20001,"Prepaid",Orders!$F$2:$F$20001,"RTO"))</f>
        <v/>
      </c>
      <c r="G856" s="18" t="str">
        <f aca="false">IF($A856="","",IFERROR(F856/E856,0))</f>
        <v/>
      </c>
      <c r="H856" s="19" t="str">
        <f aca="false">IF($A856="","",C856*Settings!$B$11)</f>
        <v/>
      </c>
      <c r="I856" s="20" t="str">
        <f aca="false">IF($A856="","",IF(N(H856)=0,"",RANK(H856,$H$5:$H$2004)))</f>
        <v/>
      </c>
      <c r="J856" s="21" t="str">
        <f aca="false">IF($A856="","",IF(B856=0,"No COD orders",IF(B856&lt;Settings!$B$8,"Too few orders",IF(D856&gt;=Settings!$B$9,"Restrict COD or verify","Keep COD"))))</f>
        <v/>
      </c>
    </row>
    <row r="857" customFormat="false" ht="15" hidden="false" customHeight="false" outlineLevel="0" collapsed="false">
      <c r="A857" s="27"/>
      <c r="B857" s="17" t="str">
        <f aca="false">IF($A857="","",COUNTIFS(Orders!$C$2:$C$20001,$A857,Orders!$E$2:$E$20001,"COD",Orders!$F$2:$F$20001,"Delivered")+COUNTIFS(Orders!$C$2:$C$20001,$A857,Orders!$E$2:$E$20001,"COD",Orders!$F$2:$F$20001,"RTO"))</f>
        <v/>
      </c>
      <c r="C857" s="17" t="str">
        <f aca="false">IF($A857="","",COUNTIFS(Orders!$C$2:$C$20001,$A857,Orders!$E$2:$E$20001,"COD",Orders!$F$2:$F$20001,"RTO"))</f>
        <v/>
      </c>
      <c r="D857" s="18" t="str">
        <f aca="false">IF($A857="","",IFERROR(C857/B857,0))</f>
        <v/>
      </c>
      <c r="E857" s="17" t="str">
        <f aca="false">IF($A857="","",COUNTIFS(Orders!$C$2:$C$20001,$A857,Orders!$E$2:$E$20001,"Prepaid",Orders!$F$2:$F$20001,"Delivered")+COUNTIFS(Orders!$C$2:$C$20001,$A857,Orders!$E$2:$E$20001,"Prepaid",Orders!$F$2:$F$20001,"RTO"))</f>
        <v/>
      </c>
      <c r="F857" s="17" t="str">
        <f aca="false">IF($A857="","",COUNTIFS(Orders!$C$2:$C$20001,$A857,Orders!$E$2:$E$20001,"Prepaid",Orders!$F$2:$F$20001,"RTO"))</f>
        <v/>
      </c>
      <c r="G857" s="18" t="str">
        <f aca="false">IF($A857="","",IFERROR(F857/E857,0))</f>
        <v/>
      </c>
      <c r="H857" s="19" t="str">
        <f aca="false">IF($A857="","",C857*Settings!$B$11)</f>
        <v/>
      </c>
      <c r="I857" s="20" t="str">
        <f aca="false">IF($A857="","",IF(N(H857)=0,"",RANK(H857,$H$5:$H$2004)))</f>
        <v/>
      </c>
      <c r="J857" s="21" t="str">
        <f aca="false">IF($A857="","",IF(B857=0,"No COD orders",IF(B857&lt;Settings!$B$8,"Too few orders",IF(D857&gt;=Settings!$B$9,"Restrict COD or verify","Keep COD"))))</f>
        <v/>
      </c>
    </row>
    <row r="858" customFormat="false" ht="15" hidden="false" customHeight="false" outlineLevel="0" collapsed="false">
      <c r="A858" s="27"/>
      <c r="B858" s="17" t="str">
        <f aca="false">IF($A858="","",COUNTIFS(Orders!$C$2:$C$20001,$A858,Orders!$E$2:$E$20001,"COD",Orders!$F$2:$F$20001,"Delivered")+COUNTIFS(Orders!$C$2:$C$20001,$A858,Orders!$E$2:$E$20001,"COD",Orders!$F$2:$F$20001,"RTO"))</f>
        <v/>
      </c>
      <c r="C858" s="17" t="str">
        <f aca="false">IF($A858="","",COUNTIFS(Orders!$C$2:$C$20001,$A858,Orders!$E$2:$E$20001,"COD",Orders!$F$2:$F$20001,"RTO"))</f>
        <v/>
      </c>
      <c r="D858" s="18" t="str">
        <f aca="false">IF($A858="","",IFERROR(C858/B858,0))</f>
        <v/>
      </c>
      <c r="E858" s="17" t="str">
        <f aca="false">IF($A858="","",COUNTIFS(Orders!$C$2:$C$20001,$A858,Orders!$E$2:$E$20001,"Prepaid",Orders!$F$2:$F$20001,"Delivered")+COUNTIFS(Orders!$C$2:$C$20001,$A858,Orders!$E$2:$E$20001,"Prepaid",Orders!$F$2:$F$20001,"RTO"))</f>
        <v/>
      </c>
      <c r="F858" s="17" t="str">
        <f aca="false">IF($A858="","",COUNTIFS(Orders!$C$2:$C$20001,$A858,Orders!$E$2:$E$20001,"Prepaid",Orders!$F$2:$F$20001,"RTO"))</f>
        <v/>
      </c>
      <c r="G858" s="18" t="str">
        <f aca="false">IF($A858="","",IFERROR(F858/E858,0))</f>
        <v/>
      </c>
      <c r="H858" s="19" t="str">
        <f aca="false">IF($A858="","",C858*Settings!$B$11)</f>
        <v/>
      </c>
      <c r="I858" s="20" t="str">
        <f aca="false">IF($A858="","",IF(N(H858)=0,"",RANK(H858,$H$5:$H$2004)))</f>
        <v/>
      </c>
      <c r="J858" s="21" t="str">
        <f aca="false">IF($A858="","",IF(B858=0,"No COD orders",IF(B858&lt;Settings!$B$8,"Too few orders",IF(D858&gt;=Settings!$B$9,"Restrict COD or verify","Keep COD"))))</f>
        <v/>
      </c>
    </row>
    <row r="859" customFormat="false" ht="15" hidden="false" customHeight="false" outlineLevel="0" collapsed="false">
      <c r="A859" s="27"/>
      <c r="B859" s="17" t="str">
        <f aca="false">IF($A859="","",COUNTIFS(Orders!$C$2:$C$20001,$A859,Orders!$E$2:$E$20001,"COD",Orders!$F$2:$F$20001,"Delivered")+COUNTIFS(Orders!$C$2:$C$20001,$A859,Orders!$E$2:$E$20001,"COD",Orders!$F$2:$F$20001,"RTO"))</f>
        <v/>
      </c>
      <c r="C859" s="17" t="str">
        <f aca="false">IF($A859="","",COUNTIFS(Orders!$C$2:$C$20001,$A859,Orders!$E$2:$E$20001,"COD",Orders!$F$2:$F$20001,"RTO"))</f>
        <v/>
      </c>
      <c r="D859" s="18" t="str">
        <f aca="false">IF($A859="","",IFERROR(C859/B859,0))</f>
        <v/>
      </c>
      <c r="E859" s="17" t="str">
        <f aca="false">IF($A859="","",COUNTIFS(Orders!$C$2:$C$20001,$A859,Orders!$E$2:$E$20001,"Prepaid",Orders!$F$2:$F$20001,"Delivered")+COUNTIFS(Orders!$C$2:$C$20001,$A859,Orders!$E$2:$E$20001,"Prepaid",Orders!$F$2:$F$20001,"RTO"))</f>
        <v/>
      </c>
      <c r="F859" s="17" t="str">
        <f aca="false">IF($A859="","",COUNTIFS(Orders!$C$2:$C$20001,$A859,Orders!$E$2:$E$20001,"Prepaid",Orders!$F$2:$F$20001,"RTO"))</f>
        <v/>
      </c>
      <c r="G859" s="18" t="str">
        <f aca="false">IF($A859="","",IFERROR(F859/E859,0))</f>
        <v/>
      </c>
      <c r="H859" s="19" t="str">
        <f aca="false">IF($A859="","",C859*Settings!$B$11)</f>
        <v/>
      </c>
      <c r="I859" s="20" t="str">
        <f aca="false">IF($A859="","",IF(N(H859)=0,"",RANK(H859,$H$5:$H$2004)))</f>
        <v/>
      </c>
      <c r="J859" s="21" t="str">
        <f aca="false">IF($A859="","",IF(B859=0,"No COD orders",IF(B859&lt;Settings!$B$8,"Too few orders",IF(D859&gt;=Settings!$B$9,"Restrict COD or verify","Keep COD"))))</f>
        <v/>
      </c>
    </row>
    <row r="860" customFormat="false" ht="15" hidden="false" customHeight="false" outlineLevel="0" collapsed="false">
      <c r="A860" s="27"/>
      <c r="B860" s="17" t="str">
        <f aca="false">IF($A860="","",COUNTIFS(Orders!$C$2:$C$20001,$A860,Orders!$E$2:$E$20001,"COD",Orders!$F$2:$F$20001,"Delivered")+COUNTIFS(Orders!$C$2:$C$20001,$A860,Orders!$E$2:$E$20001,"COD",Orders!$F$2:$F$20001,"RTO"))</f>
        <v/>
      </c>
      <c r="C860" s="17" t="str">
        <f aca="false">IF($A860="","",COUNTIFS(Orders!$C$2:$C$20001,$A860,Orders!$E$2:$E$20001,"COD",Orders!$F$2:$F$20001,"RTO"))</f>
        <v/>
      </c>
      <c r="D860" s="18" t="str">
        <f aca="false">IF($A860="","",IFERROR(C860/B860,0))</f>
        <v/>
      </c>
      <c r="E860" s="17" t="str">
        <f aca="false">IF($A860="","",COUNTIFS(Orders!$C$2:$C$20001,$A860,Orders!$E$2:$E$20001,"Prepaid",Orders!$F$2:$F$20001,"Delivered")+COUNTIFS(Orders!$C$2:$C$20001,$A860,Orders!$E$2:$E$20001,"Prepaid",Orders!$F$2:$F$20001,"RTO"))</f>
        <v/>
      </c>
      <c r="F860" s="17" t="str">
        <f aca="false">IF($A860="","",COUNTIFS(Orders!$C$2:$C$20001,$A860,Orders!$E$2:$E$20001,"Prepaid",Orders!$F$2:$F$20001,"RTO"))</f>
        <v/>
      </c>
      <c r="G860" s="18" t="str">
        <f aca="false">IF($A860="","",IFERROR(F860/E860,0))</f>
        <v/>
      </c>
      <c r="H860" s="19" t="str">
        <f aca="false">IF($A860="","",C860*Settings!$B$11)</f>
        <v/>
      </c>
      <c r="I860" s="20" t="str">
        <f aca="false">IF($A860="","",IF(N(H860)=0,"",RANK(H860,$H$5:$H$2004)))</f>
        <v/>
      </c>
      <c r="J860" s="21" t="str">
        <f aca="false">IF($A860="","",IF(B860=0,"No COD orders",IF(B860&lt;Settings!$B$8,"Too few orders",IF(D860&gt;=Settings!$B$9,"Restrict COD or verify","Keep COD"))))</f>
        <v/>
      </c>
    </row>
    <row r="861" customFormat="false" ht="15" hidden="false" customHeight="false" outlineLevel="0" collapsed="false">
      <c r="A861" s="27"/>
      <c r="B861" s="17" t="str">
        <f aca="false">IF($A861="","",COUNTIFS(Orders!$C$2:$C$20001,$A861,Orders!$E$2:$E$20001,"COD",Orders!$F$2:$F$20001,"Delivered")+COUNTIFS(Orders!$C$2:$C$20001,$A861,Orders!$E$2:$E$20001,"COD",Orders!$F$2:$F$20001,"RTO"))</f>
        <v/>
      </c>
      <c r="C861" s="17" t="str">
        <f aca="false">IF($A861="","",COUNTIFS(Orders!$C$2:$C$20001,$A861,Orders!$E$2:$E$20001,"COD",Orders!$F$2:$F$20001,"RTO"))</f>
        <v/>
      </c>
      <c r="D861" s="18" t="str">
        <f aca="false">IF($A861="","",IFERROR(C861/B861,0))</f>
        <v/>
      </c>
      <c r="E861" s="17" t="str">
        <f aca="false">IF($A861="","",COUNTIFS(Orders!$C$2:$C$20001,$A861,Orders!$E$2:$E$20001,"Prepaid",Orders!$F$2:$F$20001,"Delivered")+COUNTIFS(Orders!$C$2:$C$20001,$A861,Orders!$E$2:$E$20001,"Prepaid",Orders!$F$2:$F$20001,"RTO"))</f>
        <v/>
      </c>
      <c r="F861" s="17" t="str">
        <f aca="false">IF($A861="","",COUNTIFS(Orders!$C$2:$C$20001,$A861,Orders!$E$2:$E$20001,"Prepaid",Orders!$F$2:$F$20001,"RTO"))</f>
        <v/>
      </c>
      <c r="G861" s="18" t="str">
        <f aca="false">IF($A861="","",IFERROR(F861/E861,0))</f>
        <v/>
      </c>
      <c r="H861" s="19" t="str">
        <f aca="false">IF($A861="","",C861*Settings!$B$11)</f>
        <v/>
      </c>
      <c r="I861" s="20" t="str">
        <f aca="false">IF($A861="","",IF(N(H861)=0,"",RANK(H861,$H$5:$H$2004)))</f>
        <v/>
      </c>
      <c r="J861" s="21" t="str">
        <f aca="false">IF($A861="","",IF(B861=0,"No COD orders",IF(B861&lt;Settings!$B$8,"Too few orders",IF(D861&gt;=Settings!$B$9,"Restrict COD or verify","Keep COD"))))</f>
        <v/>
      </c>
    </row>
    <row r="862" customFormat="false" ht="15" hidden="false" customHeight="false" outlineLevel="0" collapsed="false">
      <c r="A862" s="27"/>
      <c r="B862" s="17" t="str">
        <f aca="false">IF($A862="","",COUNTIFS(Orders!$C$2:$C$20001,$A862,Orders!$E$2:$E$20001,"COD",Orders!$F$2:$F$20001,"Delivered")+COUNTIFS(Orders!$C$2:$C$20001,$A862,Orders!$E$2:$E$20001,"COD",Orders!$F$2:$F$20001,"RTO"))</f>
        <v/>
      </c>
      <c r="C862" s="17" t="str">
        <f aca="false">IF($A862="","",COUNTIFS(Orders!$C$2:$C$20001,$A862,Orders!$E$2:$E$20001,"COD",Orders!$F$2:$F$20001,"RTO"))</f>
        <v/>
      </c>
      <c r="D862" s="18" t="str">
        <f aca="false">IF($A862="","",IFERROR(C862/B862,0))</f>
        <v/>
      </c>
      <c r="E862" s="17" t="str">
        <f aca="false">IF($A862="","",COUNTIFS(Orders!$C$2:$C$20001,$A862,Orders!$E$2:$E$20001,"Prepaid",Orders!$F$2:$F$20001,"Delivered")+COUNTIFS(Orders!$C$2:$C$20001,$A862,Orders!$E$2:$E$20001,"Prepaid",Orders!$F$2:$F$20001,"RTO"))</f>
        <v/>
      </c>
      <c r="F862" s="17" t="str">
        <f aca="false">IF($A862="","",COUNTIFS(Orders!$C$2:$C$20001,$A862,Orders!$E$2:$E$20001,"Prepaid",Orders!$F$2:$F$20001,"RTO"))</f>
        <v/>
      </c>
      <c r="G862" s="18" t="str">
        <f aca="false">IF($A862="","",IFERROR(F862/E862,0))</f>
        <v/>
      </c>
      <c r="H862" s="19" t="str">
        <f aca="false">IF($A862="","",C862*Settings!$B$11)</f>
        <v/>
      </c>
      <c r="I862" s="20" t="str">
        <f aca="false">IF($A862="","",IF(N(H862)=0,"",RANK(H862,$H$5:$H$2004)))</f>
        <v/>
      </c>
      <c r="J862" s="21" t="str">
        <f aca="false">IF($A862="","",IF(B862=0,"No COD orders",IF(B862&lt;Settings!$B$8,"Too few orders",IF(D862&gt;=Settings!$B$9,"Restrict COD or verify","Keep COD"))))</f>
        <v/>
      </c>
    </row>
    <row r="863" customFormat="false" ht="15" hidden="false" customHeight="false" outlineLevel="0" collapsed="false">
      <c r="A863" s="27"/>
      <c r="B863" s="17" t="str">
        <f aca="false">IF($A863="","",COUNTIFS(Orders!$C$2:$C$20001,$A863,Orders!$E$2:$E$20001,"COD",Orders!$F$2:$F$20001,"Delivered")+COUNTIFS(Orders!$C$2:$C$20001,$A863,Orders!$E$2:$E$20001,"COD",Orders!$F$2:$F$20001,"RTO"))</f>
        <v/>
      </c>
      <c r="C863" s="17" t="str">
        <f aca="false">IF($A863="","",COUNTIFS(Orders!$C$2:$C$20001,$A863,Orders!$E$2:$E$20001,"COD",Orders!$F$2:$F$20001,"RTO"))</f>
        <v/>
      </c>
      <c r="D863" s="18" t="str">
        <f aca="false">IF($A863="","",IFERROR(C863/B863,0))</f>
        <v/>
      </c>
      <c r="E863" s="17" t="str">
        <f aca="false">IF($A863="","",COUNTIFS(Orders!$C$2:$C$20001,$A863,Orders!$E$2:$E$20001,"Prepaid",Orders!$F$2:$F$20001,"Delivered")+COUNTIFS(Orders!$C$2:$C$20001,$A863,Orders!$E$2:$E$20001,"Prepaid",Orders!$F$2:$F$20001,"RTO"))</f>
        <v/>
      </c>
      <c r="F863" s="17" t="str">
        <f aca="false">IF($A863="","",COUNTIFS(Orders!$C$2:$C$20001,$A863,Orders!$E$2:$E$20001,"Prepaid",Orders!$F$2:$F$20001,"RTO"))</f>
        <v/>
      </c>
      <c r="G863" s="18" t="str">
        <f aca="false">IF($A863="","",IFERROR(F863/E863,0))</f>
        <v/>
      </c>
      <c r="H863" s="19" t="str">
        <f aca="false">IF($A863="","",C863*Settings!$B$11)</f>
        <v/>
      </c>
      <c r="I863" s="20" t="str">
        <f aca="false">IF($A863="","",IF(N(H863)=0,"",RANK(H863,$H$5:$H$2004)))</f>
        <v/>
      </c>
      <c r="J863" s="21" t="str">
        <f aca="false">IF($A863="","",IF(B863=0,"No COD orders",IF(B863&lt;Settings!$B$8,"Too few orders",IF(D863&gt;=Settings!$B$9,"Restrict COD or verify","Keep COD"))))</f>
        <v/>
      </c>
    </row>
    <row r="864" customFormat="false" ht="15" hidden="false" customHeight="false" outlineLevel="0" collapsed="false">
      <c r="A864" s="27"/>
      <c r="B864" s="17" t="str">
        <f aca="false">IF($A864="","",COUNTIFS(Orders!$C$2:$C$20001,$A864,Orders!$E$2:$E$20001,"COD",Orders!$F$2:$F$20001,"Delivered")+COUNTIFS(Orders!$C$2:$C$20001,$A864,Orders!$E$2:$E$20001,"COD",Orders!$F$2:$F$20001,"RTO"))</f>
        <v/>
      </c>
      <c r="C864" s="17" t="str">
        <f aca="false">IF($A864="","",COUNTIFS(Orders!$C$2:$C$20001,$A864,Orders!$E$2:$E$20001,"COD",Orders!$F$2:$F$20001,"RTO"))</f>
        <v/>
      </c>
      <c r="D864" s="18" t="str">
        <f aca="false">IF($A864="","",IFERROR(C864/B864,0))</f>
        <v/>
      </c>
      <c r="E864" s="17" t="str">
        <f aca="false">IF($A864="","",COUNTIFS(Orders!$C$2:$C$20001,$A864,Orders!$E$2:$E$20001,"Prepaid",Orders!$F$2:$F$20001,"Delivered")+COUNTIFS(Orders!$C$2:$C$20001,$A864,Orders!$E$2:$E$20001,"Prepaid",Orders!$F$2:$F$20001,"RTO"))</f>
        <v/>
      </c>
      <c r="F864" s="17" t="str">
        <f aca="false">IF($A864="","",COUNTIFS(Orders!$C$2:$C$20001,$A864,Orders!$E$2:$E$20001,"Prepaid",Orders!$F$2:$F$20001,"RTO"))</f>
        <v/>
      </c>
      <c r="G864" s="18" t="str">
        <f aca="false">IF($A864="","",IFERROR(F864/E864,0))</f>
        <v/>
      </c>
      <c r="H864" s="19" t="str">
        <f aca="false">IF($A864="","",C864*Settings!$B$11)</f>
        <v/>
      </c>
      <c r="I864" s="20" t="str">
        <f aca="false">IF($A864="","",IF(N(H864)=0,"",RANK(H864,$H$5:$H$2004)))</f>
        <v/>
      </c>
      <c r="J864" s="21" t="str">
        <f aca="false">IF($A864="","",IF(B864=0,"No COD orders",IF(B864&lt;Settings!$B$8,"Too few orders",IF(D864&gt;=Settings!$B$9,"Restrict COD or verify","Keep COD"))))</f>
        <v/>
      </c>
    </row>
    <row r="865" customFormat="false" ht="15" hidden="false" customHeight="false" outlineLevel="0" collapsed="false">
      <c r="A865" s="27"/>
      <c r="B865" s="17" t="str">
        <f aca="false">IF($A865="","",COUNTIFS(Orders!$C$2:$C$20001,$A865,Orders!$E$2:$E$20001,"COD",Orders!$F$2:$F$20001,"Delivered")+COUNTIFS(Orders!$C$2:$C$20001,$A865,Orders!$E$2:$E$20001,"COD",Orders!$F$2:$F$20001,"RTO"))</f>
        <v/>
      </c>
      <c r="C865" s="17" t="str">
        <f aca="false">IF($A865="","",COUNTIFS(Orders!$C$2:$C$20001,$A865,Orders!$E$2:$E$20001,"COD",Orders!$F$2:$F$20001,"RTO"))</f>
        <v/>
      </c>
      <c r="D865" s="18" t="str">
        <f aca="false">IF($A865="","",IFERROR(C865/B865,0))</f>
        <v/>
      </c>
      <c r="E865" s="17" t="str">
        <f aca="false">IF($A865="","",COUNTIFS(Orders!$C$2:$C$20001,$A865,Orders!$E$2:$E$20001,"Prepaid",Orders!$F$2:$F$20001,"Delivered")+COUNTIFS(Orders!$C$2:$C$20001,$A865,Orders!$E$2:$E$20001,"Prepaid",Orders!$F$2:$F$20001,"RTO"))</f>
        <v/>
      </c>
      <c r="F865" s="17" t="str">
        <f aca="false">IF($A865="","",COUNTIFS(Orders!$C$2:$C$20001,$A865,Orders!$E$2:$E$20001,"Prepaid",Orders!$F$2:$F$20001,"RTO"))</f>
        <v/>
      </c>
      <c r="G865" s="18" t="str">
        <f aca="false">IF($A865="","",IFERROR(F865/E865,0))</f>
        <v/>
      </c>
      <c r="H865" s="19" t="str">
        <f aca="false">IF($A865="","",C865*Settings!$B$11)</f>
        <v/>
      </c>
      <c r="I865" s="20" t="str">
        <f aca="false">IF($A865="","",IF(N(H865)=0,"",RANK(H865,$H$5:$H$2004)))</f>
        <v/>
      </c>
      <c r="J865" s="21" t="str">
        <f aca="false">IF($A865="","",IF(B865=0,"No COD orders",IF(B865&lt;Settings!$B$8,"Too few orders",IF(D865&gt;=Settings!$B$9,"Restrict COD or verify","Keep COD"))))</f>
        <v/>
      </c>
    </row>
    <row r="866" customFormat="false" ht="15" hidden="false" customHeight="false" outlineLevel="0" collapsed="false">
      <c r="A866" s="27"/>
      <c r="B866" s="17" t="str">
        <f aca="false">IF($A866="","",COUNTIFS(Orders!$C$2:$C$20001,$A866,Orders!$E$2:$E$20001,"COD",Orders!$F$2:$F$20001,"Delivered")+COUNTIFS(Orders!$C$2:$C$20001,$A866,Orders!$E$2:$E$20001,"COD",Orders!$F$2:$F$20001,"RTO"))</f>
        <v/>
      </c>
      <c r="C866" s="17" t="str">
        <f aca="false">IF($A866="","",COUNTIFS(Orders!$C$2:$C$20001,$A866,Orders!$E$2:$E$20001,"COD",Orders!$F$2:$F$20001,"RTO"))</f>
        <v/>
      </c>
      <c r="D866" s="18" t="str">
        <f aca="false">IF($A866="","",IFERROR(C866/B866,0))</f>
        <v/>
      </c>
      <c r="E866" s="17" t="str">
        <f aca="false">IF($A866="","",COUNTIFS(Orders!$C$2:$C$20001,$A866,Orders!$E$2:$E$20001,"Prepaid",Orders!$F$2:$F$20001,"Delivered")+COUNTIFS(Orders!$C$2:$C$20001,$A866,Orders!$E$2:$E$20001,"Prepaid",Orders!$F$2:$F$20001,"RTO"))</f>
        <v/>
      </c>
      <c r="F866" s="17" t="str">
        <f aca="false">IF($A866="","",COUNTIFS(Orders!$C$2:$C$20001,$A866,Orders!$E$2:$E$20001,"Prepaid",Orders!$F$2:$F$20001,"RTO"))</f>
        <v/>
      </c>
      <c r="G866" s="18" t="str">
        <f aca="false">IF($A866="","",IFERROR(F866/E866,0))</f>
        <v/>
      </c>
      <c r="H866" s="19" t="str">
        <f aca="false">IF($A866="","",C866*Settings!$B$11)</f>
        <v/>
      </c>
      <c r="I866" s="20" t="str">
        <f aca="false">IF($A866="","",IF(N(H866)=0,"",RANK(H866,$H$5:$H$2004)))</f>
        <v/>
      </c>
      <c r="J866" s="21" t="str">
        <f aca="false">IF($A866="","",IF(B866=0,"No COD orders",IF(B866&lt;Settings!$B$8,"Too few orders",IF(D866&gt;=Settings!$B$9,"Restrict COD or verify","Keep COD"))))</f>
        <v/>
      </c>
    </row>
    <row r="867" customFormat="false" ht="15" hidden="false" customHeight="false" outlineLevel="0" collapsed="false">
      <c r="A867" s="27"/>
      <c r="B867" s="17" t="str">
        <f aca="false">IF($A867="","",COUNTIFS(Orders!$C$2:$C$20001,$A867,Orders!$E$2:$E$20001,"COD",Orders!$F$2:$F$20001,"Delivered")+COUNTIFS(Orders!$C$2:$C$20001,$A867,Orders!$E$2:$E$20001,"COD",Orders!$F$2:$F$20001,"RTO"))</f>
        <v/>
      </c>
      <c r="C867" s="17" t="str">
        <f aca="false">IF($A867="","",COUNTIFS(Orders!$C$2:$C$20001,$A867,Orders!$E$2:$E$20001,"COD",Orders!$F$2:$F$20001,"RTO"))</f>
        <v/>
      </c>
      <c r="D867" s="18" t="str">
        <f aca="false">IF($A867="","",IFERROR(C867/B867,0))</f>
        <v/>
      </c>
      <c r="E867" s="17" t="str">
        <f aca="false">IF($A867="","",COUNTIFS(Orders!$C$2:$C$20001,$A867,Orders!$E$2:$E$20001,"Prepaid",Orders!$F$2:$F$20001,"Delivered")+COUNTIFS(Orders!$C$2:$C$20001,$A867,Orders!$E$2:$E$20001,"Prepaid",Orders!$F$2:$F$20001,"RTO"))</f>
        <v/>
      </c>
      <c r="F867" s="17" t="str">
        <f aca="false">IF($A867="","",COUNTIFS(Orders!$C$2:$C$20001,$A867,Orders!$E$2:$E$20001,"Prepaid",Orders!$F$2:$F$20001,"RTO"))</f>
        <v/>
      </c>
      <c r="G867" s="18" t="str">
        <f aca="false">IF($A867="","",IFERROR(F867/E867,0))</f>
        <v/>
      </c>
      <c r="H867" s="19" t="str">
        <f aca="false">IF($A867="","",C867*Settings!$B$11)</f>
        <v/>
      </c>
      <c r="I867" s="20" t="str">
        <f aca="false">IF($A867="","",IF(N(H867)=0,"",RANK(H867,$H$5:$H$2004)))</f>
        <v/>
      </c>
      <c r="J867" s="21" t="str">
        <f aca="false">IF($A867="","",IF(B867=0,"No COD orders",IF(B867&lt;Settings!$B$8,"Too few orders",IF(D867&gt;=Settings!$B$9,"Restrict COD or verify","Keep COD"))))</f>
        <v/>
      </c>
    </row>
    <row r="868" customFormat="false" ht="15" hidden="false" customHeight="false" outlineLevel="0" collapsed="false">
      <c r="A868" s="27"/>
      <c r="B868" s="17" t="str">
        <f aca="false">IF($A868="","",COUNTIFS(Orders!$C$2:$C$20001,$A868,Orders!$E$2:$E$20001,"COD",Orders!$F$2:$F$20001,"Delivered")+COUNTIFS(Orders!$C$2:$C$20001,$A868,Orders!$E$2:$E$20001,"COD",Orders!$F$2:$F$20001,"RTO"))</f>
        <v/>
      </c>
      <c r="C868" s="17" t="str">
        <f aca="false">IF($A868="","",COUNTIFS(Orders!$C$2:$C$20001,$A868,Orders!$E$2:$E$20001,"COD",Orders!$F$2:$F$20001,"RTO"))</f>
        <v/>
      </c>
      <c r="D868" s="18" t="str">
        <f aca="false">IF($A868="","",IFERROR(C868/B868,0))</f>
        <v/>
      </c>
      <c r="E868" s="17" t="str">
        <f aca="false">IF($A868="","",COUNTIFS(Orders!$C$2:$C$20001,$A868,Orders!$E$2:$E$20001,"Prepaid",Orders!$F$2:$F$20001,"Delivered")+COUNTIFS(Orders!$C$2:$C$20001,$A868,Orders!$E$2:$E$20001,"Prepaid",Orders!$F$2:$F$20001,"RTO"))</f>
        <v/>
      </c>
      <c r="F868" s="17" t="str">
        <f aca="false">IF($A868="","",COUNTIFS(Orders!$C$2:$C$20001,$A868,Orders!$E$2:$E$20001,"Prepaid",Orders!$F$2:$F$20001,"RTO"))</f>
        <v/>
      </c>
      <c r="G868" s="18" t="str">
        <f aca="false">IF($A868="","",IFERROR(F868/E868,0))</f>
        <v/>
      </c>
      <c r="H868" s="19" t="str">
        <f aca="false">IF($A868="","",C868*Settings!$B$11)</f>
        <v/>
      </c>
      <c r="I868" s="20" t="str">
        <f aca="false">IF($A868="","",IF(N(H868)=0,"",RANK(H868,$H$5:$H$2004)))</f>
        <v/>
      </c>
      <c r="J868" s="21" t="str">
        <f aca="false">IF($A868="","",IF(B868=0,"No COD orders",IF(B868&lt;Settings!$B$8,"Too few orders",IF(D868&gt;=Settings!$B$9,"Restrict COD or verify","Keep COD"))))</f>
        <v/>
      </c>
    </row>
    <row r="869" customFormat="false" ht="15" hidden="false" customHeight="false" outlineLevel="0" collapsed="false">
      <c r="A869" s="27"/>
      <c r="B869" s="17" t="str">
        <f aca="false">IF($A869="","",COUNTIFS(Orders!$C$2:$C$20001,$A869,Orders!$E$2:$E$20001,"COD",Orders!$F$2:$F$20001,"Delivered")+COUNTIFS(Orders!$C$2:$C$20001,$A869,Orders!$E$2:$E$20001,"COD",Orders!$F$2:$F$20001,"RTO"))</f>
        <v/>
      </c>
      <c r="C869" s="17" t="str">
        <f aca="false">IF($A869="","",COUNTIFS(Orders!$C$2:$C$20001,$A869,Orders!$E$2:$E$20001,"COD",Orders!$F$2:$F$20001,"RTO"))</f>
        <v/>
      </c>
      <c r="D869" s="18" t="str">
        <f aca="false">IF($A869="","",IFERROR(C869/B869,0))</f>
        <v/>
      </c>
      <c r="E869" s="17" t="str">
        <f aca="false">IF($A869="","",COUNTIFS(Orders!$C$2:$C$20001,$A869,Orders!$E$2:$E$20001,"Prepaid",Orders!$F$2:$F$20001,"Delivered")+COUNTIFS(Orders!$C$2:$C$20001,$A869,Orders!$E$2:$E$20001,"Prepaid",Orders!$F$2:$F$20001,"RTO"))</f>
        <v/>
      </c>
      <c r="F869" s="17" t="str">
        <f aca="false">IF($A869="","",COUNTIFS(Orders!$C$2:$C$20001,$A869,Orders!$E$2:$E$20001,"Prepaid",Orders!$F$2:$F$20001,"RTO"))</f>
        <v/>
      </c>
      <c r="G869" s="18" t="str">
        <f aca="false">IF($A869="","",IFERROR(F869/E869,0))</f>
        <v/>
      </c>
      <c r="H869" s="19" t="str">
        <f aca="false">IF($A869="","",C869*Settings!$B$11)</f>
        <v/>
      </c>
      <c r="I869" s="20" t="str">
        <f aca="false">IF($A869="","",IF(N(H869)=0,"",RANK(H869,$H$5:$H$2004)))</f>
        <v/>
      </c>
      <c r="J869" s="21" t="str">
        <f aca="false">IF($A869="","",IF(B869=0,"No COD orders",IF(B869&lt;Settings!$B$8,"Too few orders",IF(D869&gt;=Settings!$B$9,"Restrict COD or verify","Keep COD"))))</f>
        <v/>
      </c>
    </row>
    <row r="870" customFormat="false" ht="15" hidden="false" customHeight="false" outlineLevel="0" collapsed="false">
      <c r="A870" s="27"/>
      <c r="B870" s="17" t="str">
        <f aca="false">IF($A870="","",COUNTIFS(Orders!$C$2:$C$20001,$A870,Orders!$E$2:$E$20001,"COD",Orders!$F$2:$F$20001,"Delivered")+COUNTIFS(Orders!$C$2:$C$20001,$A870,Orders!$E$2:$E$20001,"COD",Orders!$F$2:$F$20001,"RTO"))</f>
        <v/>
      </c>
      <c r="C870" s="17" t="str">
        <f aca="false">IF($A870="","",COUNTIFS(Orders!$C$2:$C$20001,$A870,Orders!$E$2:$E$20001,"COD",Orders!$F$2:$F$20001,"RTO"))</f>
        <v/>
      </c>
      <c r="D870" s="18" t="str">
        <f aca="false">IF($A870="","",IFERROR(C870/B870,0))</f>
        <v/>
      </c>
      <c r="E870" s="17" t="str">
        <f aca="false">IF($A870="","",COUNTIFS(Orders!$C$2:$C$20001,$A870,Orders!$E$2:$E$20001,"Prepaid",Orders!$F$2:$F$20001,"Delivered")+COUNTIFS(Orders!$C$2:$C$20001,$A870,Orders!$E$2:$E$20001,"Prepaid",Orders!$F$2:$F$20001,"RTO"))</f>
        <v/>
      </c>
      <c r="F870" s="17" t="str">
        <f aca="false">IF($A870="","",COUNTIFS(Orders!$C$2:$C$20001,$A870,Orders!$E$2:$E$20001,"Prepaid",Orders!$F$2:$F$20001,"RTO"))</f>
        <v/>
      </c>
      <c r="G870" s="18" t="str">
        <f aca="false">IF($A870="","",IFERROR(F870/E870,0))</f>
        <v/>
      </c>
      <c r="H870" s="19" t="str">
        <f aca="false">IF($A870="","",C870*Settings!$B$11)</f>
        <v/>
      </c>
      <c r="I870" s="20" t="str">
        <f aca="false">IF($A870="","",IF(N(H870)=0,"",RANK(H870,$H$5:$H$2004)))</f>
        <v/>
      </c>
      <c r="J870" s="21" t="str">
        <f aca="false">IF($A870="","",IF(B870=0,"No COD orders",IF(B870&lt;Settings!$B$8,"Too few orders",IF(D870&gt;=Settings!$B$9,"Restrict COD or verify","Keep COD"))))</f>
        <v/>
      </c>
    </row>
    <row r="871" customFormat="false" ht="15" hidden="false" customHeight="false" outlineLevel="0" collapsed="false">
      <c r="A871" s="27"/>
      <c r="B871" s="17" t="str">
        <f aca="false">IF($A871="","",COUNTIFS(Orders!$C$2:$C$20001,$A871,Orders!$E$2:$E$20001,"COD",Orders!$F$2:$F$20001,"Delivered")+COUNTIFS(Orders!$C$2:$C$20001,$A871,Orders!$E$2:$E$20001,"COD",Orders!$F$2:$F$20001,"RTO"))</f>
        <v/>
      </c>
      <c r="C871" s="17" t="str">
        <f aca="false">IF($A871="","",COUNTIFS(Orders!$C$2:$C$20001,$A871,Orders!$E$2:$E$20001,"COD",Orders!$F$2:$F$20001,"RTO"))</f>
        <v/>
      </c>
      <c r="D871" s="18" t="str">
        <f aca="false">IF($A871="","",IFERROR(C871/B871,0))</f>
        <v/>
      </c>
      <c r="E871" s="17" t="str">
        <f aca="false">IF($A871="","",COUNTIFS(Orders!$C$2:$C$20001,$A871,Orders!$E$2:$E$20001,"Prepaid",Orders!$F$2:$F$20001,"Delivered")+COUNTIFS(Orders!$C$2:$C$20001,$A871,Orders!$E$2:$E$20001,"Prepaid",Orders!$F$2:$F$20001,"RTO"))</f>
        <v/>
      </c>
      <c r="F871" s="17" t="str">
        <f aca="false">IF($A871="","",COUNTIFS(Orders!$C$2:$C$20001,$A871,Orders!$E$2:$E$20001,"Prepaid",Orders!$F$2:$F$20001,"RTO"))</f>
        <v/>
      </c>
      <c r="G871" s="18" t="str">
        <f aca="false">IF($A871="","",IFERROR(F871/E871,0))</f>
        <v/>
      </c>
      <c r="H871" s="19" t="str">
        <f aca="false">IF($A871="","",C871*Settings!$B$11)</f>
        <v/>
      </c>
      <c r="I871" s="20" t="str">
        <f aca="false">IF($A871="","",IF(N(H871)=0,"",RANK(H871,$H$5:$H$2004)))</f>
        <v/>
      </c>
      <c r="J871" s="21" t="str">
        <f aca="false">IF($A871="","",IF(B871=0,"No COD orders",IF(B871&lt;Settings!$B$8,"Too few orders",IF(D871&gt;=Settings!$B$9,"Restrict COD or verify","Keep COD"))))</f>
        <v/>
      </c>
    </row>
    <row r="872" customFormat="false" ht="15" hidden="false" customHeight="false" outlineLevel="0" collapsed="false">
      <c r="A872" s="27"/>
      <c r="B872" s="17" t="str">
        <f aca="false">IF($A872="","",COUNTIFS(Orders!$C$2:$C$20001,$A872,Orders!$E$2:$E$20001,"COD",Orders!$F$2:$F$20001,"Delivered")+COUNTIFS(Orders!$C$2:$C$20001,$A872,Orders!$E$2:$E$20001,"COD",Orders!$F$2:$F$20001,"RTO"))</f>
        <v/>
      </c>
      <c r="C872" s="17" t="str">
        <f aca="false">IF($A872="","",COUNTIFS(Orders!$C$2:$C$20001,$A872,Orders!$E$2:$E$20001,"COD",Orders!$F$2:$F$20001,"RTO"))</f>
        <v/>
      </c>
      <c r="D872" s="18" t="str">
        <f aca="false">IF($A872="","",IFERROR(C872/B872,0))</f>
        <v/>
      </c>
      <c r="E872" s="17" t="str">
        <f aca="false">IF($A872="","",COUNTIFS(Orders!$C$2:$C$20001,$A872,Orders!$E$2:$E$20001,"Prepaid",Orders!$F$2:$F$20001,"Delivered")+COUNTIFS(Orders!$C$2:$C$20001,$A872,Orders!$E$2:$E$20001,"Prepaid",Orders!$F$2:$F$20001,"RTO"))</f>
        <v/>
      </c>
      <c r="F872" s="17" t="str">
        <f aca="false">IF($A872="","",COUNTIFS(Orders!$C$2:$C$20001,$A872,Orders!$E$2:$E$20001,"Prepaid",Orders!$F$2:$F$20001,"RTO"))</f>
        <v/>
      </c>
      <c r="G872" s="18" t="str">
        <f aca="false">IF($A872="","",IFERROR(F872/E872,0))</f>
        <v/>
      </c>
      <c r="H872" s="19" t="str">
        <f aca="false">IF($A872="","",C872*Settings!$B$11)</f>
        <v/>
      </c>
      <c r="I872" s="20" t="str">
        <f aca="false">IF($A872="","",IF(N(H872)=0,"",RANK(H872,$H$5:$H$2004)))</f>
        <v/>
      </c>
      <c r="J872" s="21" t="str">
        <f aca="false">IF($A872="","",IF(B872=0,"No COD orders",IF(B872&lt;Settings!$B$8,"Too few orders",IF(D872&gt;=Settings!$B$9,"Restrict COD or verify","Keep COD"))))</f>
        <v/>
      </c>
    </row>
    <row r="873" customFormat="false" ht="15" hidden="false" customHeight="false" outlineLevel="0" collapsed="false">
      <c r="A873" s="27"/>
      <c r="B873" s="17" t="str">
        <f aca="false">IF($A873="","",COUNTIFS(Orders!$C$2:$C$20001,$A873,Orders!$E$2:$E$20001,"COD",Orders!$F$2:$F$20001,"Delivered")+COUNTIFS(Orders!$C$2:$C$20001,$A873,Orders!$E$2:$E$20001,"COD",Orders!$F$2:$F$20001,"RTO"))</f>
        <v/>
      </c>
      <c r="C873" s="17" t="str">
        <f aca="false">IF($A873="","",COUNTIFS(Orders!$C$2:$C$20001,$A873,Orders!$E$2:$E$20001,"COD",Orders!$F$2:$F$20001,"RTO"))</f>
        <v/>
      </c>
      <c r="D873" s="18" t="str">
        <f aca="false">IF($A873="","",IFERROR(C873/B873,0))</f>
        <v/>
      </c>
      <c r="E873" s="17" t="str">
        <f aca="false">IF($A873="","",COUNTIFS(Orders!$C$2:$C$20001,$A873,Orders!$E$2:$E$20001,"Prepaid",Orders!$F$2:$F$20001,"Delivered")+COUNTIFS(Orders!$C$2:$C$20001,$A873,Orders!$E$2:$E$20001,"Prepaid",Orders!$F$2:$F$20001,"RTO"))</f>
        <v/>
      </c>
      <c r="F873" s="17" t="str">
        <f aca="false">IF($A873="","",COUNTIFS(Orders!$C$2:$C$20001,$A873,Orders!$E$2:$E$20001,"Prepaid",Orders!$F$2:$F$20001,"RTO"))</f>
        <v/>
      </c>
      <c r="G873" s="18" t="str">
        <f aca="false">IF($A873="","",IFERROR(F873/E873,0))</f>
        <v/>
      </c>
      <c r="H873" s="19" t="str">
        <f aca="false">IF($A873="","",C873*Settings!$B$11)</f>
        <v/>
      </c>
      <c r="I873" s="20" t="str">
        <f aca="false">IF($A873="","",IF(N(H873)=0,"",RANK(H873,$H$5:$H$2004)))</f>
        <v/>
      </c>
      <c r="J873" s="21" t="str">
        <f aca="false">IF($A873="","",IF(B873=0,"No COD orders",IF(B873&lt;Settings!$B$8,"Too few orders",IF(D873&gt;=Settings!$B$9,"Restrict COD or verify","Keep COD"))))</f>
        <v/>
      </c>
    </row>
    <row r="874" customFormat="false" ht="15" hidden="false" customHeight="false" outlineLevel="0" collapsed="false">
      <c r="A874" s="27"/>
      <c r="B874" s="17" t="str">
        <f aca="false">IF($A874="","",COUNTIFS(Orders!$C$2:$C$20001,$A874,Orders!$E$2:$E$20001,"COD",Orders!$F$2:$F$20001,"Delivered")+COUNTIFS(Orders!$C$2:$C$20001,$A874,Orders!$E$2:$E$20001,"COD",Orders!$F$2:$F$20001,"RTO"))</f>
        <v/>
      </c>
      <c r="C874" s="17" t="str">
        <f aca="false">IF($A874="","",COUNTIFS(Orders!$C$2:$C$20001,$A874,Orders!$E$2:$E$20001,"COD",Orders!$F$2:$F$20001,"RTO"))</f>
        <v/>
      </c>
      <c r="D874" s="18" t="str">
        <f aca="false">IF($A874="","",IFERROR(C874/B874,0))</f>
        <v/>
      </c>
      <c r="E874" s="17" t="str">
        <f aca="false">IF($A874="","",COUNTIFS(Orders!$C$2:$C$20001,$A874,Orders!$E$2:$E$20001,"Prepaid",Orders!$F$2:$F$20001,"Delivered")+COUNTIFS(Orders!$C$2:$C$20001,$A874,Orders!$E$2:$E$20001,"Prepaid",Orders!$F$2:$F$20001,"RTO"))</f>
        <v/>
      </c>
      <c r="F874" s="17" t="str">
        <f aca="false">IF($A874="","",COUNTIFS(Orders!$C$2:$C$20001,$A874,Orders!$E$2:$E$20001,"Prepaid",Orders!$F$2:$F$20001,"RTO"))</f>
        <v/>
      </c>
      <c r="G874" s="18" t="str">
        <f aca="false">IF($A874="","",IFERROR(F874/E874,0))</f>
        <v/>
      </c>
      <c r="H874" s="19" t="str">
        <f aca="false">IF($A874="","",C874*Settings!$B$11)</f>
        <v/>
      </c>
      <c r="I874" s="20" t="str">
        <f aca="false">IF($A874="","",IF(N(H874)=0,"",RANK(H874,$H$5:$H$2004)))</f>
        <v/>
      </c>
      <c r="J874" s="21" t="str">
        <f aca="false">IF($A874="","",IF(B874=0,"No COD orders",IF(B874&lt;Settings!$B$8,"Too few orders",IF(D874&gt;=Settings!$B$9,"Restrict COD or verify","Keep COD"))))</f>
        <v/>
      </c>
    </row>
    <row r="875" customFormat="false" ht="15" hidden="false" customHeight="false" outlineLevel="0" collapsed="false">
      <c r="A875" s="27"/>
      <c r="B875" s="17" t="str">
        <f aca="false">IF($A875="","",COUNTIFS(Orders!$C$2:$C$20001,$A875,Orders!$E$2:$E$20001,"COD",Orders!$F$2:$F$20001,"Delivered")+COUNTIFS(Orders!$C$2:$C$20001,$A875,Orders!$E$2:$E$20001,"COD",Orders!$F$2:$F$20001,"RTO"))</f>
        <v/>
      </c>
      <c r="C875" s="17" t="str">
        <f aca="false">IF($A875="","",COUNTIFS(Orders!$C$2:$C$20001,$A875,Orders!$E$2:$E$20001,"COD",Orders!$F$2:$F$20001,"RTO"))</f>
        <v/>
      </c>
      <c r="D875" s="18" t="str">
        <f aca="false">IF($A875="","",IFERROR(C875/B875,0))</f>
        <v/>
      </c>
      <c r="E875" s="17" t="str">
        <f aca="false">IF($A875="","",COUNTIFS(Orders!$C$2:$C$20001,$A875,Orders!$E$2:$E$20001,"Prepaid",Orders!$F$2:$F$20001,"Delivered")+COUNTIFS(Orders!$C$2:$C$20001,$A875,Orders!$E$2:$E$20001,"Prepaid",Orders!$F$2:$F$20001,"RTO"))</f>
        <v/>
      </c>
      <c r="F875" s="17" t="str">
        <f aca="false">IF($A875="","",COUNTIFS(Orders!$C$2:$C$20001,$A875,Orders!$E$2:$E$20001,"Prepaid",Orders!$F$2:$F$20001,"RTO"))</f>
        <v/>
      </c>
      <c r="G875" s="18" t="str">
        <f aca="false">IF($A875="","",IFERROR(F875/E875,0))</f>
        <v/>
      </c>
      <c r="H875" s="19" t="str">
        <f aca="false">IF($A875="","",C875*Settings!$B$11)</f>
        <v/>
      </c>
      <c r="I875" s="20" t="str">
        <f aca="false">IF($A875="","",IF(N(H875)=0,"",RANK(H875,$H$5:$H$2004)))</f>
        <v/>
      </c>
      <c r="J875" s="21" t="str">
        <f aca="false">IF($A875="","",IF(B875=0,"No COD orders",IF(B875&lt;Settings!$B$8,"Too few orders",IF(D875&gt;=Settings!$B$9,"Restrict COD or verify","Keep COD"))))</f>
        <v/>
      </c>
    </row>
    <row r="876" customFormat="false" ht="15" hidden="false" customHeight="false" outlineLevel="0" collapsed="false">
      <c r="A876" s="27"/>
      <c r="B876" s="17" t="str">
        <f aca="false">IF($A876="","",COUNTIFS(Orders!$C$2:$C$20001,$A876,Orders!$E$2:$E$20001,"COD",Orders!$F$2:$F$20001,"Delivered")+COUNTIFS(Orders!$C$2:$C$20001,$A876,Orders!$E$2:$E$20001,"COD",Orders!$F$2:$F$20001,"RTO"))</f>
        <v/>
      </c>
      <c r="C876" s="17" t="str">
        <f aca="false">IF($A876="","",COUNTIFS(Orders!$C$2:$C$20001,$A876,Orders!$E$2:$E$20001,"COD",Orders!$F$2:$F$20001,"RTO"))</f>
        <v/>
      </c>
      <c r="D876" s="18" t="str">
        <f aca="false">IF($A876="","",IFERROR(C876/B876,0))</f>
        <v/>
      </c>
      <c r="E876" s="17" t="str">
        <f aca="false">IF($A876="","",COUNTIFS(Orders!$C$2:$C$20001,$A876,Orders!$E$2:$E$20001,"Prepaid",Orders!$F$2:$F$20001,"Delivered")+COUNTIFS(Orders!$C$2:$C$20001,$A876,Orders!$E$2:$E$20001,"Prepaid",Orders!$F$2:$F$20001,"RTO"))</f>
        <v/>
      </c>
      <c r="F876" s="17" t="str">
        <f aca="false">IF($A876="","",COUNTIFS(Orders!$C$2:$C$20001,$A876,Orders!$E$2:$E$20001,"Prepaid",Orders!$F$2:$F$20001,"RTO"))</f>
        <v/>
      </c>
      <c r="G876" s="18" t="str">
        <f aca="false">IF($A876="","",IFERROR(F876/E876,0))</f>
        <v/>
      </c>
      <c r="H876" s="19" t="str">
        <f aca="false">IF($A876="","",C876*Settings!$B$11)</f>
        <v/>
      </c>
      <c r="I876" s="20" t="str">
        <f aca="false">IF($A876="","",IF(N(H876)=0,"",RANK(H876,$H$5:$H$2004)))</f>
        <v/>
      </c>
      <c r="J876" s="21" t="str">
        <f aca="false">IF($A876="","",IF(B876=0,"No COD orders",IF(B876&lt;Settings!$B$8,"Too few orders",IF(D876&gt;=Settings!$B$9,"Restrict COD or verify","Keep COD"))))</f>
        <v/>
      </c>
    </row>
    <row r="877" customFormat="false" ht="15" hidden="false" customHeight="false" outlineLevel="0" collapsed="false">
      <c r="A877" s="27"/>
      <c r="B877" s="17" t="str">
        <f aca="false">IF($A877="","",COUNTIFS(Orders!$C$2:$C$20001,$A877,Orders!$E$2:$E$20001,"COD",Orders!$F$2:$F$20001,"Delivered")+COUNTIFS(Orders!$C$2:$C$20001,$A877,Orders!$E$2:$E$20001,"COD",Orders!$F$2:$F$20001,"RTO"))</f>
        <v/>
      </c>
      <c r="C877" s="17" t="str">
        <f aca="false">IF($A877="","",COUNTIFS(Orders!$C$2:$C$20001,$A877,Orders!$E$2:$E$20001,"COD",Orders!$F$2:$F$20001,"RTO"))</f>
        <v/>
      </c>
      <c r="D877" s="18" t="str">
        <f aca="false">IF($A877="","",IFERROR(C877/B877,0))</f>
        <v/>
      </c>
      <c r="E877" s="17" t="str">
        <f aca="false">IF($A877="","",COUNTIFS(Orders!$C$2:$C$20001,$A877,Orders!$E$2:$E$20001,"Prepaid",Orders!$F$2:$F$20001,"Delivered")+COUNTIFS(Orders!$C$2:$C$20001,$A877,Orders!$E$2:$E$20001,"Prepaid",Orders!$F$2:$F$20001,"RTO"))</f>
        <v/>
      </c>
      <c r="F877" s="17" t="str">
        <f aca="false">IF($A877="","",COUNTIFS(Orders!$C$2:$C$20001,$A877,Orders!$E$2:$E$20001,"Prepaid",Orders!$F$2:$F$20001,"RTO"))</f>
        <v/>
      </c>
      <c r="G877" s="18" t="str">
        <f aca="false">IF($A877="","",IFERROR(F877/E877,0))</f>
        <v/>
      </c>
      <c r="H877" s="19" t="str">
        <f aca="false">IF($A877="","",C877*Settings!$B$11)</f>
        <v/>
      </c>
      <c r="I877" s="20" t="str">
        <f aca="false">IF($A877="","",IF(N(H877)=0,"",RANK(H877,$H$5:$H$2004)))</f>
        <v/>
      </c>
      <c r="J877" s="21" t="str">
        <f aca="false">IF($A877="","",IF(B877=0,"No COD orders",IF(B877&lt;Settings!$B$8,"Too few orders",IF(D877&gt;=Settings!$B$9,"Restrict COD or verify","Keep COD"))))</f>
        <v/>
      </c>
    </row>
    <row r="878" customFormat="false" ht="15" hidden="false" customHeight="false" outlineLevel="0" collapsed="false">
      <c r="A878" s="27"/>
      <c r="B878" s="17" t="str">
        <f aca="false">IF($A878="","",COUNTIFS(Orders!$C$2:$C$20001,$A878,Orders!$E$2:$E$20001,"COD",Orders!$F$2:$F$20001,"Delivered")+COUNTIFS(Orders!$C$2:$C$20001,$A878,Orders!$E$2:$E$20001,"COD",Orders!$F$2:$F$20001,"RTO"))</f>
        <v/>
      </c>
      <c r="C878" s="17" t="str">
        <f aca="false">IF($A878="","",COUNTIFS(Orders!$C$2:$C$20001,$A878,Orders!$E$2:$E$20001,"COD",Orders!$F$2:$F$20001,"RTO"))</f>
        <v/>
      </c>
      <c r="D878" s="18" t="str">
        <f aca="false">IF($A878="","",IFERROR(C878/B878,0))</f>
        <v/>
      </c>
      <c r="E878" s="17" t="str">
        <f aca="false">IF($A878="","",COUNTIFS(Orders!$C$2:$C$20001,$A878,Orders!$E$2:$E$20001,"Prepaid",Orders!$F$2:$F$20001,"Delivered")+COUNTIFS(Orders!$C$2:$C$20001,$A878,Orders!$E$2:$E$20001,"Prepaid",Orders!$F$2:$F$20001,"RTO"))</f>
        <v/>
      </c>
      <c r="F878" s="17" t="str">
        <f aca="false">IF($A878="","",COUNTIFS(Orders!$C$2:$C$20001,$A878,Orders!$E$2:$E$20001,"Prepaid",Orders!$F$2:$F$20001,"RTO"))</f>
        <v/>
      </c>
      <c r="G878" s="18" t="str">
        <f aca="false">IF($A878="","",IFERROR(F878/E878,0))</f>
        <v/>
      </c>
      <c r="H878" s="19" t="str">
        <f aca="false">IF($A878="","",C878*Settings!$B$11)</f>
        <v/>
      </c>
      <c r="I878" s="20" t="str">
        <f aca="false">IF($A878="","",IF(N(H878)=0,"",RANK(H878,$H$5:$H$2004)))</f>
        <v/>
      </c>
      <c r="J878" s="21" t="str">
        <f aca="false">IF($A878="","",IF(B878=0,"No COD orders",IF(B878&lt;Settings!$B$8,"Too few orders",IF(D878&gt;=Settings!$B$9,"Restrict COD or verify","Keep COD"))))</f>
        <v/>
      </c>
    </row>
    <row r="879" customFormat="false" ht="15" hidden="false" customHeight="false" outlineLevel="0" collapsed="false">
      <c r="A879" s="27"/>
      <c r="B879" s="17" t="str">
        <f aca="false">IF($A879="","",COUNTIFS(Orders!$C$2:$C$20001,$A879,Orders!$E$2:$E$20001,"COD",Orders!$F$2:$F$20001,"Delivered")+COUNTIFS(Orders!$C$2:$C$20001,$A879,Orders!$E$2:$E$20001,"COD",Orders!$F$2:$F$20001,"RTO"))</f>
        <v/>
      </c>
      <c r="C879" s="17" t="str">
        <f aca="false">IF($A879="","",COUNTIFS(Orders!$C$2:$C$20001,$A879,Orders!$E$2:$E$20001,"COD",Orders!$F$2:$F$20001,"RTO"))</f>
        <v/>
      </c>
      <c r="D879" s="18" t="str">
        <f aca="false">IF($A879="","",IFERROR(C879/B879,0))</f>
        <v/>
      </c>
      <c r="E879" s="17" t="str">
        <f aca="false">IF($A879="","",COUNTIFS(Orders!$C$2:$C$20001,$A879,Orders!$E$2:$E$20001,"Prepaid",Orders!$F$2:$F$20001,"Delivered")+COUNTIFS(Orders!$C$2:$C$20001,$A879,Orders!$E$2:$E$20001,"Prepaid",Orders!$F$2:$F$20001,"RTO"))</f>
        <v/>
      </c>
      <c r="F879" s="17" t="str">
        <f aca="false">IF($A879="","",COUNTIFS(Orders!$C$2:$C$20001,$A879,Orders!$E$2:$E$20001,"Prepaid",Orders!$F$2:$F$20001,"RTO"))</f>
        <v/>
      </c>
      <c r="G879" s="18" t="str">
        <f aca="false">IF($A879="","",IFERROR(F879/E879,0))</f>
        <v/>
      </c>
      <c r="H879" s="19" t="str">
        <f aca="false">IF($A879="","",C879*Settings!$B$11)</f>
        <v/>
      </c>
      <c r="I879" s="20" t="str">
        <f aca="false">IF($A879="","",IF(N(H879)=0,"",RANK(H879,$H$5:$H$2004)))</f>
        <v/>
      </c>
      <c r="J879" s="21" t="str">
        <f aca="false">IF($A879="","",IF(B879=0,"No COD orders",IF(B879&lt;Settings!$B$8,"Too few orders",IF(D879&gt;=Settings!$B$9,"Restrict COD or verify","Keep COD"))))</f>
        <v/>
      </c>
    </row>
    <row r="880" customFormat="false" ht="15" hidden="false" customHeight="false" outlineLevel="0" collapsed="false">
      <c r="A880" s="27"/>
      <c r="B880" s="17" t="str">
        <f aca="false">IF($A880="","",COUNTIFS(Orders!$C$2:$C$20001,$A880,Orders!$E$2:$E$20001,"COD",Orders!$F$2:$F$20001,"Delivered")+COUNTIFS(Orders!$C$2:$C$20001,$A880,Orders!$E$2:$E$20001,"COD",Orders!$F$2:$F$20001,"RTO"))</f>
        <v/>
      </c>
      <c r="C880" s="17" t="str">
        <f aca="false">IF($A880="","",COUNTIFS(Orders!$C$2:$C$20001,$A880,Orders!$E$2:$E$20001,"COD",Orders!$F$2:$F$20001,"RTO"))</f>
        <v/>
      </c>
      <c r="D880" s="18" t="str">
        <f aca="false">IF($A880="","",IFERROR(C880/B880,0))</f>
        <v/>
      </c>
      <c r="E880" s="17" t="str">
        <f aca="false">IF($A880="","",COUNTIFS(Orders!$C$2:$C$20001,$A880,Orders!$E$2:$E$20001,"Prepaid",Orders!$F$2:$F$20001,"Delivered")+COUNTIFS(Orders!$C$2:$C$20001,$A880,Orders!$E$2:$E$20001,"Prepaid",Orders!$F$2:$F$20001,"RTO"))</f>
        <v/>
      </c>
      <c r="F880" s="17" t="str">
        <f aca="false">IF($A880="","",COUNTIFS(Orders!$C$2:$C$20001,$A880,Orders!$E$2:$E$20001,"Prepaid",Orders!$F$2:$F$20001,"RTO"))</f>
        <v/>
      </c>
      <c r="G880" s="18" t="str">
        <f aca="false">IF($A880="","",IFERROR(F880/E880,0))</f>
        <v/>
      </c>
      <c r="H880" s="19" t="str">
        <f aca="false">IF($A880="","",C880*Settings!$B$11)</f>
        <v/>
      </c>
      <c r="I880" s="20" t="str">
        <f aca="false">IF($A880="","",IF(N(H880)=0,"",RANK(H880,$H$5:$H$2004)))</f>
        <v/>
      </c>
      <c r="J880" s="21" t="str">
        <f aca="false">IF($A880="","",IF(B880=0,"No COD orders",IF(B880&lt;Settings!$B$8,"Too few orders",IF(D880&gt;=Settings!$B$9,"Restrict COD or verify","Keep COD"))))</f>
        <v/>
      </c>
    </row>
    <row r="881" customFormat="false" ht="15" hidden="false" customHeight="false" outlineLevel="0" collapsed="false">
      <c r="A881" s="27"/>
      <c r="B881" s="17" t="str">
        <f aca="false">IF($A881="","",COUNTIFS(Orders!$C$2:$C$20001,$A881,Orders!$E$2:$E$20001,"COD",Orders!$F$2:$F$20001,"Delivered")+COUNTIFS(Orders!$C$2:$C$20001,$A881,Orders!$E$2:$E$20001,"COD",Orders!$F$2:$F$20001,"RTO"))</f>
        <v/>
      </c>
      <c r="C881" s="17" t="str">
        <f aca="false">IF($A881="","",COUNTIFS(Orders!$C$2:$C$20001,$A881,Orders!$E$2:$E$20001,"COD",Orders!$F$2:$F$20001,"RTO"))</f>
        <v/>
      </c>
      <c r="D881" s="18" t="str">
        <f aca="false">IF($A881="","",IFERROR(C881/B881,0))</f>
        <v/>
      </c>
      <c r="E881" s="17" t="str">
        <f aca="false">IF($A881="","",COUNTIFS(Orders!$C$2:$C$20001,$A881,Orders!$E$2:$E$20001,"Prepaid",Orders!$F$2:$F$20001,"Delivered")+COUNTIFS(Orders!$C$2:$C$20001,$A881,Orders!$E$2:$E$20001,"Prepaid",Orders!$F$2:$F$20001,"RTO"))</f>
        <v/>
      </c>
      <c r="F881" s="17" t="str">
        <f aca="false">IF($A881="","",COUNTIFS(Orders!$C$2:$C$20001,$A881,Orders!$E$2:$E$20001,"Prepaid",Orders!$F$2:$F$20001,"RTO"))</f>
        <v/>
      </c>
      <c r="G881" s="18" t="str">
        <f aca="false">IF($A881="","",IFERROR(F881/E881,0))</f>
        <v/>
      </c>
      <c r="H881" s="19" t="str">
        <f aca="false">IF($A881="","",C881*Settings!$B$11)</f>
        <v/>
      </c>
      <c r="I881" s="20" t="str">
        <f aca="false">IF($A881="","",IF(N(H881)=0,"",RANK(H881,$H$5:$H$2004)))</f>
        <v/>
      </c>
      <c r="J881" s="21" t="str">
        <f aca="false">IF($A881="","",IF(B881=0,"No COD orders",IF(B881&lt;Settings!$B$8,"Too few orders",IF(D881&gt;=Settings!$B$9,"Restrict COD or verify","Keep COD"))))</f>
        <v/>
      </c>
    </row>
    <row r="882" customFormat="false" ht="15" hidden="false" customHeight="false" outlineLevel="0" collapsed="false">
      <c r="A882" s="27"/>
      <c r="B882" s="17" t="str">
        <f aca="false">IF($A882="","",COUNTIFS(Orders!$C$2:$C$20001,$A882,Orders!$E$2:$E$20001,"COD",Orders!$F$2:$F$20001,"Delivered")+COUNTIFS(Orders!$C$2:$C$20001,$A882,Orders!$E$2:$E$20001,"COD",Orders!$F$2:$F$20001,"RTO"))</f>
        <v/>
      </c>
      <c r="C882" s="17" t="str">
        <f aca="false">IF($A882="","",COUNTIFS(Orders!$C$2:$C$20001,$A882,Orders!$E$2:$E$20001,"COD",Orders!$F$2:$F$20001,"RTO"))</f>
        <v/>
      </c>
      <c r="D882" s="18" t="str">
        <f aca="false">IF($A882="","",IFERROR(C882/B882,0))</f>
        <v/>
      </c>
      <c r="E882" s="17" t="str">
        <f aca="false">IF($A882="","",COUNTIFS(Orders!$C$2:$C$20001,$A882,Orders!$E$2:$E$20001,"Prepaid",Orders!$F$2:$F$20001,"Delivered")+COUNTIFS(Orders!$C$2:$C$20001,$A882,Orders!$E$2:$E$20001,"Prepaid",Orders!$F$2:$F$20001,"RTO"))</f>
        <v/>
      </c>
      <c r="F882" s="17" t="str">
        <f aca="false">IF($A882="","",COUNTIFS(Orders!$C$2:$C$20001,$A882,Orders!$E$2:$E$20001,"Prepaid",Orders!$F$2:$F$20001,"RTO"))</f>
        <v/>
      </c>
      <c r="G882" s="18" t="str">
        <f aca="false">IF($A882="","",IFERROR(F882/E882,0))</f>
        <v/>
      </c>
      <c r="H882" s="19" t="str">
        <f aca="false">IF($A882="","",C882*Settings!$B$11)</f>
        <v/>
      </c>
      <c r="I882" s="20" t="str">
        <f aca="false">IF($A882="","",IF(N(H882)=0,"",RANK(H882,$H$5:$H$2004)))</f>
        <v/>
      </c>
      <c r="J882" s="21" t="str">
        <f aca="false">IF($A882="","",IF(B882=0,"No COD orders",IF(B882&lt;Settings!$B$8,"Too few orders",IF(D882&gt;=Settings!$B$9,"Restrict COD or verify","Keep COD"))))</f>
        <v/>
      </c>
    </row>
    <row r="883" customFormat="false" ht="15" hidden="false" customHeight="false" outlineLevel="0" collapsed="false">
      <c r="A883" s="27"/>
      <c r="B883" s="17" t="str">
        <f aca="false">IF($A883="","",COUNTIFS(Orders!$C$2:$C$20001,$A883,Orders!$E$2:$E$20001,"COD",Orders!$F$2:$F$20001,"Delivered")+COUNTIFS(Orders!$C$2:$C$20001,$A883,Orders!$E$2:$E$20001,"COD",Orders!$F$2:$F$20001,"RTO"))</f>
        <v/>
      </c>
      <c r="C883" s="17" t="str">
        <f aca="false">IF($A883="","",COUNTIFS(Orders!$C$2:$C$20001,$A883,Orders!$E$2:$E$20001,"COD",Orders!$F$2:$F$20001,"RTO"))</f>
        <v/>
      </c>
      <c r="D883" s="18" t="str">
        <f aca="false">IF($A883="","",IFERROR(C883/B883,0))</f>
        <v/>
      </c>
      <c r="E883" s="17" t="str">
        <f aca="false">IF($A883="","",COUNTIFS(Orders!$C$2:$C$20001,$A883,Orders!$E$2:$E$20001,"Prepaid",Orders!$F$2:$F$20001,"Delivered")+COUNTIFS(Orders!$C$2:$C$20001,$A883,Orders!$E$2:$E$20001,"Prepaid",Orders!$F$2:$F$20001,"RTO"))</f>
        <v/>
      </c>
      <c r="F883" s="17" t="str">
        <f aca="false">IF($A883="","",COUNTIFS(Orders!$C$2:$C$20001,$A883,Orders!$E$2:$E$20001,"Prepaid",Orders!$F$2:$F$20001,"RTO"))</f>
        <v/>
      </c>
      <c r="G883" s="18" t="str">
        <f aca="false">IF($A883="","",IFERROR(F883/E883,0))</f>
        <v/>
      </c>
      <c r="H883" s="19" t="str">
        <f aca="false">IF($A883="","",C883*Settings!$B$11)</f>
        <v/>
      </c>
      <c r="I883" s="20" t="str">
        <f aca="false">IF($A883="","",IF(N(H883)=0,"",RANK(H883,$H$5:$H$2004)))</f>
        <v/>
      </c>
      <c r="J883" s="21" t="str">
        <f aca="false">IF($A883="","",IF(B883=0,"No COD orders",IF(B883&lt;Settings!$B$8,"Too few orders",IF(D883&gt;=Settings!$B$9,"Restrict COD or verify","Keep COD"))))</f>
        <v/>
      </c>
    </row>
    <row r="884" customFormat="false" ht="15" hidden="false" customHeight="false" outlineLevel="0" collapsed="false">
      <c r="A884" s="27"/>
      <c r="B884" s="17" t="str">
        <f aca="false">IF($A884="","",COUNTIFS(Orders!$C$2:$C$20001,$A884,Orders!$E$2:$E$20001,"COD",Orders!$F$2:$F$20001,"Delivered")+COUNTIFS(Orders!$C$2:$C$20001,$A884,Orders!$E$2:$E$20001,"COD",Orders!$F$2:$F$20001,"RTO"))</f>
        <v/>
      </c>
      <c r="C884" s="17" t="str">
        <f aca="false">IF($A884="","",COUNTIFS(Orders!$C$2:$C$20001,$A884,Orders!$E$2:$E$20001,"COD",Orders!$F$2:$F$20001,"RTO"))</f>
        <v/>
      </c>
      <c r="D884" s="18" t="str">
        <f aca="false">IF($A884="","",IFERROR(C884/B884,0))</f>
        <v/>
      </c>
      <c r="E884" s="17" t="str">
        <f aca="false">IF($A884="","",COUNTIFS(Orders!$C$2:$C$20001,$A884,Orders!$E$2:$E$20001,"Prepaid",Orders!$F$2:$F$20001,"Delivered")+COUNTIFS(Orders!$C$2:$C$20001,$A884,Orders!$E$2:$E$20001,"Prepaid",Orders!$F$2:$F$20001,"RTO"))</f>
        <v/>
      </c>
      <c r="F884" s="17" t="str">
        <f aca="false">IF($A884="","",COUNTIFS(Orders!$C$2:$C$20001,$A884,Orders!$E$2:$E$20001,"Prepaid",Orders!$F$2:$F$20001,"RTO"))</f>
        <v/>
      </c>
      <c r="G884" s="18" t="str">
        <f aca="false">IF($A884="","",IFERROR(F884/E884,0))</f>
        <v/>
      </c>
      <c r="H884" s="19" t="str">
        <f aca="false">IF($A884="","",C884*Settings!$B$11)</f>
        <v/>
      </c>
      <c r="I884" s="20" t="str">
        <f aca="false">IF($A884="","",IF(N(H884)=0,"",RANK(H884,$H$5:$H$2004)))</f>
        <v/>
      </c>
      <c r="J884" s="21" t="str">
        <f aca="false">IF($A884="","",IF(B884=0,"No COD orders",IF(B884&lt;Settings!$B$8,"Too few orders",IF(D884&gt;=Settings!$B$9,"Restrict COD or verify","Keep COD"))))</f>
        <v/>
      </c>
    </row>
    <row r="885" customFormat="false" ht="15" hidden="false" customHeight="false" outlineLevel="0" collapsed="false">
      <c r="A885" s="27"/>
      <c r="B885" s="17" t="str">
        <f aca="false">IF($A885="","",COUNTIFS(Orders!$C$2:$C$20001,$A885,Orders!$E$2:$E$20001,"COD",Orders!$F$2:$F$20001,"Delivered")+COUNTIFS(Orders!$C$2:$C$20001,$A885,Orders!$E$2:$E$20001,"COD",Orders!$F$2:$F$20001,"RTO"))</f>
        <v/>
      </c>
      <c r="C885" s="17" t="str">
        <f aca="false">IF($A885="","",COUNTIFS(Orders!$C$2:$C$20001,$A885,Orders!$E$2:$E$20001,"COD",Orders!$F$2:$F$20001,"RTO"))</f>
        <v/>
      </c>
      <c r="D885" s="18" t="str">
        <f aca="false">IF($A885="","",IFERROR(C885/B885,0))</f>
        <v/>
      </c>
      <c r="E885" s="17" t="str">
        <f aca="false">IF($A885="","",COUNTIFS(Orders!$C$2:$C$20001,$A885,Orders!$E$2:$E$20001,"Prepaid",Orders!$F$2:$F$20001,"Delivered")+COUNTIFS(Orders!$C$2:$C$20001,$A885,Orders!$E$2:$E$20001,"Prepaid",Orders!$F$2:$F$20001,"RTO"))</f>
        <v/>
      </c>
      <c r="F885" s="17" t="str">
        <f aca="false">IF($A885="","",COUNTIFS(Orders!$C$2:$C$20001,$A885,Orders!$E$2:$E$20001,"Prepaid",Orders!$F$2:$F$20001,"RTO"))</f>
        <v/>
      </c>
      <c r="G885" s="18" t="str">
        <f aca="false">IF($A885="","",IFERROR(F885/E885,0))</f>
        <v/>
      </c>
      <c r="H885" s="19" t="str">
        <f aca="false">IF($A885="","",C885*Settings!$B$11)</f>
        <v/>
      </c>
      <c r="I885" s="20" t="str">
        <f aca="false">IF($A885="","",IF(N(H885)=0,"",RANK(H885,$H$5:$H$2004)))</f>
        <v/>
      </c>
      <c r="J885" s="21" t="str">
        <f aca="false">IF($A885="","",IF(B885=0,"No COD orders",IF(B885&lt;Settings!$B$8,"Too few orders",IF(D885&gt;=Settings!$B$9,"Restrict COD or verify","Keep COD"))))</f>
        <v/>
      </c>
    </row>
    <row r="886" customFormat="false" ht="15" hidden="false" customHeight="false" outlineLevel="0" collapsed="false">
      <c r="A886" s="27"/>
      <c r="B886" s="17" t="str">
        <f aca="false">IF($A886="","",COUNTIFS(Orders!$C$2:$C$20001,$A886,Orders!$E$2:$E$20001,"COD",Orders!$F$2:$F$20001,"Delivered")+COUNTIFS(Orders!$C$2:$C$20001,$A886,Orders!$E$2:$E$20001,"COD",Orders!$F$2:$F$20001,"RTO"))</f>
        <v/>
      </c>
      <c r="C886" s="17" t="str">
        <f aca="false">IF($A886="","",COUNTIFS(Orders!$C$2:$C$20001,$A886,Orders!$E$2:$E$20001,"COD",Orders!$F$2:$F$20001,"RTO"))</f>
        <v/>
      </c>
      <c r="D886" s="18" t="str">
        <f aca="false">IF($A886="","",IFERROR(C886/B886,0))</f>
        <v/>
      </c>
      <c r="E886" s="17" t="str">
        <f aca="false">IF($A886="","",COUNTIFS(Orders!$C$2:$C$20001,$A886,Orders!$E$2:$E$20001,"Prepaid",Orders!$F$2:$F$20001,"Delivered")+COUNTIFS(Orders!$C$2:$C$20001,$A886,Orders!$E$2:$E$20001,"Prepaid",Orders!$F$2:$F$20001,"RTO"))</f>
        <v/>
      </c>
      <c r="F886" s="17" t="str">
        <f aca="false">IF($A886="","",COUNTIFS(Orders!$C$2:$C$20001,$A886,Orders!$E$2:$E$20001,"Prepaid",Orders!$F$2:$F$20001,"RTO"))</f>
        <v/>
      </c>
      <c r="G886" s="18" t="str">
        <f aca="false">IF($A886="","",IFERROR(F886/E886,0))</f>
        <v/>
      </c>
      <c r="H886" s="19" t="str">
        <f aca="false">IF($A886="","",C886*Settings!$B$11)</f>
        <v/>
      </c>
      <c r="I886" s="20" t="str">
        <f aca="false">IF($A886="","",IF(N(H886)=0,"",RANK(H886,$H$5:$H$2004)))</f>
        <v/>
      </c>
      <c r="J886" s="21" t="str">
        <f aca="false">IF($A886="","",IF(B886=0,"No COD orders",IF(B886&lt;Settings!$B$8,"Too few orders",IF(D886&gt;=Settings!$B$9,"Restrict COD or verify","Keep COD"))))</f>
        <v/>
      </c>
    </row>
    <row r="887" customFormat="false" ht="15" hidden="false" customHeight="false" outlineLevel="0" collapsed="false">
      <c r="A887" s="27"/>
      <c r="B887" s="17" t="str">
        <f aca="false">IF($A887="","",COUNTIFS(Orders!$C$2:$C$20001,$A887,Orders!$E$2:$E$20001,"COD",Orders!$F$2:$F$20001,"Delivered")+COUNTIFS(Orders!$C$2:$C$20001,$A887,Orders!$E$2:$E$20001,"COD",Orders!$F$2:$F$20001,"RTO"))</f>
        <v/>
      </c>
      <c r="C887" s="17" t="str">
        <f aca="false">IF($A887="","",COUNTIFS(Orders!$C$2:$C$20001,$A887,Orders!$E$2:$E$20001,"COD",Orders!$F$2:$F$20001,"RTO"))</f>
        <v/>
      </c>
      <c r="D887" s="18" t="str">
        <f aca="false">IF($A887="","",IFERROR(C887/B887,0))</f>
        <v/>
      </c>
      <c r="E887" s="17" t="str">
        <f aca="false">IF($A887="","",COUNTIFS(Orders!$C$2:$C$20001,$A887,Orders!$E$2:$E$20001,"Prepaid",Orders!$F$2:$F$20001,"Delivered")+COUNTIFS(Orders!$C$2:$C$20001,$A887,Orders!$E$2:$E$20001,"Prepaid",Orders!$F$2:$F$20001,"RTO"))</f>
        <v/>
      </c>
      <c r="F887" s="17" t="str">
        <f aca="false">IF($A887="","",COUNTIFS(Orders!$C$2:$C$20001,$A887,Orders!$E$2:$E$20001,"Prepaid",Orders!$F$2:$F$20001,"RTO"))</f>
        <v/>
      </c>
      <c r="G887" s="18" t="str">
        <f aca="false">IF($A887="","",IFERROR(F887/E887,0))</f>
        <v/>
      </c>
      <c r="H887" s="19" t="str">
        <f aca="false">IF($A887="","",C887*Settings!$B$11)</f>
        <v/>
      </c>
      <c r="I887" s="20" t="str">
        <f aca="false">IF($A887="","",IF(N(H887)=0,"",RANK(H887,$H$5:$H$2004)))</f>
        <v/>
      </c>
      <c r="J887" s="21" t="str">
        <f aca="false">IF($A887="","",IF(B887=0,"No COD orders",IF(B887&lt;Settings!$B$8,"Too few orders",IF(D887&gt;=Settings!$B$9,"Restrict COD or verify","Keep COD"))))</f>
        <v/>
      </c>
    </row>
    <row r="888" customFormat="false" ht="15" hidden="false" customHeight="false" outlineLevel="0" collapsed="false">
      <c r="A888" s="27"/>
      <c r="B888" s="17" t="str">
        <f aca="false">IF($A888="","",COUNTIFS(Orders!$C$2:$C$20001,$A888,Orders!$E$2:$E$20001,"COD",Orders!$F$2:$F$20001,"Delivered")+COUNTIFS(Orders!$C$2:$C$20001,$A888,Orders!$E$2:$E$20001,"COD",Orders!$F$2:$F$20001,"RTO"))</f>
        <v/>
      </c>
      <c r="C888" s="17" t="str">
        <f aca="false">IF($A888="","",COUNTIFS(Orders!$C$2:$C$20001,$A888,Orders!$E$2:$E$20001,"COD",Orders!$F$2:$F$20001,"RTO"))</f>
        <v/>
      </c>
      <c r="D888" s="18" t="str">
        <f aca="false">IF($A888="","",IFERROR(C888/B888,0))</f>
        <v/>
      </c>
      <c r="E888" s="17" t="str">
        <f aca="false">IF($A888="","",COUNTIFS(Orders!$C$2:$C$20001,$A888,Orders!$E$2:$E$20001,"Prepaid",Orders!$F$2:$F$20001,"Delivered")+COUNTIFS(Orders!$C$2:$C$20001,$A888,Orders!$E$2:$E$20001,"Prepaid",Orders!$F$2:$F$20001,"RTO"))</f>
        <v/>
      </c>
      <c r="F888" s="17" t="str">
        <f aca="false">IF($A888="","",COUNTIFS(Orders!$C$2:$C$20001,$A888,Orders!$E$2:$E$20001,"Prepaid",Orders!$F$2:$F$20001,"RTO"))</f>
        <v/>
      </c>
      <c r="G888" s="18" t="str">
        <f aca="false">IF($A888="","",IFERROR(F888/E888,0))</f>
        <v/>
      </c>
      <c r="H888" s="19" t="str">
        <f aca="false">IF($A888="","",C888*Settings!$B$11)</f>
        <v/>
      </c>
      <c r="I888" s="20" t="str">
        <f aca="false">IF($A888="","",IF(N(H888)=0,"",RANK(H888,$H$5:$H$2004)))</f>
        <v/>
      </c>
      <c r="J888" s="21" t="str">
        <f aca="false">IF($A888="","",IF(B888=0,"No COD orders",IF(B888&lt;Settings!$B$8,"Too few orders",IF(D888&gt;=Settings!$B$9,"Restrict COD or verify","Keep COD"))))</f>
        <v/>
      </c>
    </row>
    <row r="889" customFormat="false" ht="15" hidden="false" customHeight="false" outlineLevel="0" collapsed="false">
      <c r="A889" s="27"/>
      <c r="B889" s="17" t="str">
        <f aca="false">IF($A889="","",COUNTIFS(Orders!$C$2:$C$20001,$A889,Orders!$E$2:$E$20001,"COD",Orders!$F$2:$F$20001,"Delivered")+COUNTIFS(Orders!$C$2:$C$20001,$A889,Orders!$E$2:$E$20001,"COD",Orders!$F$2:$F$20001,"RTO"))</f>
        <v/>
      </c>
      <c r="C889" s="17" t="str">
        <f aca="false">IF($A889="","",COUNTIFS(Orders!$C$2:$C$20001,$A889,Orders!$E$2:$E$20001,"COD",Orders!$F$2:$F$20001,"RTO"))</f>
        <v/>
      </c>
      <c r="D889" s="18" t="str">
        <f aca="false">IF($A889="","",IFERROR(C889/B889,0))</f>
        <v/>
      </c>
      <c r="E889" s="17" t="str">
        <f aca="false">IF($A889="","",COUNTIFS(Orders!$C$2:$C$20001,$A889,Orders!$E$2:$E$20001,"Prepaid",Orders!$F$2:$F$20001,"Delivered")+COUNTIFS(Orders!$C$2:$C$20001,$A889,Orders!$E$2:$E$20001,"Prepaid",Orders!$F$2:$F$20001,"RTO"))</f>
        <v/>
      </c>
      <c r="F889" s="17" t="str">
        <f aca="false">IF($A889="","",COUNTIFS(Orders!$C$2:$C$20001,$A889,Orders!$E$2:$E$20001,"Prepaid",Orders!$F$2:$F$20001,"RTO"))</f>
        <v/>
      </c>
      <c r="G889" s="18" t="str">
        <f aca="false">IF($A889="","",IFERROR(F889/E889,0))</f>
        <v/>
      </c>
      <c r="H889" s="19" t="str">
        <f aca="false">IF($A889="","",C889*Settings!$B$11)</f>
        <v/>
      </c>
      <c r="I889" s="20" t="str">
        <f aca="false">IF($A889="","",IF(N(H889)=0,"",RANK(H889,$H$5:$H$2004)))</f>
        <v/>
      </c>
      <c r="J889" s="21" t="str">
        <f aca="false">IF($A889="","",IF(B889=0,"No COD orders",IF(B889&lt;Settings!$B$8,"Too few orders",IF(D889&gt;=Settings!$B$9,"Restrict COD or verify","Keep COD"))))</f>
        <v/>
      </c>
    </row>
    <row r="890" customFormat="false" ht="15" hidden="false" customHeight="false" outlineLevel="0" collapsed="false">
      <c r="A890" s="27"/>
      <c r="B890" s="17" t="str">
        <f aca="false">IF($A890="","",COUNTIFS(Orders!$C$2:$C$20001,$A890,Orders!$E$2:$E$20001,"COD",Orders!$F$2:$F$20001,"Delivered")+COUNTIFS(Orders!$C$2:$C$20001,$A890,Orders!$E$2:$E$20001,"COD",Orders!$F$2:$F$20001,"RTO"))</f>
        <v/>
      </c>
      <c r="C890" s="17" t="str">
        <f aca="false">IF($A890="","",COUNTIFS(Orders!$C$2:$C$20001,$A890,Orders!$E$2:$E$20001,"COD",Orders!$F$2:$F$20001,"RTO"))</f>
        <v/>
      </c>
      <c r="D890" s="18" t="str">
        <f aca="false">IF($A890="","",IFERROR(C890/B890,0))</f>
        <v/>
      </c>
      <c r="E890" s="17" t="str">
        <f aca="false">IF($A890="","",COUNTIFS(Orders!$C$2:$C$20001,$A890,Orders!$E$2:$E$20001,"Prepaid",Orders!$F$2:$F$20001,"Delivered")+COUNTIFS(Orders!$C$2:$C$20001,$A890,Orders!$E$2:$E$20001,"Prepaid",Orders!$F$2:$F$20001,"RTO"))</f>
        <v/>
      </c>
      <c r="F890" s="17" t="str">
        <f aca="false">IF($A890="","",COUNTIFS(Orders!$C$2:$C$20001,$A890,Orders!$E$2:$E$20001,"Prepaid",Orders!$F$2:$F$20001,"RTO"))</f>
        <v/>
      </c>
      <c r="G890" s="18" t="str">
        <f aca="false">IF($A890="","",IFERROR(F890/E890,0))</f>
        <v/>
      </c>
      <c r="H890" s="19" t="str">
        <f aca="false">IF($A890="","",C890*Settings!$B$11)</f>
        <v/>
      </c>
      <c r="I890" s="20" t="str">
        <f aca="false">IF($A890="","",IF(N(H890)=0,"",RANK(H890,$H$5:$H$2004)))</f>
        <v/>
      </c>
      <c r="J890" s="21" t="str">
        <f aca="false">IF($A890="","",IF(B890=0,"No COD orders",IF(B890&lt;Settings!$B$8,"Too few orders",IF(D890&gt;=Settings!$B$9,"Restrict COD or verify","Keep COD"))))</f>
        <v/>
      </c>
    </row>
    <row r="891" customFormat="false" ht="15" hidden="false" customHeight="false" outlineLevel="0" collapsed="false">
      <c r="A891" s="27"/>
      <c r="B891" s="17" t="str">
        <f aca="false">IF($A891="","",COUNTIFS(Orders!$C$2:$C$20001,$A891,Orders!$E$2:$E$20001,"COD",Orders!$F$2:$F$20001,"Delivered")+COUNTIFS(Orders!$C$2:$C$20001,$A891,Orders!$E$2:$E$20001,"COD",Orders!$F$2:$F$20001,"RTO"))</f>
        <v/>
      </c>
      <c r="C891" s="17" t="str">
        <f aca="false">IF($A891="","",COUNTIFS(Orders!$C$2:$C$20001,$A891,Orders!$E$2:$E$20001,"COD",Orders!$F$2:$F$20001,"RTO"))</f>
        <v/>
      </c>
      <c r="D891" s="18" t="str">
        <f aca="false">IF($A891="","",IFERROR(C891/B891,0))</f>
        <v/>
      </c>
      <c r="E891" s="17" t="str">
        <f aca="false">IF($A891="","",COUNTIFS(Orders!$C$2:$C$20001,$A891,Orders!$E$2:$E$20001,"Prepaid",Orders!$F$2:$F$20001,"Delivered")+COUNTIFS(Orders!$C$2:$C$20001,$A891,Orders!$E$2:$E$20001,"Prepaid",Orders!$F$2:$F$20001,"RTO"))</f>
        <v/>
      </c>
      <c r="F891" s="17" t="str">
        <f aca="false">IF($A891="","",COUNTIFS(Orders!$C$2:$C$20001,$A891,Orders!$E$2:$E$20001,"Prepaid",Orders!$F$2:$F$20001,"RTO"))</f>
        <v/>
      </c>
      <c r="G891" s="18" t="str">
        <f aca="false">IF($A891="","",IFERROR(F891/E891,0))</f>
        <v/>
      </c>
      <c r="H891" s="19" t="str">
        <f aca="false">IF($A891="","",C891*Settings!$B$11)</f>
        <v/>
      </c>
      <c r="I891" s="20" t="str">
        <f aca="false">IF($A891="","",IF(N(H891)=0,"",RANK(H891,$H$5:$H$2004)))</f>
        <v/>
      </c>
      <c r="J891" s="21" t="str">
        <f aca="false">IF($A891="","",IF(B891=0,"No COD orders",IF(B891&lt;Settings!$B$8,"Too few orders",IF(D891&gt;=Settings!$B$9,"Restrict COD or verify","Keep COD"))))</f>
        <v/>
      </c>
    </row>
    <row r="892" customFormat="false" ht="15" hidden="false" customHeight="false" outlineLevel="0" collapsed="false">
      <c r="A892" s="27"/>
      <c r="B892" s="17" t="str">
        <f aca="false">IF($A892="","",COUNTIFS(Orders!$C$2:$C$20001,$A892,Orders!$E$2:$E$20001,"COD",Orders!$F$2:$F$20001,"Delivered")+COUNTIFS(Orders!$C$2:$C$20001,$A892,Orders!$E$2:$E$20001,"COD",Orders!$F$2:$F$20001,"RTO"))</f>
        <v/>
      </c>
      <c r="C892" s="17" t="str">
        <f aca="false">IF($A892="","",COUNTIFS(Orders!$C$2:$C$20001,$A892,Orders!$E$2:$E$20001,"COD",Orders!$F$2:$F$20001,"RTO"))</f>
        <v/>
      </c>
      <c r="D892" s="18" t="str">
        <f aca="false">IF($A892="","",IFERROR(C892/B892,0))</f>
        <v/>
      </c>
      <c r="E892" s="17" t="str">
        <f aca="false">IF($A892="","",COUNTIFS(Orders!$C$2:$C$20001,$A892,Orders!$E$2:$E$20001,"Prepaid",Orders!$F$2:$F$20001,"Delivered")+COUNTIFS(Orders!$C$2:$C$20001,$A892,Orders!$E$2:$E$20001,"Prepaid",Orders!$F$2:$F$20001,"RTO"))</f>
        <v/>
      </c>
      <c r="F892" s="17" t="str">
        <f aca="false">IF($A892="","",COUNTIFS(Orders!$C$2:$C$20001,$A892,Orders!$E$2:$E$20001,"Prepaid",Orders!$F$2:$F$20001,"RTO"))</f>
        <v/>
      </c>
      <c r="G892" s="18" t="str">
        <f aca="false">IF($A892="","",IFERROR(F892/E892,0))</f>
        <v/>
      </c>
      <c r="H892" s="19" t="str">
        <f aca="false">IF($A892="","",C892*Settings!$B$11)</f>
        <v/>
      </c>
      <c r="I892" s="20" t="str">
        <f aca="false">IF($A892="","",IF(N(H892)=0,"",RANK(H892,$H$5:$H$2004)))</f>
        <v/>
      </c>
      <c r="J892" s="21" t="str">
        <f aca="false">IF($A892="","",IF(B892=0,"No COD orders",IF(B892&lt;Settings!$B$8,"Too few orders",IF(D892&gt;=Settings!$B$9,"Restrict COD or verify","Keep COD"))))</f>
        <v/>
      </c>
    </row>
    <row r="893" customFormat="false" ht="15" hidden="false" customHeight="false" outlineLevel="0" collapsed="false">
      <c r="A893" s="27"/>
      <c r="B893" s="17" t="str">
        <f aca="false">IF($A893="","",COUNTIFS(Orders!$C$2:$C$20001,$A893,Orders!$E$2:$E$20001,"COD",Orders!$F$2:$F$20001,"Delivered")+COUNTIFS(Orders!$C$2:$C$20001,$A893,Orders!$E$2:$E$20001,"COD",Orders!$F$2:$F$20001,"RTO"))</f>
        <v/>
      </c>
      <c r="C893" s="17" t="str">
        <f aca="false">IF($A893="","",COUNTIFS(Orders!$C$2:$C$20001,$A893,Orders!$E$2:$E$20001,"COD",Orders!$F$2:$F$20001,"RTO"))</f>
        <v/>
      </c>
      <c r="D893" s="18" t="str">
        <f aca="false">IF($A893="","",IFERROR(C893/B893,0))</f>
        <v/>
      </c>
      <c r="E893" s="17" t="str">
        <f aca="false">IF($A893="","",COUNTIFS(Orders!$C$2:$C$20001,$A893,Orders!$E$2:$E$20001,"Prepaid",Orders!$F$2:$F$20001,"Delivered")+COUNTIFS(Orders!$C$2:$C$20001,$A893,Orders!$E$2:$E$20001,"Prepaid",Orders!$F$2:$F$20001,"RTO"))</f>
        <v/>
      </c>
      <c r="F893" s="17" t="str">
        <f aca="false">IF($A893="","",COUNTIFS(Orders!$C$2:$C$20001,$A893,Orders!$E$2:$E$20001,"Prepaid",Orders!$F$2:$F$20001,"RTO"))</f>
        <v/>
      </c>
      <c r="G893" s="18" t="str">
        <f aca="false">IF($A893="","",IFERROR(F893/E893,0))</f>
        <v/>
      </c>
      <c r="H893" s="19" t="str">
        <f aca="false">IF($A893="","",C893*Settings!$B$11)</f>
        <v/>
      </c>
      <c r="I893" s="20" t="str">
        <f aca="false">IF($A893="","",IF(N(H893)=0,"",RANK(H893,$H$5:$H$2004)))</f>
        <v/>
      </c>
      <c r="J893" s="21" t="str">
        <f aca="false">IF($A893="","",IF(B893=0,"No COD orders",IF(B893&lt;Settings!$B$8,"Too few orders",IF(D893&gt;=Settings!$B$9,"Restrict COD or verify","Keep COD"))))</f>
        <v/>
      </c>
    </row>
    <row r="894" customFormat="false" ht="15" hidden="false" customHeight="false" outlineLevel="0" collapsed="false">
      <c r="A894" s="27"/>
      <c r="B894" s="17" t="str">
        <f aca="false">IF($A894="","",COUNTIFS(Orders!$C$2:$C$20001,$A894,Orders!$E$2:$E$20001,"COD",Orders!$F$2:$F$20001,"Delivered")+COUNTIFS(Orders!$C$2:$C$20001,$A894,Orders!$E$2:$E$20001,"COD",Orders!$F$2:$F$20001,"RTO"))</f>
        <v/>
      </c>
      <c r="C894" s="17" t="str">
        <f aca="false">IF($A894="","",COUNTIFS(Orders!$C$2:$C$20001,$A894,Orders!$E$2:$E$20001,"COD",Orders!$F$2:$F$20001,"RTO"))</f>
        <v/>
      </c>
      <c r="D894" s="18" t="str">
        <f aca="false">IF($A894="","",IFERROR(C894/B894,0))</f>
        <v/>
      </c>
      <c r="E894" s="17" t="str">
        <f aca="false">IF($A894="","",COUNTIFS(Orders!$C$2:$C$20001,$A894,Orders!$E$2:$E$20001,"Prepaid",Orders!$F$2:$F$20001,"Delivered")+COUNTIFS(Orders!$C$2:$C$20001,$A894,Orders!$E$2:$E$20001,"Prepaid",Orders!$F$2:$F$20001,"RTO"))</f>
        <v/>
      </c>
      <c r="F894" s="17" t="str">
        <f aca="false">IF($A894="","",COUNTIFS(Orders!$C$2:$C$20001,$A894,Orders!$E$2:$E$20001,"Prepaid",Orders!$F$2:$F$20001,"RTO"))</f>
        <v/>
      </c>
      <c r="G894" s="18" t="str">
        <f aca="false">IF($A894="","",IFERROR(F894/E894,0))</f>
        <v/>
      </c>
      <c r="H894" s="19" t="str">
        <f aca="false">IF($A894="","",C894*Settings!$B$11)</f>
        <v/>
      </c>
      <c r="I894" s="20" t="str">
        <f aca="false">IF($A894="","",IF(N(H894)=0,"",RANK(H894,$H$5:$H$2004)))</f>
        <v/>
      </c>
      <c r="J894" s="21" t="str">
        <f aca="false">IF($A894="","",IF(B894=0,"No COD orders",IF(B894&lt;Settings!$B$8,"Too few orders",IF(D894&gt;=Settings!$B$9,"Restrict COD or verify","Keep COD"))))</f>
        <v/>
      </c>
    </row>
    <row r="895" customFormat="false" ht="15" hidden="false" customHeight="false" outlineLevel="0" collapsed="false">
      <c r="A895" s="27"/>
      <c r="B895" s="17" t="str">
        <f aca="false">IF($A895="","",COUNTIFS(Orders!$C$2:$C$20001,$A895,Orders!$E$2:$E$20001,"COD",Orders!$F$2:$F$20001,"Delivered")+COUNTIFS(Orders!$C$2:$C$20001,$A895,Orders!$E$2:$E$20001,"COD",Orders!$F$2:$F$20001,"RTO"))</f>
        <v/>
      </c>
      <c r="C895" s="17" t="str">
        <f aca="false">IF($A895="","",COUNTIFS(Orders!$C$2:$C$20001,$A895,Orders!$E$2:$E$20001,"COD",Orders!$F$2:$F$20001,"RTO"))</f>
        <v/>
      </c>
      <c r="D895" s="18" t="str">
        <f aca="false">IF($A895="","",IFERROR(C895/B895,0))</f>
        <v/>
      </c>
      <c r="E895" s="17" t="str">
        <f aca="false">IF($A895="","",COUNTIFS(Orders!$C$2:$C$20001,$A895,Orders!$E$2:$E$20001,"Prepaid",Orders!$F$2:$F$20001,"Delivered")+COUNTIFS(Orders!$C$2:$C$20001,$A895,Orders!$E$2:$E$20001,"Prepaid",Orders!$F$2:$F$20001,"RTO"))</f>
        <v/>
      </c>
      <c r="F895" s="17" t="str">
        <f aca="false">IF($A895="","",COUNTIFS(Orders!$C$2:$C$20001,$A895,Orders!$E$2:$E$20001,"Prepaid",Orders!$F$2:$F$20001,"RTO"))</f>
        <v/>
      </c>
      <c r="G895" s="18" t="str">
        <f aca="false">IF($A895="","",IFERROR(F895/E895,0))</f>
        <v/>
      </c>
      <c r="H895" s="19" t="str">
        <f aca="false">IF($A895="","",C895*Settings!$B$11)</f>
        <v/>
      </c>
      <c r="I895" s="20" t="str">
        <f aca="false">IF($A895="","",IF(N(H895)=0,"",RANK(H895,$H$5:$H$2004)))</f>
        <v/>
      </c>
      <c r="J895" s="21" t="str">
        <f aca="false">IF($A895="","",IF(B895=0,"No COD orders",IF(B895&lt;Settings!$B$8,"Too few orders",IF(D895&gt;=Settings!$B$9,"Restrict COD or verify","Keep COD"))))</f>
        <v/>
      </c>
    </row>
    <row r="896" customFormat="false" ht="15" hidden="false" customHeight="false" outlineLevel="0" collapsed="false">
      <c r="A896" s="27"/>
      <c r="B896" s="17" t="str">
        <f aca="false">IF($A896="","",COUNTIFS(Orders!$C$2:$C$20001,$A896,Orders!$E$2:$E$20001,"COD",Orders!$F$2:$F$20001,"Delivered")+COUNTIFS(Orders!$C$2:$C$20001,$A896,Orders!$E$2:$E$20001,"COD",Orders!$F$2:$F$20001,"RTO"))</f>
        <v/>
      </c>
      <c r="C896" s="17" t="str">
        <f aca="false">IF($A896="","",COUNTIFS(Orders!$C$2:$C$20001,$A896,Orders!$E$2:$E$20001,"COD",Orders!$F$2:$F$20001,"RTO"))</f>
        <v/>
      </c>
      <c r="D896" s="18" t="str">
        <f aca="false">IF($A896="","",IFERROR(C896/B896,0))</f>
        <v/>
      </c>
      <c r="E896" s="17" t="str">
        <f aca="false">IF($A896="","",COUNTIFS(Orders!$C$2:$C$20001,$A896,Orders!$E$2:$E$20001,"Prepaid",Orders!$F$2:$F$20001,"Delivered")+COUNTIFS(Orders!$C$2:$C$20001,$A896,Orders!$E$2:$E$20001,"Prepaid",Orders!$F$2:$F$20001,"RTO"))</f>
        <v/>
      </c>
      <c r="F896" s="17" t="str">
        <f aca="false">IF($A896="","",COUNTIFS(Orders!$C$2:$C$20001,$A896,Orders!$E$2:$E$20001,"Prepaid",Orders!$F$2:$F$20001,"RTO"))</f>
        <v/>
      </c>
      <c r="G896" s="18" t="str">
        <f aca="false">IF($A896="","",IFERROR(F896/E896,0))</f>
        <v/>
      </c>
      <c r="H896" s="19" t="str">
        <f aca="false">IF($A896="","",C896*Settings!$B$11)</f>
        <v/>
      </c>
      <c r="I896" s="20" t="str">
        <f aca="false">IF($A896="","",IF(N(H896)=0,"",RANK(H896,$H$5:$H$2004)))</f>
        <v/>
      </c>
      <c r="J896" s="21" t="str">
        <f aca="false">IF($A896="","",IF(B896=0,"No COD orders",IF(B896&lt;Settings!$B$8,"Too few orders",IF(D896&gt;=Settings!$B$9,"Restrict COD or verify","Keep COD"))))</f>
        <v/>
      </c>
    </row>
    <row r="897" customFormat="false" ht="15" hidden="false" customHeight="false" outlineLevel="0" collapsed="false">
      <c r="A897" s="27"/>
      <c r="B897" s="17" t="str">
        <f aca="false">IF($A897="","",COUNTIFS(Orders!$C$2:$C$20001,$A897,Orders!$E$2:$E$20001,"COD",Orders!$F$2:$F$20001,"Delivered")+COUNTIFS(Orders!$C$2:$C$20001,$A897,Orders!$E$2:$E$20001,"COD",Orders!$F$2:$F$20001,"RTO"))</f>
        <v/>
      </c>
      <c r="C897" s="17" t="str">
        <f aca="false">IF($A897="","",COUNTIFS(Orders!$C$2:$C$20001,$A897,Orders!$E$2:$E$20001,"COD",Orders!$F$2:$F$20001,"RTO"))</f>
        <v/>
      </c>
      <c r="D897" s="18" t="str">
        <f aca="false">IF($A897="","",IFERROR(C897/B897,0))</f>
        <v/>
      </c>
      <c r="E897" s="17" t="str">
        <f aca="false">IF($A897="","",COUNTIFS(Orders!$C$2:$C$20001,$A897,Orders!$E$2:$E$20001,"Prepaid",Orders!$F$2:$F$20001,"Delivered")+COUNTIFS(Orders!$C$2:$C$20001,$A897,Orders!$E$2:$E$20001,"Prepaid",Orders!$F$2:$F$20001,"RTO"))</f>
        <v/>
      </c>
      <c r="F897" s="17" t="str">
        <f aca="false">IF($A897="","",COUNTIFS(Orders!$C$2:$C$20001,$A897,Orders!$E$2:$E$20001,"Prepaid",Orders!$F$2:$F$20001,"RTO"))</f>
        <v/>
      </c>
      <c r="G897" s="18" t="str">
        <f aca="false">IF($A897="","",IFERROR(F897/E897,0))</f>
        <v/>
      </c>
      <c r="H897" s="19" t="str">
        <f aca="false">IF($A897="","",C897*Settings!$B$11)</f>
        <v/>
      </c>
      <c r="I897" s="20" t="str">
        <f aca="false">IF($A897="","",IF(N(H897)=0,"",RANK(H897,$H$5:$H$2004)))</f>
        <v/>
      </c>
      <c r="J897" s="21" t="str">
        <f aca="false">IF($A897="","",IF(B897=0,"No COD orders",IF(B897&lt;Settings!$B$8,"Too few orders",IF(D897&gt;=Settings!$B$9,"Restrict COD or verify","Keep COD"))))</f>
        <v/>
      </c>
    </row>
    <row r="898" customFormat="false" ht="15" hidden="false" customHeight="false" outlineLevel="0" collapsed="false">
      <c r="A898" s="27"/>
      <c r="B898" s="17" t="str">
        <f aca="false">IF($A898="","",COUNTIFS(Orders!$C$2:$C$20001,$A898,Orders!$E$2:$E$20001,"COD",Orders!$F$2:$F$20001,"Delivered")+COUNTIFS(Orders!$C$2:$C$20001,$A898,Orders!$E$2:$E$20001,"COD",Orders!$F$2:$F$20001,"RTO"))</f>
        <v/>
      </c>
      <c r="C898" s="17" t="str">
        <f aca="false">IF($A898="","",COUNTIFS(Orders!$C$2:$C$20001,$A898,Orders!$E$2:$E$20001,"COD",Orders!$F$2:$F$20001,"RTO"))</f>
        <v/>
      </c>
      <c r="D898" s="18" t="str">
        <f aca="false">IF($A898="","",IFERROR(C898/B898,0))</f>
        <v/>
      </c>
      <c r="E898" s="17" t="str">
        <f aca="false">IF($A898="","",COUNTIFS(Orders!$C$2:$C$20001,$A898,Orders!$E$2:$E$20001,"Prepaid",Orders!$F$2:$F$20001,"Delivered")+COUNTIFS(Orders!$C$2:$C$20001,$A898,Orders!$E$2:$E$20001,"Prepaid",Orders!$F$2:$F$20001,"RTO"))</f>
        <v/>
      </c>
      <c r="F898" s="17" t="str">
        <f aca="false">IF($A898="","",COUNTIFS(Orders!$C$2:$C$20001,$A898,Orders!$E$2:$E$20001,"Prepaid",Orders!$F$2:$F$20001,"RTO"))</f>
        <v/>
      </c>
      <c r="G898" s="18" t="str">
        <f aca="false">IF($A898="","",IFERROR(F898/E898,0))</f>
        <v/>
      </c>
      <c r="H898" s="19" t="str">
        <f aca="false">IF($A898="","",C898*Settings!$B$11)</f>
        <v/>
      </c>
      <c r="I898" s="20" t="str">
        <f aca="false">IF($A898="","",IF(N(H898)=0,"",RANK(H898,$H$5:$H$2004)))</f>
        <v/>
      </c>
      <c r="J898" s="21" t="str">
        <f aca="false">IF($A898="","",IF(B898=0,"No COD orders",IF(B898&lt;Settings!$B$8,"Too few orders",IF(D898&gt;=Settings!$B$9,"Restrict COD or verify","Keep COD"))))</f>
        <v/>
      </c>
    </row>
    <row r="899" customFormat="false" ht="15" hidden="false" customHeight="false" outlineLevel="0" collapsed="false">
      <c r="A899" s="27"/>
      <c r="B899" s="17" t="str">
        <f aca="false">IF($A899="","",COUNTIFS(Orders!$C$2:$C$20001,$A899,Orders!$E$2:$E$20001,"COD",Orders!$F$2:$F$20001,"Delivered")+COUNTIFS(Orders!$C$2:$C$20001,$A899,Orders!$E$2:$E$20001,"COD",Orders!$F$2:$F$20001,"RTO"))</f>
        <v/>
      </c>
      <c r="C899" s="17" t="str">
        <f aca="false">IF($A899="","",COUNTIFS(Orders!$C$2:$C$20001,$A899,Orders!$E$2:$E$20001,"COD",Orders!$F$2:$F$20001,"RTO"))</f>
        <v/>
      </c>
      <c r="D899" s="18" t="str">
        <f aca="false">IF($A899="","",IFERROR(C899/B899,0))</f>
        <v/>
      </c>
      <c r="E899" s="17" t="str">
        <f aca="false">IF($A899="","",COUNTIFS(Orders!$C$2:$C$20001,$A899,Orders!$E$2:$E$20001,"Prepaid",Orders!$F$2:$F$20001,"Delivered")+COUNTIFS(Orders!$C$2:$C$20001,$A899,Orders!$E$2:$E$20001,"Prepaid",Orders!$F$2:$F$20001,"RTO"))</f>
        <v/>
      </c>
      <c r="F899" s="17" t="str">
        <f aca="false">IF($A899="","",COUNTIFS(Orders!$C$2:$C$20001,$A899,Orders!$E$2:$E$20001,"Prepaid",Orders!$F$2:$F$20001,"RTO"))</f>
        <v/>
      </c>
      <c r="G899" s="18" t="str">
        <f aca="false">IF($A899="","",IFERROR(F899/E899,0))</f>
        <v/>
      </c>
      <c r="H899" s="19" t="str">
        <f aca="false">IF($A899="","",C899*Settings!$B$11)</f>
        <v/>
      </c>
      <c r="I899" s="20" t="str">
        <f aca="false">IF($A899="","",IF(N(H899)=0,"",RANK(H899,$H$5:$H$2004)))</f>
        <v/>
      </c>
      <c r="J899" s="21" t="str">
        <f aca="false">IF($A899="","",IF(B899=0,"No COD orders",IF(B899&lt;Settings!$B$8,"Too few orders",IF(D899&gt;=Settings!$B$9,"Restrict COD or verify","Keep COD"))))</f>
        <v/>
      </c>
    </row>
    <row r="900" customFormat="false" ht="15" hidden="false" customHeight="false" outlineLevel="0" collapsed="false">
      <c r="A900" s="27"/>
      <c r="B900" s="17" t="str">
        <f aca="false">IF($A900="","",COUNTIFS(Orders!$C$2:$C$20001,$A900,Orders!$E$2:$E$20001,"COD",Orders!$F$2:$F$20001,"Delivered")+COUNTIFS(Orders!$C$2:$C$20001,$A900,Orders!$E$2:$E$20001,"COD",Orders!$F$2:$F$20001,"RTO"))</f>
        <v/>
      </c>
      <c r="C900" s="17" t="str">
        <f aca="false">IF($A900="","",COUNTIFS(Orders!$C$2:$C$20001,$A900,Orders!$E$2:$E$20001,"COD",Orders!$F$2:$F$20001,"RTO"))</f>
        <v/>
      </c>
      <c r="D900" s="18" t="str">
        <f aca="false">IF($A900="","",IFERROR(C900/B900,0))</f>
        <v/>
      </c>
      <c r="E900" s="17" t="str">
        <f aca="false">IF($A900="","",COUNTIFS(Orders!$C$2:$C$20001,$A900,Orders!$E$2:$E$20001,"Prepaid",Orders!$F$2:$F$20001,"Delivered")+COUNTIFS(Orders!$C$2:$C$20001,$A900,Orders!$E$2:$E$20001,"Prepaid",Orders!$F$2:$F$20001,"RTO"))</f>
        <v/>
      </c>
      <c r="F900" s="17" t="str">
        <f aca="false">IF($A900="","",COUNTIFS(Orders!$C$2:$C$20001,$A900,Orders!$E$2:$E$20001,"Prepaid",Orders!$F$2:$F$20001,"RTO"))</f>
        <v/>
      </c>
      <c r="G900" s="18" t="str">
        <f aca="false">IF($A900="","",IFERROR(F900/E900,0))</f>
        <v/>
      </c>
      <c r="H900" s="19" t="str">
        <f aca="false">IF($A900="","",C900*Settings!$B$11)</f>
        <v/>
      </c>
      <c r="I900" s="20" t="str">
        <f aca="false">IF($A900="","",IF(N(H900)=0,"",RANK(H900,$H$5:$H$2004)))</f>
        <v/>
      </c>
      <c r="J900" s="21" t="str">
        <f aca="false">IF($A900="","",IF(B900=0,"No COD orders",IF(B900&lt;Settings!$B$8,"Too few orders",IF(D900&gt;=Settings!$B$9,"Restrict COD or verify","Keep COD"))))</f>
        <v/>
      </c>
    </row>
    <row r="901" customFormat="false" ht="15" hidden="false" customHeight="false" outlineLevel="0" collapsed="false">
      <c r="A901" s="27"/>
      <c r="B901" s="17" t="str">
        <f aca="false">IF($A901="","",COUNTIFS(Orders!$C$2:$C$20001,$A901,Orders!$E$2:$E$20001,"COD",Orders!$F$2:$F$20001,"Delivered")+COUNTIFS(Orders!$C$2:$C$20001,$A901,Orders!$E$2:$E$20001,"COD",Orders!$F$2:$F$20001,"RTO"))</f>
        <v/>
      </c>
      <c r="C901" s="17" t="str">
        <f aca="false">IF($A901="","",COUNTIFS(Orders!$C$2:$C$20001,$A901,Orders!$E$2:$E$20001,"COD",Orders!$F$2:$F$20001,"RTO"))</f>
        <v/>
      </c>
      <c r="D901" s="18" t="str">
        <f aca="false">IF($A901="","",IFERROR(C901/B901,0))</f>
        <v/>
      </c>
      <c r="E901" s="17" t="str">
        <f aca="false">IF($A901="","",COUNTIFS(Orders!$C$2:$C$20001,$A901,Orders!$E$2:$E$20001,"Prepaid",Orders!$F$2:$F$20001,"Delivered")+COUNTIFS(Orders!$C$2:$C$20001,$A901,Orders!$E$2:$E$20001,"Prepaid",Orders!$F$2:$F$20001,"RTO"))</f>
        <v/>
      </c>
      <c r="F901" s="17" t="str">
        <f aca="false">IF($A901="","",COUNTIFS(Orders!$C$2:$C$20001,$A901,Orders!$E$2:$E$20001,"Prepaid",Orders!$F$2:$F$20001,"RTO"))</f>
        <v/>
      </c>
      <c r="G901" s="18" t="str">
        <f aca="false">IF($A901="","",IFERROR(F901/E901,0))</f>
        <v/>
      </c>
      <c r="H901" s="19" t="str">
        <f aca="false">IF($A901="","",C901*Settings!$B$11)</f>
        <v/>
      </c>
      <c r="I901" s="20" t="str">
        <f aca="false">IF($A901="","",IF(N(H901)=0,"",RANK(H901,$H$5:$H$2004)))</f>
        <v/>
      </c>
      <c r="J901" s="21" t="str">
        <f aca="false">IF($A901="","",IF(B901=0,"No COD orders",IF(B901&lt;Settings!$B$8,"Too few orders",IF(D901&gt;=Settings!$B$9,"Restrict COD or verify","Keep COD"))))</f>
        <v/>
      </c>
    </row>
    <row r="902" customFormat="false" ht="15" hidden="false" customHeight="false" outlineLevel="0" collapsed="false">
      <c r="A902" s="27"/>
      <c r="B902" s="17" t="str">
        <f aca="false">IF($A902="","",COUNTIFS(Orders!$C$2:$C$20001,$A902,Orders!$E$2:$E$20001,"COD",Orders!$F$2:$F$20001,"Delivered")+COUNTIFS(Orders!$C$2:$C$20001,$A902,Orders!$E$2:$E$20001,"COD",Orders!$F$2:$F$20001,"RTO"))</f>
        <v/>
      </c>
      <c r="C902" s="17" t="str">
        <f aca="false">IF($A902="","",COUNTIFS(Orders!$C$2:$C$20001,$A902,Orders!$E$2:$E$20001,"COD",Orders!$F$2:$F$20001,"RTO"))</f>
        <v/>
      </c>
      <c r="D902" s="18" t="str">
        <f aca="false">IF($A902="","",IFERROR(C902/B902,0))</f>
        <v/>
      </c>
      <c r="E902" s="17" t="str">
        <f aca="false">IF($A902="","",COUNTIFS(Orders!$C$2:$C$20001,$A902,Orders!$E$2:$E$20001,"Prepaid",Orders!$F$2:$F$20001,"Delivered")+COUNTIFS(Orders!$C$2:$C$20001,$A902,Orders!$E$2:$E$20001,"Prepaid",Orders!$F$2:$F$20001,"RTO"))</f>
        <v/>
      </c>
      <c r="F902" s="17" t="str">
        <f aca="false">IF($A902="","",COUNTIFS(Orders!$C$2:$C$20001,$A902,Orders!$E$2:$E$20001,"Prepaid",Orders!$F$2:$F$20001,"RTO"))</f>
        <v/>
      </c>
      <c r="G902" s="18" t="str">
        <f aca="false">IF($A902="","",IFERROR(F902/E902,0))</f>
        <v/>
      </c>
      <c r="H902" s="19" t="str">
        <f aca="false">IF($A902="","",C902*Settings!$B$11)</f>
        <v/>
      </c>
      <c r="I902" s="20" t="str">
        <f aca="false">IF($A902="","",IF(N(H902)=0,"",RANK(H902,$H$5:$H$2004)))</f>
        <v/>
      </c>
      <c r="J902" s="21" t="str">
        <f aca="false">IF($A902="","",IF(B902=0,"No COD orders",IF(B902&lt;Settings!$B$8,"Too few orders",IF(D902&gt;=Settings!$B$9,"Restrict COD or verify","Keep COD"))))</f>
        <v/>
      </c>
    </row>
    <row r="903" customFormat="false" ht="15" hidden="false" customHeight="false" outlineLevel="0" collapsed="false">
      <c r="A903" s="27"/>
      <c r="B903" s="17" t="str">
        <f aca="false">IF($A903="","",COUNTIFS(Orders!$C$2:$C$20001,$A903,Orders!$E$2:$E$20001,"COD",Orders!$F$2:$F$20001,"Delivered")+COUNTIFS(Orders!$C$2:$C$20001,$A903,Orders!$E$2:$E$20001,"COD",Orders!$F$2:$F$20001,"RTO"))</f>
        <v/>
      </c>
      <c r="C903" s="17" t="str">
        <f aca="false">IF($A903="","",COUNTIFS(Orders!$C$2:$C$20001,$A903,Orders!$E$2:$E$20001,"COD",Orders!$F$2:$F$20001,"RTO"))</f>
        <v/>
      </c>
      <c r="D903" s="18" t="str">
        <f aca="false">IF($A903="","",IFERROR(C903/B903,0))</f>
        <v/>
      </c>
      <c r="E903" s="17" t="str">
        <f aca="false">IF($A903="","",COUNTIFS(Orders!$C$2:$C$20001,$A903,Orders!$E$2:$E$20001,"Prepaid",Orders!$F$2:$F$20001,"Delivered")+COUNTIFS(Orders!$C$2:$C$20001,$A903,Orders!$E$2:$E$20001,"Prepaid",Orders!$F$2:$F$20001,"RTO"))</f>
        <v/>
      </c>
      <c r="F903" s="17" t="str">
        <f aca="false">IF($A903="","",COUNTIFS(Orders!$C$2:$C$20001,$A903,Orders!$E$2:$E$20001,"Prepaid",Orders!$F$2:$F$20001,"RTO"))</f>
        <v/>
      </c>
      <c r="G903" s="18" t="str">
        <f aca="false">IF($A903="","",IFERROR(F903/E903,0))</f>
        <v/>
      </c>
      <c r="H903" s="19" t="str">
        <f aca="false">IF($A903="","",C903*Settings!$B$11)</f>
        <v/>
      </c>
      <c r="I903" s="20" t="str">
        <f aca="false">IF($A903="","",IF(N(H903)=0,"",RANK(H903,$H$5:$H$2004)))</f>
        <v/>
      </c>
      <c r="J903" s="21" t="str">
        <f aca="false">IF($A903="","",IF(B903=0,"No COD orders",IF(B903&lt;Settings!$B$8,"Too few orders",IF(D903&gt;=Settings!$B$9,"Restrict COD or verify","Keep COD"))))</f>
        <v/>
      </c>
    </row>
    <row r="904" customFormat="false" ht="15" hidden="false" customHeight="false" outlineLevel="0" collapsed="false">
      <c r="A904" s="27"/>
      <c r="B904" s="17" t="str">
        <f aca="false">IF($A904="","",COUNTIFS(Orders!$C$2:$C$20001,$A904,Orders!$E$2:$E$20001,"COD",Orders!$F$2:$F$20001,"Delivered")+COUNTIFS(Orders!$C$2:$C$20001,$A904,Orders!$E$2:$E$20001,"COD",Orders!$F$2:$F$20001,"RTO"))</f>
        <v/>
      </c>
      <c r="C904" s="17" t="str">
        <f aca="false">IF($A904="","",COUNTIFS(Orders!$C$2:$C$20001,$A904,Orders!$E$2:$E$20001,"COD",Orders!$F$2:$F$20001,"RTO"))</f>
        <v/>
      </c>
      <c r="D904" s="18" t="str">
        <f aca="false">IF($A904="","",IFERROR(C904/B904,0))</f>
        <v/>
      </c>
      <c r="E904" s="17" t="str">
        <f aca="false">IF($A904="","",COUNTIFS(Orders!$C$2:$C$20001,$A904,Orders!$E$2:$E$20001,"Prepaid",Orders!$F$2:$F$20001,"Delivered")+COUNTIFS(Orders!$C$2:$C$20001,$A904,Orders!$E$2:$E$20001,"Prepaid",Orders!$F$2:$F$20001,"RTO"))</f>
        <v/>
      </c>
      <c r="F904" s="17" t="str">
        <f aca="false">IF($A904="","",COUNTIFS(Orders!$C$2:$C$20001,$A904,Orders!$E$2:$E$20001,"Prepaid",Orders!$F$2:$F$20001,"RTO"))</f>
        <v/>
      </c>
      <c r="G904" s="18" t="str">
        <f aca="false">IF($A904="","",IFERROR(F904/E904,0))</f>
        <v/>
      </c>
      <c r="H904" s="19" t="str">
        <f aca="false">IF($A904="","",C904*Settings!$B$11)</f>
        <v/>
      </c>
      <c r="I904" s="20" t="str">
        <f aca="false">IF($A904="","",IF(N(H904)=0,"",RANK(H904,$H$5:$H$2004)))</f>
        <v/>
      </c>
      <c r="J904" s="21" t="str">
        <f aca="false">IF($A904="","",IF(B904=0,"No COD orders",IF(B904&lt;Settings!$B$8,"Too few orders",IF(D904&gt;=Settings!$B$9,"Restrict COD or verify","Keep COD"))))</f>
        <v/>
      </c>
    </row>
    <row r="905" customFormat="false" ht="15" hidden="false" customHeight="false" outlineLevel="0" collapsed="false">
      <c r="A905" s="27"/>
      <c r="B905" s="17" t="str">
        <f aca="false">IF($A905="","",COUNTIFS(Orders!$C$2:$C$20001,$A905,Orders!$E$2:$E$20001,"COD",Orders!$F$2:$F$20001,"Delivered")+COUNTIFS(Orders!$C$2:$C$20001,$A905,Orders!$E$2:$E$20001,"COD",Orders!$F$2:$F$20001,"RTO"))</f>
        <v/>
      </c>
      <c r="C905" s="17" t="str">
        <f aca="false">IF($A905="","",COUNTIFS(Orders!$C$2:$C$20001,$A905,Orders!$E$2:$E$20001,"COD",Orders!$F$2:$F$20001,"RTO"))</f>
        <v/>
      </c>
      <c r="D905" s="18" t="str">
        <f aca="false">IF($A905="","",IFERROR(C905/B905,0))</f>
        <v/>
      </c>
      <c r="E905" s="17" t="str">
        <f aca="false">IF($A905="","",COUNTIFS(Orders!$C$2:$C$20001,$A905,Orders!$E$2:$E$20001,"Prepaid",Orders!$F$2:$F$20001,"Delivered")+COUNTIFS(Orders!$C$2:$C$20001,$A905,Orders!$E$2:$E$20001,"Prepaid",Orders!$F$2:$F$20001,"RTO"))</f>
        <v/>
      </c>
      <c r="F905" s="17" t="str">
        <f aca="false">IF($A905="","",COUNTIFS(Orders!$C$2:$C$20001,$A905,Orders!$E$2:$E$20001,"Prepaid",Orders!$F$2:$F$20001,"RTO"))</f>
        <v/>
      </c>
      <c r="G905" s="18" t="str">
        <f aca="false">IF($A905="","",IFERROR(F905/E905,0))</f>
        <v/>
      </c>
      <c r="H905" s="19" t="str">
        <f aca="false">IF($A905="","",C905*Settings!$B$11)</f>
        <v/>
      </c>
      <c r="I905" s="20" t="str">
        <f aca="false">IF($A905="","",IF(N(H905)=0,"",RANK(H905,$H$5:$H$2004)))</f>
        <v/>
      </c>
      <c r="J905" s="21" t="str">
        <f aca="false">IF($A905="","",IF(B905=0,"No COD orders",IF(B905&lt;Settings!$B$8,"Too few orders",IF(D905&gt;=Settings!$B$9,"Restrict COD or verify","Keep COD"))))</f>
        <v/>
      </c>
    </row>
    <row r="906" customFormat="false" ht="15" hidden="false" customHeight="false" outlineLevel="0" collapsed="false">
      <c r="A906" s="27"/>
      <c r="B906" s="17" t="str">
        <f aca="false">IF($A906="","",COUNTIFS(Orders!$C$2:$C$20001,$A906,Orders!$E$2:$E$20001,"COD",Orders!$F$2:$F$20001,"Delivered")+COUNTIFS(Orders!$C$2:$C$20001,$A906,Orders!$E$2:$E$20001,"COD",Orders!$F$2:$F$20001,"RTO"))</f>
        <v/>
      </c>
      <c r="C906" s="17" t="str">
        <f aca="false">IF($A906="","",COUNTIFS(Orders!$C$2:$C$20001,$A906,Orders!$E$2:$E$20001,"COD",Orders!$F$2:$F$20001,"RTO"))</f>
        <v/>
      </c>
      <c r="D906" s="18" t="str">
        <f aca="false">IF($A906="","",IFERROR(C906/B906,0))</f>
        <v/>
      </c>
      <c r="E906" s="17" t="str">
        <f aca="false">IF($A906="","",COUNTIFS(Orders!$C$2:$C$20001,$A906,Orders!$E$2:$E$20001,"Prepaid",Orders!$F$2:$F$20001,"Delivered")+COUNTIFS(Orders!$C$2:$C$20001,$A906,Orders!$E$2:$E$20001,"Prepaid",Orders!$F$2:$F$20001,"RTO"))</f>
        <v/>
      </c>
      <c r="F906" s="17" t="str">
        <f aca="false">IF($A906="","",COUNTIFS(Orders!$C$2:$C$20001,$A906,Orders!$E$2:$E$20001,"Prepaid",Orders!$F$2:$F$20001,"RTO"))</f>
        <v/>
      </c>
      <c r="G906" s="18" t="str">
        <f aca="false">IF($A906="","",IFERROR(F906/E906,0))</f>
        <v/>
      </c>
      <c r="H906" s="19" t="str">
        <f aca="false">IF($A906="","",C906*Settings!$B$11)</f>
        <v/>
      </c>
      <c r="I906" s="20" t="str">
        <f aca="false">IF($A906="","",IF(N(H906)=0,"",RANK(H906,$H$5:$H$2004)))</f>
        <v/>
      </c>
      <c r="J906" s="21" t="str">
        <f aca="false">IF($A906="","",IF(B906=0,"No COD orders",IF(B906&lt;Settings!$B$8,"Too few orders",IF(D906&gt;=Settings!$B$9,"Restrict COD or verify","Keep COD"))))</f>
        <v/>
      </c>
    </row>
    <row r="907" customFormat="false" ht="15" hidden="false" customHeight="false" outlineLevel="0" collapsed="false">
      <c r="A907" s="27"/>
      <c r="B907" s="17" t="str">
        <f aca="false">IF($A907="","",COUNTIFS(Orders!$C$2:$C$20001,$A907,Orders!$E$2:$E$20001,"COD",Orders!$F$2:$F$20001,"Delivered")+COUNTIFS(Orders!$C$2:$C$20001,$A907,Orders!$E$2:$E$20001,"COD",Orders!$F$2:$F$20001,"RTO"))</f>
        <v/>
      </c>
      <c r="C907" s="17" t="str">
        <f aca="false">IF($A907="","",COUNTIFS(Orders!$C$2:$C$20001,$A907,Orders!$E$2:$E$20001,"COD",Orders!$F$2:$F$20001,"RTO"))</f>
        <v/>
      </c>
      <c r="D907" s="18" t="str">
        <f aca="false">IF($A907="","",IFERROR(C907/B907,0))</f>
        <v/>
      </c>
      <c r="E907" s="17" t="str">
        <f aca="false">IF($A907="","",COUNTIFS(Orders!$C$2:$C$20001,$A907,Orders!$E$2:$E$20001,"Prepaid",Orders!$F$2:$F$20001,"Delivered")+COUNTIFS(Orders!$C$2:$C$20001,$A907,Orders!$E$2:$E$20001,"Prepaid",Orders!$F$2:$F$20001,"RTO"))</f>
        <v/>
      </c>
      <c r="F907" s="17" t="str">
        <f aca="false">IF($A907="","",COUNTIFS(Orders!$C$2:$C$20001,$A907,Orders!$E$2:$E$20001,"Prepaid",Orders!$F$2:$F$20001,"RTO"))</f>
        <v/>
      </c>
      <c r="G907" s="18" t="str">
        <f aca="false">IF($A907="","",IFERROR(F907/E907,0))</f>
        <v/>
      </c>
      <c r="H907" s="19" t="str">
        <f aca="false">IF($A907="","",C907*Settings!$B$11)</f>
        <v/>
      </c>
      <c r="I907" s="20" t="str">
        <f aca="false">IF($A907="","",IF(N(H907)=0,"",RANK(H907,$H$5:$H$2004)))</f>
        <v/>
      </c>
      <c r="J907" s="21" t="str">
        <f aca="false">IF($A907="","",IF(B907=0,"No COD orders",IF(B907&lt;Settings!$B$8,"Too few orders",IF(D907&gt;=Settings!$B$9,"Restrict COD or verify","Keep COD"))))</f>
        <v/>
      </c>
    </row>
    <row r="908" customFormat="false" ht="15" hidden="false" customHeight="false" outlineLevel="0" collapsed="false">
      <c r="A908" s="27"/>
      <c r="B908" s="17" t="str">
        <f aca="false">IF($A908="","",COUNTIFS(Orders!$C$2:$C$20001,$A908,Orders!$E$2:$E$20001,"COD",Orders!$F$2:$F$20001,"Delivered")+COUNTIFS(Orders!$C$2:$C$20001,$A908,Orders!$E$2:$E$20001,"COD",Orders!$F$2:$F$20001,"RTO"))</f>
        <v/>
      </c>
      <c r="C908" s="17" t="str">
        <f aca="false">IF($A908="","",COUNTIFS(Orders!$C$2:$C$20001,$A908,Orders!$E$2:$E$20001,"COD",Orders!$F$2:$F$20001,"RTO"))</f>
        <v/>
      </c>
      <c r="D908" s="18" t="str">
        <f aca="false">IF($A908="","",IFERROR(C908/B908,0))</f>
        <v/>
      </c>
      <c r="E908" s="17" t="str">
        <f aca="false">IF($A908="","",COUNTIFS(Orders!$C$2:$C$20001,$A908,Orders!$E$2:$E$20001,"Prepaid",Orders!$F$2:$F$20001,"Delivered")+COUNTIFS(Orders!$C$2:$C$20001,$A908,Orders!$E$2:$E$20001,"Prepaid",Orders!$F$2:$F$20001,"RTO"))</f>
        <v/>
      </c>
      <c r="F908" s="17" t="str">
        <f aca="false">IF($A908="","",COUNTIFS(Orders!$C$2:$C$20001,$A908,Orders!$E$2:$E$20001,"Prepaid",Orders!$F$2:$F$20001,"RTO"))</f>
        <v/>
      </c>
      <c r="G908" s="18" t="str">
        <f aca="false">IF($A908="","",IFERROR(F908/E908,0))</f>
        <v/>
      </c>
      <c r="H908" s="19" t="str">
        <f aca="false">IF($A908="","",C908*Settings!$B$11)</f>
        <v/>
      </c>
      <c r="I908" s="20" t="str">
        <f aca="false">IF($A908="","",IF(N(H908)=0,"",RANK(H908,$H$5:$H$2004)))</f>
        <v/>
      </c>
      <c r="J908" s="21" t="str">
        <f aca="false">IF($A908="","",IF(B908=0,"No COD orders",IF(B908&lt;Settings!$B$8,"Too few orders",IF(D908&gt;=Settings!$B$9,"Restrict COD or verify","Keep COD"))))</f>
        <v/>
      </c>
    </row>
    <row r="909" customFormat="false" ht="15" hidden="false" customHeight="false" outlineLevel="0" collapsed="false">
      <c r="A909" s="27"/>
      <c r="B909" s="17" t="str">
        <f aca="false">IF($A909="","",COUNTIFS(Orders!$C$2:$C$20001,$A909,Orders!$E$2:$E$20001,"COD",Orders!$F$2:$F$20001,"Delivered")+COUNTIFS(Orders!$C$2:$C$20001,$A909,Orders!$E$2:$E$20001,"COD",Orders!$F$2:$F$20001,"RTO"))</f>
        <v/>
      </c>
      <c r="C909" s="17" t="str">
        <f aca="false">IF($A909="","",COUNTIFS(Orders!$C$2:$C$20001,$A909,Orders!$E$2:$E$20001,"COD",Orders!$F$2:$F$20001,"RTO"))</f>
        <v/>
      </c>
      <c r="D909" s="18" t="str">
        <f aca="false">IF($A909="","",IFERROR(C909/B909,0))</f>
        <v/>
      </c>
      <c r="E909" s="17" t="str">
        <f aca="false">IF($A909="","",COUNTIFS(Orders!$C$2:$C$20001,$A909,Orders!$E$2:$E$20001,"Prepaid",Orders!$F$2:$F$20001,"Delivered")+COUNTIFS(Orders!$C$2:$C$20001,$A909,Orders!$E$2:$E$20001,"Prepaid",Orders!$F$2:$F$20001,"RTO"))</f>
        <v/>
      </c>
      <c r="F909" s="17" t="str">
        <f aca="false">IF($A909="","",COUNTIFS(Orders!$C$2:$C$20001,$A909,Orders!$E$2:$E$20001,"Prepaid",Orders!$F$2:$F$20001,"RTO"))</f>
        <v/>
      </c>
      <c r="G909" s="18" t="str">
        <f aca="false">IF($A909="","",IFERROR(F909/E909,0))</f>
        <v/>
      </c>
      <c r="H909" s="19" t="str">
        <f aca="false">IF($A909="","",C909*Settings!$B$11)</f>
        <v/>
      </c>
      <c r="I909" s="20" t="str">
        <f aca="false">IF($A909="","",IF(N(H909)=0,"",RANK(H909,$H$5:$H$2004)))</f>
        <v/>
      </c>
      <c r="J909" s="21" t="str">
        <f aca="false">IF($A909="","",IF(B909=0,"No COD orders",IF(B909&lt;Settings!$B$8,"Too few orders",IF(D909&gt;=Settings!$B$9,"Restrict COD or verify","Keep COD"))))</f>
        <v/>
      </c>
    </row>
    <row r="910" customFormat="false" ht="15" hidden="false" customHeight="false" outlineLevel="0" collapsed="false">
      <c r="A910" s="27"/>
      <c r="B910" s="17" t="str">
        <f aca="false">IF($A910="","",COUNTIFS(Orders!$C$2:$C$20001,$A910,Orders!$E$2:$E$20001,"COD",Orders!$F$2:$F$20001,"Delivered")+COUNTIFS(Orders!$C$2:$C$20001,$A910,Orders!$E$2:$E$20001,"COD",Orders!$F$2:$F$20001,"RTO"))</f>
        <v/>
      </c>
      <c r="C910" s="17" t="str">
        <f aca="false">IF($A910="","",COUNTIFS(Orders!$C$2:$C$20001,$A910,Orders!$E$2:$E$20001,"COD",Orders!$F$2:$F$20001,"RTO"))</f>
        <v/>
      </c>
      <c r="D910" s="18" t="str">
        <f aca="false">IF($A910="","",IFERROR(C910/B910,0))</f>
        <v/>
      </c>
      <c r="E910" s="17" t="str">
        <f aca="false">IF($A910="","",COUNTIFS(Orders!$C$2:$C$20001,$A910,Orders!$E$2:$E$20001,"Prepaid",Orders!$F$2:$F$20001,"Delivered")+COUNTIFS(Orders!$C$2:$C$20001,$A910,Orders!$E$2:$E$20001,"Prepaid",Orders!$F$2:$F$20001,"RTO"))</f>
        <v/>
      </c>
      <c r="F910" s="17" t="str">
        <f aca="false">IF($A910="","",COUNTIFS(Orders!$C$2:$C$20001,$A910,Orders!$E$2:$E$20001,"Prepaid",Orders!$F$2:$F$20001,"RTO"))</f>
        <v/>
      </c>
      <c r="G910" s="18" t="str">
        <f aca="false">IF($A910="","",IFERROR(F910/E910,0))</f>
        <v/>
      </c>
      <c r="H910" s="19" t="str">
        <f aca="false">IF($A910="","",C910*Settings!$B$11)</f>
        <v/>
      </c>
      <c r="I910" s="20" t="str">
        <f aca="false">IF($A910="","",IF(N(H910)=0,"",RANK(H910,$H$5:$H$2004)))</f>
        <v/>
      </c>
      <c r="J910" s="21" t="str">
        <f aca="false">IF($A910="","",IF(B910=0,"No COD orders",IF(B910&lt;Settings!$B$8,"Too few orders",IF(D910&gt;=Settings!$B$9,"Restrict COD or verify","Keep COD"))))</f>
        <v/>
      </c>
    </row>
    <row r="911" customFormat="false" ht="15" hidden="false" customHeight="false" outlineLevel="0" collapsed="false">
      <c r="A911" s="27"/>
      <c r="B911" s="17" t="str">
        <f aca="false">IF($A911="","",COUNTIFS(Orders!$C$2:$C$20001,$A911,Orders!$E$2:$E$20001,"COD",Orders!$F$2:$F$20001,"Delivered")+COUNTIFS(Orders!$C$2:$C$20001,$A911,Orders!$E$2:$E$20001,"COD",Orders!$F$2:$F$20001,"RTO"))</f>
        <v/>
      </c>
      <c r="C911" s="17" t="str">
        <f aca="false">IF($A911="","",COUNTIFS(Orders!$C$2:$C$20001,$A911,Orders!$E$2:$E$20001,"COD",Orders!$F$2:$F$20001,"RTO"))</f>
        <v/>
      </c>
      <c r="D911" s="18" t="str">
        <f aca="false">IF($A911="","",IFERROR(C911/B911,0))</f>
        <v/>
      </c>
      <c r="E911" s="17" t="str">
        <f aca="false">IF($A911="","",COUNTIFS(Orders!$C$2:$C$20001,$A911,Orders!$E$2:$E$20001,"Prepaid",Orders!$F$2:$F$20001,"Delivered")+COUNTIFS(Orders!$C$2:$C$20001,$A911,Orders!$E$2:$E$20001,"Prepaid",Orders!$F$2:$F$20001,"RTO"))</f>
        <v/>
      </c>
      <c r="F911" s="17" t="str">
        <f aca="false">IF($A911="","",COUNTIFS(Orders!$C$2:$C$20001,$A911,Orders!$E$2:$E$20001,"Prepaid",Orders!$F$2:$F$20001,"RTO"))</f>
        <v/>
      </c>
      <c r="G911" s="18" t="str">
        <f aca="false">IF($A911="","",IFERROR(F911/E911,0))</f>
        <v/>
      </c>
      <c r="H911" s="19" t="str">
        <f aca="false">IF($A911="","",C911*Settings!$B$11)</f>
        <v/>
      </c>
      <c r="I911" s="20" t="str">
        <f aca="false">IF($A911="","",IF(N(H911)=0,"",RANK(H911,$H$5:$H$2004)))</f>
        <v/>
      </c>
      <c r="J911" s="21" t="str">
        <f aca="false">IF($A911="","",IF(B911=0,"No COD orders",IF(B911&lt;Settings!$B$8,"Too few orders",IF(D911&gt;=Settings!$B$9,"Restrict COD or verify","Keep COD"))))</f>
        <v/>
      </c>
    </row>
    <row r="912" customFormat="false" ht="15" hidden="false" customHeight="false" outlineLevel="0" collapsed="false">
      <c r="A912" s="27"/>
      <c r="B912" s="17" t="str">
        <f aca="false">IF($A912="","",COUNTIFS(Orders!$C$2:$C$20001,$A912,Orders!$E$2:$E$20001,"COD",Orders!$F$2:$F$20001,"Delivered")+COUNTIFS(Orders!$C$2:$C$20001,$A912,Orders!$E$2:$E$20001,"COD",Orders!$F$2:$F$20001,"RTO"))</f>
        <v/>
      </c>
      <c r="C912" s="17" t="str">
        <f aca="false">IF($A912="","",COUNTIFS(Orders!$C$2:$C$20001,$A912,Orders!$E$2:$E$20001,"COD",Orders!$F$2:$F$20001,"RTO"))</f>
        <v/>
      </c>
      <c r="D912" s="18" t="str">
        <f aca="false">IF($A912="","",IFERROR(C912/B912,0))</f>
        <v/>
      </c>
      <c r="E912" s="17" t="str">
        <f aca="false">IF($A912="","",COUNTIFS(Orders!$C$2:$C$20001,$A912,Orders!$E$2:$E$20001,"Prepaid",Orders!$F$2:$F$20001,"Delivered")+COUNTIFS(Orders!$C$2:$C$20001,$A912,Orders!$E$2:$E$20001,"Prepaid",Orders!$F$2:$F$20001,"RTO"))</f>
        <v/>
      </c>
      <c r="F912" s="17" t="str">
        <f aca="false">IF($A912="","",COUNTIFS(Orders!$C$2:$C$20001,$A912,Orders!$E$2:$E$20001,"Prepaid",Orders!$F$2:$F$20001,"RTO"))</f>
        <v/>
      </c>
      <c r="G912" s="18" t="str">
        <f aca="false">IF($A912="","",IFERROR(F912/E912,0))</f>
        <v/>
      </c>
      <c r="H912" s="19" t="str">
        <f aca="false">IF($A912="","",C912*Settings!$B$11)</f>
        <v/>
      </c>
      <c r="I912" s="20" t="str">
        <f aca="false">IF($A912="","",IF(N(H912)=0,"",RANK(H912,$H$5:$H$2004)))</f>
        <v/>
      </c>
      <c r="J912" s="21" t="str">
        <f aca="false">IF($A912="","",IF(B912=0,"No COD orders",IF(B912&lt;Settings!$B$8,"Too few orders",IF(D912&gt;=Settings!$B$9,"Restrict COD or verify","Keep COD"))))</f>
        <v/>
      </c>
    </row>
    <row r="913" customFormat="false" ht="15" hidden="false" customHeight="false" outlineLevel="0" collapsed="false">
      <c r="A913" s="27"/>
      <c r="B913" s="17" t="str">
        <f aca="false">IF($A913="","",COUNTIFS(Orders!$C$2:$C$20001,$A913,Orders!$E$2:$E$20001,"COD",Orders!$F$2:$F$20001,"Delivered")+COUNTIFS(Orders!$C$2:$C$20001,$A913,Orders!$E$2:$E$20001,"COD",Orders!$F$2:$F$20001,"RTO"))</f>
        <v/>
      </c>
      <c r="C913" s="17" t="str">
        <f aca="false">IF($A913="","",COUNTIFS(Orders!$C$2:$C$20001,$A913,Orders!$E$2:$E$20001,"COD",Orders!$F$2:$F$20001,"RTO"))</f>
        <v/>
      </c>
      <c r="D913" s="18" t="str">
        <f aca="false">IF($A913="","",IFERROR(C913/B913,0))</f>
        <v/>
      </c>
      <c r="E913" s="17" t="str">
        <f aca="false">IF($A913="","",COUNTIFS(Orders!$C$2:$C$20001,$A913,Orders!$E$2:$E$20001,"Prepaid",Orders!$F$2:$F$20001,"Delivered")+COUNTIFS(Orders!$C$2:$C$20001,$A913,Orders!$E$2:$E$20001,"Prepaid",Orders!$F$2:$F$20001,"RTO"))</f>
        <v/>
      </c>
      <c r="F913" s="17" t="str">
        <f aca="false">IF($A913="","",COUNTIFS(Orders!$C$2:$C$20001,$A913,Orders!$E$2:$E$20001,"Prepaid",Orders!$F$2:$F$20001,"RTO"))</f>
        <v/>
      </c>
      <c r="G913" s="18" t="str">
        <f aca="false">IF($A913="","",IFERROR(F913/E913,0))</f>
        <v/>
      </c>
      <c r="H913" s="19" t="str">
        <f aca="false">IF($A913="","",C913*Settings!$B$11)</f>
        <v/>
      </c>
      <c r="I913" s="20" t="str">
        <f aca="false">IF($A913="","",IF(N(H913)=0,"",RANK(H913,$H$5:$H$2004)))</f>
        <v/>
      </c>
      <c r="J913" s="21" t="str">
        <f aca="false">IF($A913="","",IF(B913=0,"No COD orders",IF(B913&lt;Settings!$B$8,"Too few orders",IF(D913&gt;=Settings!$B$9,"Restrict COD or verify","Keep COD"))))</f>
        <v/>
      </c>
    </row>
    <row r="914" customFormat="false" ht="15" hidden="false" customHeight="false" outlineLevel="0" collapsed="false">
      <c r="A914" s="27"/>
      <c r="B914" s="17" t="str">
        <f aca="false">IF($A914="","",COUNTIFS(Orders!$C$2:$C$20001,$A914,Orders!$E$2:$E$20001,"COD",Orders!$F$2:$F$20001,"Delivered")+COUNTIFS(Orders!$C$2:$C$20001,$A914,Orders!$E$2:$E$20001,"COD",Orders!$F$2:$F$20001,"RTO"))</f>
        <v/>
      </c>
      <c r="C914" s="17" t="str">
        <f aca="false">IF($A914="","",COUNTIFS(Orders!$C$2:$C$20001,$A914,Orders!$E$2:$E$20001,"COD",Orders!$F$2:$F$20001,"RTO"))</f>
        <v/>
      </c>
      <c r="D914" s="18" t="str">
        <f aca="false">IF($A914="","",IFERROR(C914/B914,0))</f>
        <v/>
      </c>
      <c r="E914" s="17" t="str">
        <f aca="false">IF($A914="","",COUNTIFS(Orders!$C$2:$C$20001,$A914,Orders!$E$2:$E$20001,"Prepaid",Orders!$F$2:$F$20001,"Delivered")+COUNTIFS(Orders!$C$2:$C$20001,$A914,Orders!$E$2:$E$20001,"Prepaid",Orders!$F$2:$F$20001,"RTO"))</f>
        <v/>
      </c>
      <c r="F914" s="17" t="str">
        <f aca="false">IF($A914="","",COUNTIFS(Orders!$C$2:$C$20001,$A914,Orders!$E$2:$E$20001,"Prepaid",Orders!$F$2:$F$20001,"RTO"))</f>
        <v/>
      </c>
      <c r="G914" s="18" t="str">
        <f aca="false">IF($A914="","",IFERROR(F914/E914,0))</f>
        <v/>
      </c>
      <c r="H914" s="19" t="str">
        <f aca="false">IF($A914="","",C914*Settings!$B$11)</f>
        <v/>
      </c>
      <c r="I914" s="20" t="str">
        <f aca="false">IF($A914="","",IF(N(H914)=0,"",RANK(H914,$H$5:$H$2004)))</f>
        <v/>
      </c>
      <c r="J914" s="21" t="str">
        <f aca="false">IF($A914="","",IF(B914=0,"No COD orders",IF(B914&lt;Settings!$B$8,"Too few orders",IF(D914&gt;=Settings!$B$9,"Restrict COD or verify","Keep COD"))))</f>
        <v/>
      </c>
    </row>
    <row r="915" customFormat="false" ht="15" hidden="false" customHeight="false" outlineLevel="0" collapsed="false">
      <c r="A915" s="27"/>
      <c r="B915" s="17" t="str">
        <f aca="false">IF($A915="","",COUNTIFS(Orders!$C$2:$C$20001,$A915,Orders!$E$2:$E$20001,"COD",Orders!$F$2:$F$20001,"Delivered")+COUNTIFS(Orders!$C$2:$C$20001,$A915,Orders!$E$2:$E$20001,"COD",Orders!$F$2:$F$20001,"RTO"))</f>
        <v/>
      </c>
      <c r="C915" s="17" t="str">
        <f aca="false">IF($A915="","",COUNTIFS(Orders!$C$2:$C$20001,$A915,Orders!$E$2:$E$20001,"COD",Orders!$F$2:$F$20001,"RTO"))</f>
        <v/>
      </c>
      <c r="D915" s="18" t="str">
        <f aca="false">IF($A915="","",IFERROR(C915/B915,0))</f>
        <v/>
      </c>
      <c r="E915" s="17" t="str">
        <f aca="false">IF($A915="","",COUNTIFS(Orders!$C$2:$C$20001,$A915,Orders!$E$2:$E$20001,"Prepaid",Orders!$F$2:$F$20001,"Delivered")+COUNTIFS(Orders!$C$2:$C$20001,$A915,Orders!$E$2:$E$20001,"Prepaid",Orders!$F$2:$F$20001,"RTO"))</f>
        <v/>
      </c>
      <c r="F915" s="17" t="str">
        <f aca="false">IF($A915="","",COUNTIFS(Orders!$C$2:$C$20001,$A915,Orders!$E$2:$E$20001,"Prepaid",Orders!$F$2:$F$20001,"RTO"))</f>
        <v/>
      </c>
      <c r="G915" s="18" t="str">
        <f aca="false">IF($A915="","",IFERROR(F915/E915,0))</f>
        <v/>
      </c>
      <c r="H915" s="19" t="str">
        <f aca="false">IF($A915="","",C915*Settings!$B$11)</f>
        <v/>
      </c>
      <c r="I915" s="20" t="str">
        <f aca="false">IF($A915="","",IF(N(H915)=0,"",RANK(H915,$H$5:$H$2004)))</f>
        <v/>
      </c>
      <c r="J915" s="21" t="str">
        <f aca="false">IF($A915="","",IF(B915=0,"No COD orders",IF(B915&lt;Settings!$B$8,"Too few orders",IF(D915&gt;=Settings!$B$9,"Restrict COD or verify","Keep COD"))))</f>
        <v/>
      </c>
    </row>
    <row r="916" customFormat="false" ht="15" hidden="false" customHeight="false" outlineLevel="0" collapsed="false">
      <c r="A916" s="27"/>
      <c r="B916" s="17" t="str">
        <f aca="false">IF($A916="","",COUNTIFS(Orders!$C$2:$C$20001,$A916,Orders!$E$2:$E$20001,"COD",Orders!$F$2:$F$20001,"Delivered")+COUNTIFS(Orders!$C$2:$C$20001,$A916,Orders!$E$2:$E$20001,"COD",Orders!$F$2:$F$20001,"RTO"))</f>
        <v/>
      </c>
      <c r="C916" s="17" t="str">
        <f aca="false">IF($A916="","",COUNTIFS(Orders!$C$2:$C$20001,$A916,Orders!$E$2:$E$20001,"COD",Orders!$F$2:$F$20001,"RTO"))</f>
        <v/>
      </c>
      <c r="D916" s="18" t="str">
        <f aca="false">IF($A916="","",IFERROR(C916/B916,0))</f>
        <v/>
      </c>
      <c r="E916" s="17" t="str">
        <f aca="false">IF($A916="","",COUNTIFS(Orders!$C$2:$C$20001,$A916,Orders!$E$2:$E$20001,"Prepaid",Orders!$F$2:$F$20001,"Delivered")+COUNTIFS(Orders!$C$2:$C$20001,$A916,Orders!$E$2:$E$20001,"Prepaid",Orders!$F$2:$F$20001,"RTO"))</f>
        <v/>
      </c>
      <c r="F916" s="17" t="str">
        <f aca="false">IF($A916="","",COUNTIFS(Orders!$C$2:$C$20001,$A916,Orders!$E$2:$E$20001,"Prepaid",Orders!$F$2:$F$20001,"RTO"))</f>
        <v/>
      </c>
      <c r="G916" s="18" t="str">
        <f aca="false">IF($A916="","",IFERROR(F916/E916,0))</f>
        <v/>
      </c>
      <c r="H916" s="19" t="str">
        <f aca="false">IF($A916="","",C916*Settings!$B$11)</f>
        <v/>
      </c>
      <c r="I916" s="20" t="str">
        <f aca="false">IF($A916="","",IF(N(H916)=0,"",RANK(H916,$H$5:$H$2004)))</f>
        <v/>
      </c>
      <c r="J916" s="21" t="str">
        <f aca="false">IF($A916="","",IF(B916=0,"No COD orders",IF(B916&lt;Settings!$B$8,"Too few orders",IF(D916&gt;=Settings!$B$9,"Restrict COD or verify","Keep COD"))))</f>
        <v/>
      </c>
    </row>
    <row r="917" customFormat="false" ht="15" hidden="false" customHeight="false" outlineLevel="0" collapsed="false">
      <c r="A917" s="27"/>
      <c r="B917" s="17" t="str">
        <f aca="false">IF($A917="","",COUNTIFS(Orders!$C$2:$C$20001,$A917,Orders!$E$2:$E$20001,"COD",Orders!$F$2:$F$20001,"Delivered")+COUNTIFS(Orders!$C$2:$C$20001,$A917,Orders!$E$2:$E$20001,"COD",Orders!$F$2:$F$20001,"RTO"))</f>
        <v/>
      </c>
      <c r="C917" s="17" t="str">
        <f aca="false">IF($A917="","",COUNTIFS(Orders!$C$2:$C$20001,$A917,Orders!$E$2:$E$20001,"COD",Orders!$F$2:$F$20001,"RTO"))</f>
        <v/>
      </c>
      <c r="D917" s="18" t="str">
        <f aca="false">IF($A917="","",IFERROR(C917/B917,0))</f>
        <v/>
      </c>
      <c r="E917" s="17" t="str">
        <f aca="false">IF($A917="","",COUNTIFS(Orders!$C$2:$C$20001,$A917,Orders!$E$2:$E$20001,"Prepaid",Orders!$F$2:$F$20001,"Delivered")+COUNTIFS(Orders!$C$2:$C$20001,$A917,Orders!$E$2:$E$20001,"Prepaid",Orders!$F$2:$F$20001,"RTO"))</f>
        <v/>
      </c>
      <c r="F917" s="17" t="str">
        <f aca="false">IF($A917="","",COUNTIFS(Orders!$C$2:$C$20001,$A917,Orders!$E$2:$E$20001,"Prepaid",Orders!$F$2:$F$20001,"RTO"))</f>
        <v/>
      </c>
      <c r="G917" s="18" t="str">
        <f aca="false">IF($A917="","",IFERROR(F917/E917,0))</f>
        <v/>
      </c>
      <c r="H917" s="19" t="str">
        <f aca="false">IF($A917="","",C917*Settings!$B$11)</f>
        <v/>
      </c>
      <c r="I917" s="20" t="str">
        <f aca="false">IF($A917="","",IF(N(H917)=0,"",RANK(H917,$H$5:$H$2004)))</f>
        <v/>
      </c>
      <c r="J917" s="21" t="str">
        <f aca="false">IF($A917="","",IF(B917=0,"No COD orders",IF(B917&lt;Settings!$B$8,"Too few orders",IF(D917&gt;=Settings!$B$9,"Restrict COD or verify","Keep COD"))))</f>
        <v/>
      </c>
    </row>
    <row r="918" customFormat="false" ht="15" hidden="false" customHeight="false" outlineLevel="0" collapsed="false">
      <c r="A918" s="27"/>
      <c r="B918" s="17" t="str">
        <f aca="false">IF($A918="","",COUNTIFS(Orders!$C$2:$C$20001,$A918,Orders!$E$2:$E$20001,"COD",Orders!$F$2:$F$20001,"Delivered")+COUNTIFS(Orders!$C$2:$C$20001,$A918,Orders!$E$2:$E$20001,"COD",Orders!$F$2:$F$20001,"RTO"))</f>
        <v/>
      </c>
      <c r="C918" s="17" t="str">
        <f aca="false">IF($A918="","",COUNTIFS(Orders!$C$2:$C$20001,$A918,Orders!$E$2:$E$20001,"COD",Orders!$F$2:$F$20001,"RTO"))</f>
        <v/>
      </c>
      <c r="D918" s="18" t="str">
        <f aca="false">IF($A918="","",IFERROR(C918/B918,0))</f>
        <v/>
      </c>
      <c r="E918" s="17" t="str">
        <f aca="false">IF($A918="","",COUNTIFS(Orders!$C$2:$C$20001,$A918,Orders!$E$2:$E$20001,"Prepaid",Orders!$F$2:$F$20001,"Delivered")+COUNTIFS(Orders!$C$2:$C$20001,$A918,Orders!$E$2:$E$20001,"Prepaid",Orders!$F$2:$F$20001,"RTO"))</f>
        <v/>
      </c>
      <c r="F918" s="17" t="str">
        <f aca="false">IF($A918="","",COUNTIFS(Orders!$C$2:$C$20001,$A918,Orders!$E$2:$E$20001,"Prepaid",Orders!$F$2:$F$20001,"RTO"))</f>
        <v/>
      </c>
      <c r="G918" s="18" t="str">
        <f aca="false">IF($A918="","",IFERROR(F918/E918,0))</f>
        <v/>
      </c>
      <c r="H918" s="19" t="str">
        <f aca="false">IF($A918="","",C918*Settings!$B$11)</f>
        <v/>
      </c>
      <c r="I918" s="20" t="str">
        <f aca="false">IF($A918="","",IF(N(H918)=0,"",RANK(H918,$H$5:$H$2004)))</f>
        <v/>
      </c>
      <c r="J918" s="21" t="str">
        <f aca="false">IF($A918="","",IF(B918=0,"No COD orders",IF(B918&lt;Settings!$B$8,"Too few orders",IF(D918&gt;=Settings!$B$9,"Restrict COD or verify","Keep COD"))))</f>
        <v/>
      </c>
    </row>
    <row r="919" customFormat="false" ht="15" hidden="false" customHeight="false" outlineLevel="0" collapsed="false">
      <c r="A919" s="27"/>
      <c r="B919" s="17" t="str">
        <f aca="false">IF($A919="","",COUNTIFS(Orders!$C$2:$C$20001,$A919,Orders!$E$2:$E$20001,"COD",Orders!$F$2:$F$20001,"Delivered")+COUNTIFS(Orders!$C$2:$C$20001,$A919,Orders!$E$2:$E$20001,"COD",Orders!$F$2:$F$20001,"RTO"))</f>
        <v/>
      </c>
      <c r="C919" s="17" t="str">
        <f aca="false">IF($A919="","",COUNTIFS(Orders!$C$2:$C$20001,$A919,Orders!$E$2:$E$20001,"COD",Orders!$F$2:$F$20001,"RTO"))</f>
        <v/>
      </c>
      <c r="D919" s="18" t="str">
        <f aca="false">IF($A919="","",IFERROR(C919/B919,0))</f>
        <v/>
      </c>
      <c r="E919" s="17" t="str">
        <f aca="false">IF($A919="","",COUNTIFS(Orders!$C$2:$C$20001,$A919,Orders!$E$2:$E$20001,"Prepaid",Orders!$F$2:$F$20001,"Delivered")+COUNTIFS(Orders!$C$2:$C$20001,$A919,Orders!$E$2:$E$20001,"Prepaid",Orders!$F$2:$F$20001,"RTO"))</f>
        <v/>
      </c>
      <c r="F919" s="17" t="str">
        <f aca="false">IF($A919="","",COUNTIFS(Orders!$C$2:$C$20001,$A919,Orders!$E$2:$E$20001,"Prepaid",Orders!$F$2:$F$20001,"RTO"))</f>
        <v/>
      </c>
      <c r="G919" s="18" t="str">
        <f aca="false">IF($A919="","",IFERROR(F919/E919,0))</f>
        <v/>
      </c>
      <c r="H919" s="19" t="str">
        <f aca="false">IF($A919="","",C919*Settings!$B$11)</f>
        <v/>
      </c>
      <c r="I919" s="20" t="str">
        <f aca="false">IF($A919="","",IF(N(H919)=0,"",RANK(H919,$H$5:$H$2004)))</f>
        <v/>
      </c>
      <c r="J919" s="21" t="str">
        <f aca="false">IF($A919="","",IF(B919=0,"No COD orders",IF(B919&lt;Settings!$B$8,"Too few orders",IF(D919&gt;=Settings!$B$9,"Restrict COD or verify","Keep COD"))))</f>
        <v/>
      </c>
    </row>
    <row r="920" customFormat="false" ht="15" hidden="false" customHeight="false" outlineLevel="0" collapsed="false">
      <c r="A920" s="27"/>
      <c r="B920" s="17" t="str">
        <f aca="false">IF($A920="","",COUNTIFS(Orders!$C$2:$C$20001,$A920,Orders!$E$2:$E$20001,"COD",Orders!$F$2:$F$20001,"Delivered")+COUNTIFS(Orders!$C$2:$C$20001,$A920,Orders!$E$2:$E$20001,"COD",Orders!$F$2:$F$20001,"RTO"))</f>
        <v/>
      </c>
      <c r="C920" s="17" t="str">
        <f aca="false">IF($A920="","",COUNTIFS(Orders!$C$2:$C$20001,$A920,Orders!$E$2:$E$20001,"COD",Orders!$F$2:$F$20001,"RTO"))</f>
        <v/>
      </c>
      <c r="D920" s="18" t="str">
        <f aca="false">IF($A920="","",IFERROR(C920/B920,0))</f>
        <v/>
      </c>
      <c r="E920" s="17" t="str">
        <f aca="false">IF($A920="","",COUNTIFS(Orders!$C$2:$C$20001,$A920,Orders!$E$2:$E$20001,"Prepaid",Orders!$F$2:$F$20001,"Delivered")+COUNTIFS(Orders!$C$2:$C$20001,$A920,Orders!$E$2:$E$20001,"Prepaid",Orders!$F$2:$F$20001,"RTO"))</f>
        <v/>
      </c>
      <c r="F920" s="17" t="str">
        <f aca="false">IF($A920="","",COUNTIFS(Orders!$C$2:$C$20001,$A920,Orders!$E$2:$E$20001,"Prepaid",Orders!$F$2:$F$20001,"RTO"))</f>
        <v/>
      </c>
      <c r="G920" s="18" t="str">
        <f aca="false">IF($A920="","",IFERROR(F920/E920,0))</f>
        <v/>
      </c>
      <c r="H920" s="19" t="str">
        <f aca="false">IF($A920="","",C920*Settings!$B$11)</f>
        <v/>
      </c>
      <c r="I920" s="20" t="str">
        <f aca="false">IF($A920="","",IF(N(H920)=0,"",RANK(H920,$H$5:$H$2004)))</f>
        <v/>
      </c>
      <c r="J920" s="21" t="str">
        <f aca="false">IF($A920="","",IF(B920=0,"No COD orders",IF(B920&lt;Settings!$B$8,"Too few orders",IF(D920&gt;=Settings!$B$9,"Restrict COD or verify","Keep COD"))))</f>
        <v/>
      </c>
    </row>
    <row r="921" customFormat="false" ht="15" hidden="false" customHeight="false" outlineLevel="0" collapsed="false">
      <c r="A921" s="27"/>
      <c r="B921" s="17" t="str">
        <f aca="false">IF($A921="","",COUNTIFS(Orders!$C$2:$C$20001,$A921,Orders!$E$2:$E$20001,"COD",Orders!$F$2:$F$20001,"Delivered")+COUNTIFS(Orders!$C$2:$C$20001,$A921,Orders!$E$2:$E$20001,"COD",Orders!$F$2:$F$20001,"RTO"))</f>
        <v/>
      </c>
      <c r="C921" s="17" t="str">
        <f aca="false">IF($A921="","",COUNTIFS(Orders!$C$2:$C$20001,$A921,Orders!$E$2:$E$20001,"COD",Orders!$F$2:$F$20001,"RTO"))</f>
        <v/>
      </c>
      <c r="D921" s="18" t="str">
        <f aca="false">IF($A921="","",IFERROR(C921/B921,0))</f>
        <v/>
      </c>
      <c r="E921" s="17" t="str">
        <f aca="false">IF($A921="","",COUNTIFS(Orders!$C$2:$C$20001,$A921,Orders!$E$2:$E$20001,"Prepaid",Orders!$F$2:$F$20001,"Delivered")+COUNTIFS(Orders!$C$2:$C$20001,$A921,Orders!$E$2:$E$20001,"Prepaid",Orders!$F$2:$F$20001,"RTO"))</f>
        <v/>
      </c>
      <c r="F921" s="17" t="str">
        <f aca="false">IF($A921="","",COUNTIFS(Orders!$C$2:$C$20001,$A921,Orders!$E$2:$E$20001,"Prepaid",Orders!$F$2:$F$20001,"RTO"))</f>
        <v/>
      </c>
      <c r="G921" s="18" t="str">
        <f aca="false">IF($A921="","",IFERROR(F921/E921,0))</f>
        <v/>
      </c>
      <c r="H921" s="19" t="str">
        <f aca="false">IF($A921="","",C921*Settings!$B$11)</f>
        <v/>
      </c>
      <c r="I921" s="20" t="str">
        <f aca="false">IF($A921="","",IF(N(H921)=0,"",RANK(H921,$H$5:$H$2004)))</f>
        <v/>
      </c>
      <c r="J921" s="21" t="str">
        <f aca="false">IF($A921="","",IF(B921=0,"No COD orders",IF(B921&lt;Settings!$B$8,"Too few orders",IF(D921&gt;=Settings!$B$9,"Restrict COD or verify","Keep COD"))))</f>
        <v/>
      </c>
    </row>
    <row r="922" customFormat="false" ht="15" hidden="false" customHeight="false" outlineLevel="0" collapsed="false">
      <c r="A922" s="27"/>
      <c r="B922" s="17" t="str">
        <f aca="false">IF($A922="","",COUNTIFS(Orders!$C$2:$C$20001,$A922,Orders!$E$2:$E$20001,"COD",Orders!$F$2:$F$20001,"Delivered")+COUNTIFS(Orders!$C$2:$C$20001,$A922,Orders!$E$2:$E$20001,"COD",Orders!$F$2:$F$20001,"RTO"))</f>
        <v/>
      </c>
      <c r="C922" s="17" t="str">
        <f aca="false">IF($A922="","",COUNTIFS(Orders!$C$2:$C$20001,$A922,Orders!$E$2:$E$20001,"COD",Orders!$F$2:$F$20001,"RTO"))</f>
        <v/>
      </c>
      <c r="D922" s="18" t="str">
        <f aca="false">IF($A922="","",IFERROR(C922/B922,0))</f>
        <v/>
      </c>
      <c r="E922" s="17" t="str">
        <f aca="false">IF($A922="","",COUNTIFS(Orders!$C$2:$C$20001,$A922,Orders!$E$2:$E$20001,"Prepaid",Orders!$F$2:$F$20001,"Delivered")+COUNTIFS(Orders!$C$2:$C$20001,$A922,Orders!$E$2:$E$20001,"Prepaid",Orders!$F$2:$F$20001,"RTO"))</f>
        <v/>
      </c>
      <c r="F922" s="17" t="str">
        <f aca="false">IF($A922="","",COUNTIFS(Orders!$C$2:$C$20001,$A922,Orders!$E$2:$E$20001,"Prepaid",Orders!$F$2:$F$20001,"RTO"))</f>
        <v/>
      </c>
      <c r="G922" s="18" t="str">
        <f aca="false">IF($A922="","",IFERROR(F922/E922,0))</f>
        <v/>
      </c>
      <c r="H922" s="19" t="str">
        <f aca="false">IF($A922="","",C922*Settings!$B$11)</f>
        <v/>
      </c>
      <c r="I922" s="20" t="str">
        <f aca="false">IF($A922="","",IF(N(H922)=0,"",RANK(H922,$H$5:$H$2004)))</f>
        <v/>
      </c>
      <c r="J922" s="21" t="str">
        <f aca="false">IF($A922="","",IF(B922=0,"No COD orders",IF(B922&lt;Settings!$B$8,"Too few orders",IF(D922&gt;=Settings!$B$9,"Restrict COD or verify","Keep COD"))))</f>
        <v/>
      </c>
    </row>
    <row r="923" customFormat="false" ht="15" hidden="false" customHeight="false" outlineLevel="0" collapsed="false">
      <c r="A923" s="27"/>
      <c r="B923" s="17" t="str">
        <f aca="false">IF($A923="","",COUNTIFS(Orders!$C$2:$C$20001,$A923,Orders!$E$2:$E$20001,"COD",Orders!$F$2:$F$20001,"Delivered")+COUNTIFS(Orders!$C$2:$C$20001,$A923,Orders!$E$2:$E$20001,"COD",Orders!$F$2:$F$20001,"RTO"))</f>
        <v/>
      </c>
      <c r="C923" s="17" t="str">
        <f aca="false">IF($A923="","",COUNTIFS(Orders!$C$2:$C$20001,$A923,Orders!$E$2:$E$20001,"COD",Orders!$F$2:$F$20001,"RTO"))</f>
        <v/>
      </c>
      <c r="D923" s="18" t="str">
        <f aca="false">IF($A923="","",IFERROR(C923/B923,0))</f>
        <v/>
      </c>
      <c r="E923" s="17" t="str">
        <f aca="false">IF($A923="","",COUNTIFS(Orders!$C$2:$C$20001,$A923,Orders!$E$2:$E$20001,"Prepaid",Orders!$F$2:$F$20001,"Delivered")+COUNTIFS(Orders!$C$2:$C$20001,$A923,Orders!$E$2:$E$20001,"Prepaid",Orders!$F$2:$F$20001,"RTO"))</f>
        <v/>
      </c>
      <c r="F923" s="17" t="str">
        <f aca="false">IF($A923="","",COUNTIFS(Orders!$C$2:$C$20001,$A923,Orders!$E$2:$E$20001,"Prepaid",Orders!$F$2:$F$20001,"RTO"))</f>
        <v/>
      </c>
      <c r="G923" s="18" t="str">
        <f aca="false">IF($A923="","",IFERROR(F923/E923,0))</f>
        <v/>
      </c>
      <c r="H923" s="19" t="str">
        <f aca="false">IF($A923="","",C923*Settings!$B$11)</f>
        <v/>
      </c>
      <c r="I923" s="20" t="str">
        <f aca="false">IF($A923="","",IF(N(H923)=0,"",RANK(H923,$H$5:$H$2004)))</f>
        <v/>
      </c>
      <c r="J923" s="21" t="str">
        <f aca="false">IF($A923="","",IF(B923=0,"No COD orders",IF(B923&lt;Settings!$B$8,"Too few orders",IF(D923&gt;=Settings!$B$9,"Restrict COD or verify","Keep COD"))))</f>
        <v/>
      </c>
    </row>
    <row r="924" customFormat="false" ht="15" hidden="false" customHeight="false" outlineLevel="0" collapsed="false">
      <c r="A924" s="27"/>
      <c r="B924" s="17" t="str">
        <f aca="false">IF($A924="","",COUNTIFS(Orders!$C$2:$C$20001,$A924,Orders!$E$2:$E$20001,"COD",Orders!$F$2:$F$20001,"Delivered")+COUNTIFS(Orders!$C$2:$C$20001,$A924,Orders!$E$2:$E$20001,"COD",Orders!$F$2:$F$20001,"RTO"))</f>
        <v/>
      </c>
      <c r="C924" s="17" t="str">
        <f aca="false">IF($A924="","",COUNTIFS(Orders!$C$2:$C$20001,$A924,Orders!$E$2:$E$20001,"COD",Orders!$F$2:$F$20001,"RTO"))</f>
        <v/>
      </c>
      <c r="D924" s="18" t="str">
        <f aca="false">IF($A924="","",IFERROR(C924/B924,0))</f>
        <v/>
      </c>
      <c r="E924" s="17" t="str">
        <f aca="false">IF($A924="","",COUNTIFS(Orders!$C$2:$C$20001,$A924,Orders!$E$2:$E$20001,"Prepaid",Orders!$F$2:$F$20001,"Delivered")+COUNTIFS(Orders!$C$2:$C$20001,$A924,Orders!$E$2:$E$20001,"Prepaid",Orders!$F$2:$F$20001,"RTO"))</f>
        <v/>
      </c>
      <c r="F924" s="17" t="str">
        <f aca="false">IF($A924="","",COUNTIFS(Orders!$C$2:$C$20001,$A924,Orders!$E$2:$E$20001,"Prepaid",Orders!$F$2:$F$20001,"RTO"))</f>
        <v/>
      </c>
      <c r="G924" s="18" t="str">
        <f aca="false">IF($A924="","",IFERROR(F924/E924,0))</f>
        <v/>
      </c>
      <c r="H924" s="19" t="str">
        <f aca="false">IF($A924="","",C924*Settings!$B$11)</f>
        <v/>
      </c>
      <c r="I924" s="20" t="str">
        <f aca="false">IF($A924="","",IF(N(H924)=0,"",RANK(H924,$H$5:$H$2004)))</f>
        <v/>
      </c>
      <c r="J924" s="21" t="str">
        <f aca="false">IF($A924="","",IF(B924=0,"No COD orders",IF(B924&lt;Settings!$B$8,"Too few orders",IF(D924&gt;=Settings!$B$9,"Restrict COD or verify","Keep COD"))))</f>
        <v/>
      </c>
    </row>
    <row r="925" customFormat="false" ht="15" hidden="false" customHeight="false" outlineLevel="0" collapsed="false">
      <c r="A925" s="27"/>
      <c r="B925" s="17" t="str">
        <f aca="false">IF($A925="","",COUNTIFS(Orders!$C$2:$C$20001,$A925,Orders!$E$2:$E$20001,"COD",Orders!$F$2:$F$20001,"Delivered")+COUNTIFS(Orders!$C$2:$C$20001,$A925,Orders!$E$2:$E$20001,"COD",Orders!$F$2:$F$20001,"RTO"))</f>
        <v/>
      </c>
      <c r="C925" s="17" t="str">
        <f aca="false">IF($A925="","",COUNTIFS(Orders!$C$2:$C$20001,$A925,Orders!$E$2:$E$20001,"COD",Orders!$F$2:$F$20001,"RTO"))</f>
        <v/>
      </c>
      <c r="D925" s="18" t="str">
        <f aca="false">IF($A925="","",IFERROR(C925/B925,0))</f>
        <v/>
      </c>
      <c r="E925" s="17" t="str">
        <f aca="false">IF($A925="","",COUNTIFS(Orders!$C$2:$C$20001,$A925,Orders!$E$2:$E$20001,"Prepaid",Orders!$F$2:$F$20001,"Delivered")+COUNTIFS(Orders!$C$2:$C$20001,$A925,Orders!$E$2:$E$20001,"Prepaid",Orders!$F$2:$F$20001,"RTO"))</f>
        <v/>
      </c>
      <c r="F925" s="17" t="str">
        <f aca="false">IF($A925="","",COUNTIFS(Orders!$C$2:$C$20001,$A925,Orders!$E$2:$E$20001,"Prepaid",Orders!$F$2:$F$20001,"RTO"))</f>
        <v/>
      </c>
      <c r="G925" s="18" t="str">
        <f aca="false">IF($A925="","",IFERROR(F925/E925,0))</f>
        <v/>
      </c>
      <c r="H925" s="19" t="str">
        <f aca="false">IF($A925="","",C925*Settings!$B$11)</f>
        <v/>
      </c>
      <c r="I925" s="20" t="str">
        <f aca="false">IF($A925="","",IF(N(H925)=0,"",RANK(H925,$H$5:$H$2004)))</f>
        <v/>
      </c>
      <c r="J925" s="21" t="str">
        <f aca="false">IF($A925="","",IF(B925=0,"No COD orders",IF(B925&lt;Settings!$B$8,"Too few orders",IF(D925&gt;=Settings!$B$9,"Restrict COD or verify","Keep COD"))))</f>
        <v/>
      </c>
    </row>
    <row r="926" customFormat="false" ht="15" hidden="false" customHeight="false" outlineLevel="0" collapsed="false">
      <c r="A926" s="27"/>
      <c r="B926" s="17" t="str">
        <f aca="false">IF($A926="","",COUNTIFS(Orders!$C$2:$C$20001,$A926,Orders!$E$2:$E$20001,"COD",Orders!$F$2:$F$20001,"Delivered")+COUNTIFS(Orders!$C$2:$C$20001,$A926,Orders!$E$2:$E$20001,"COD",Orders!$F$2:$F$20001,"RTO"))</f>
        <v/>
      </c>
      <c r="C926" s="17" t="str">
        <f aca="false">IF($A926="","",COUNTIFS(Orders!$C$2:$C$20001,$A926,Orders!$E$2:$E$20001,"COD",Orders!$F$2:$F$20001,"RTO"))</f>
        <v/>
      </c>
      <c r="D926" s="18" t="str">
        <f aca="false">IF($A926="","",IFERROR(C926/B926,0))</f>
        <v/>
      </c>
      <c r="E926" s="17" t="str">
        <f aca="false">IF($A926="","",COUNTIFS(Orders!$C$2:$C$20001,$A926,Orders!$E$2:$E$20001,"Prepaid",Orders!$F$2:$F$20001,"Delivered")+COUNTIFS(Orders!$C$2:$C$20001,$A926,Orders!$E$2:$E$20001,"Prepaid",Orders!$F$2:$F$20001,"RTO"))</f>
        <v/>
      </c>
      <c r="F926" s="17" t="str">
        <f aca="false">IF($A926="","",COUNTIFS(Orders!$C$2:$C$20001,$A926,Orders!$E$2:$E$20001,"Prepaid",Orders!$F$2:$F$20001,"RTO"))</f>
        <v/>
      </c>
      <c r="G926" s="18" t="str">
        <f aca="false">IF($A926="","",IFERROR(F926/E926,0))</f>
        <v/>
      </c>
      <c r="H926" s="19" t="str">
        <f aca="false">IF($A926="","",C926*Settings!$B$11)</f>
        <v/>
      </c>
      <c r="I926" s="20" t="str">
        <f aca="false">IF($A926="","",IF(N(H926)=0,"",RANK(H926,$H$5:$H$2004)))</f>
        <v/>
      </c>
      <c r="J926" s="21" t="str">
        <f aca="false">IF($A926="","",IF(B926=0,"No COD orders",IF(B926&lt;Settings!$B$8,"Too few orders",IF(D926&gt;=Settings!$B$9,"Restrict COD or verify","Keep COD"))))</f>
        <v/>
      </c>
    </row>
    <row r="927" customFormat="false" ht="15" hidden="false" customHeight="false" outlineLevel="0" collapsed="false">
      <c r="A927" s="27"/>
      <c r="B927" s="17" t="str">
        <f aca="false">IF($A927="","",COUNTIFS(Orders!$C$2:$C$20001,$A927,Orders!$E$2:$E$20001,"COD",Orders!$F$2:$F$20001,"Delivered")+COUNTIFS(Orders!$C$2:$C$20001,$A927,Orders!$E$2:$E$20001,"COD",Orders!$F$2:$F$20001,"RTO"))</f>
        <v/>
      </c>
      <c r="C927" s="17" t="str">
        <f aca="false">IF($A927="","",COUNTIFS(Orders!$C$2:$C$20001,$A927,Orders!$E$2:$E$20001,"COD",Orders!$F$2:$F$20001,"RTO"))</f>
        <v/>
      </c>
      <c r="D927" s="18" t="str">
        <f aca="false">IF($A927="","",IFERROR(C927/B927,0))</f>
        <v/>
      </c>
      <c r="E927" s="17" t="str">
        <f aca="false">IF($A927="","",COUNTIFS(Orders!$C$2:$C$20001,$A927,Orders!$E$2:$E$20001,"Prepaid",Orders!$F$2:$F$20001,"Delivered")+COUNTIFS(Orders!$C$2:$C$20001,$A927,Orders!$E$2:$E$20001,"Prepaid",Orders!$F$2:$F$20001,"RTO"))</f>
        <v/>
      </c>
      <c r="F927" s="17" t="str">
        <f aca="false">IF($A927="","",COUNTIFS(Orders!$C$2:$C$20001,$A927,Orders!$E$2:$E$20001,"Prepaid",Orders!$F$2:$F$20001,"RTO"))</f>
        <v/>
      </c>
      <c r="G927" s="18" t="str">
        <f aca="false">IF($A927="","",IFERROR(F927/E927,0))</f>
        <v/>
      </c>
      <c r="H927" s="19" t="str">
        <f aca="false">IF($A927="","",C927*Settings!$B$11)</f>
        <v/>
      </c>
      <c r="I927" s="20" t="str">
        <f aca="false">IF($A927="","",IF(N(H927)=0,"",RANK(H927,$H$5:$H$2004)))</f>
        <v/>
      </c>
      <c r="J927" s="21" t="str">
        <f aca="false">IF($A927="","",IF(B927=0,"No COD orders",IF(B927&lt;Settings!$B$8,"Too few orders",IF(D927&gt;=Settings!$B$9,"Restrict COD or verify","Keep COD"))))</f>
        <v/>
      </c>
    </row>
    <row r="928" customFormat="false" ht="15" hidden="false" customHeight="false" outlineLevel="0" collapsed="false">
      <c r="A928" s="27"/>
      <c r="B928" s="17" t="str">
        <f aca="false">IF($A928="","",COUNTIFS(Orders!$C$2:$C$20001,$A928,Orders!$E$2:$E$20001,"COD",Orders!$F$2:$F$20001,"Delivered")+COUNTIFS(Orders!$C$2:$C$20001,$A928,Orders!$E$2:$E$20001,"COD",Orders!$F$2:$F$20001,"RTO"))</f>
        <v/>
      </c>
      <c r="C928" s="17" t="str">
        <f aca="false">IF($A928="","",COUNTIFS(Orders!$C$2:$C$20001,$A928,Orders!$E$2:$E$20001,"COD",Orders!$F$2:$F$20001,"RTO"))</f>
        <v/>
      </c>
      <c r="D928" s="18" t="str">
        <f aca="false">IF($A928="","",IFERROR(C928/B928,0))</f>
        <v/>
      </c>
      <c r="E928" s="17" t="str">
        <f aca="false">IF($A928="","",COUNTIFS(Orders!$C$2:$C$20001,$A928,Orders!$E$2:$E$20001,"Prepaid",Orders!$F$2:$F$20001,"Delivered")+COUNTIFS(Orders!$C$2:$C$20001,$A928,Orders!$E$2:$E$20001,"Prepaid",Orders!$F$2:$F$20001,"RTO"))</f>
        <v/>
      </c>
      <c r="F928" s="17" t="str">
        <f aca="false">IF($A928="","",COUNTIFS(Orders!$C$2:$C$20001,$A928,Orders!$E$2:$E$20001,"Prepaid",Orders!$F$2:$F$20001,"RTO"))</f>
        <v/>
      </c>
      <c r="G928" s="18" t="str">
        <f aca="false">IF($A928="","",IFERROR(F928/E928,0))</f>
        <v/>
      </c>
      <c r="H928" s="19" t="str">
        <f aca="false">IF($A928="","",C928*Settings!$B$11)</f>
        <v/>
      </c>
      <c r="I928" s="20" t="str">
        <f aca="false">IF($A928="","",IF(N(H928)=0,"",RANK(H928,$H$5:$H$2004)))</f>
        <v/>
      </c>
      <c r="J928" s="21" t="str">
        <f aca="false">IF($A928="","",IF(B928=0,"No COD orders",IF(B928&lt;Settings!$B$8,"Too few orders",IF(D928&gt;=Settings!$B$9,"Restrict COD or verify","Keep COD"))))</f>
        <v/>
      </c>
    </row>
    <row r="929" customFormat="false" ht="15" hidden="false" customHeight="false" outlineLevel="0" collapsed="false">
      <c r="A929" s="27"/>
      <c r="B929" s="17" t="str">
        <f aca="false">IF($A929="","",COUNTIFS(Orders!$C$2:$C$20001,$A929,Orders!$E$2:$E$20001,"COD",Orders!$F$2:$F$20001,"Delivered")+COUNTIFS(Orders!$C$2:$C$20001,$A929,Orders!$E$2:$E$20001,"COD",Orders!$F$2:$F$20001,"RTO"))</f>
        <v/>
      </c>
      <c r="C929" s="17" t="str">
        <f aca="false">IF($A929="","",COUNTIFS(Orders!$C$2:$C$20001,$A929,Orders!$E$2:$E$20001,"COD",Orders!$F$2:$F$20001,"RTO"))</f>
        <v/>
      </c>
      <c r="D929" s="18" t="str">
        <f aca="false">IF($A929="","",IFERROR(C929/B929,0))</f>
        <v/>
      </c>
      <c r="E929" s="17" t="str">
        <f aca="false">IF($A929="","",COUNTIFS(Orders!$C$2:$C$20001,$A929,Orders!$E$2:$E$20001,"Prepaid",Orders!$F$2:$F$20001,"Delivered")+COUNTIFS(Orders!$C$2:$C$20001,$A929,Orders!$E$2:$E$20001,"Prepaid",Orders!$F$2:$F$20001,"RTO"))</f>
        <v/>
      </c>
      <c r="F929" s="17" t="str">
        <f aca="false">IF($A929="","",COUNTIFS(Orders!$C$2:$C$20001,$A929,Orders!$E$2:$E$20001,"Prepaid",Orders!$F$2:$F$20001,"RTO"))</f>
        <v/>
      </c>
      <c r="G929" s="18" t="str">
        <f aca="false">IF($A929="","",IFERROR(F929/E929,0))</f>
        <v/>
      </c>
      <c r="H929" s="19" t="str">
        <f aca="false">IF($A929="","",C929*Settings!$B$11)</f>
        <v/>
      </c>
      <c r="I929" s="20" t="str">
        <f aca="false">IF($A929="","",IF(N(H929)=0,"",RANK(H929,$H$5:$H$2004)))</f>
        <v/>
      </c>
      <c r="J929" s="21" t="str">
        <f aca="false">IF($A929="","",IF(B929=0,"No COD orders",IF(B929&lt;Settings!$B$8,"Too few orders",IF(D929&gt;=Settings!$B$9,"Restrict COD or verify","Keep COD"))))</f>
        <v/>
      </c>
    </row>
    <row r="930" customFormat="false" ht="15" hidden="false" customHeight="false" outlineLevel="0" collapsed="false">
      <c r="A930" s="27"/>
      <c r="B930" s="17" t="str">
        <f aca="false">IF($A930="","",COUNTIFS(Orders!$C$2:$C$20001,$A930,Orders!$E$2:$E$20001,"COD",Orders!$F$2:$F$20001,"Delivered")+COUNTIFS(Orders!$C$2:$C$20001,$A930,Orders!$E$2:$E$20001,"COD",Orders!$F$2:$F$20001,"RTO"))</f>
        <v/>
      </c>
      <c r="C930" s="17" t="str">
        <f aca="false">IF($A930="","",COUNTIFS(Orders!$C$2:$C$20001,$A930,Orders!$E$2:$E$20001,"COD",Orders!$F$2:$F$20001,"RTO"))</f>
        <v/>
      </c>
      <c r="D930" s="18" t="str">
        <f aca="false">IF($A930="","",IFERROR(C930/B930,0))</f>
        <v/>
      </c>
      <c r="E930" s="17" t="str">
        <f aca="false">IF($A930="","",COUNTIFS(Orders!$C$2:$C$20001,$A930,Orders!$E$2:$E$20001,"Prepaid",Orders!$F$2:$F$20001,"Delivered")+COUNTIFS(Orders!$C$2:$C$20001,$A930,Orders!$E$2:$E$20001,"Prepaid",Orders!$F$2:$F$20001,"RTO"))</f>
        <v/>
      </c>
      <c r="F930" s="17" t="str">
        <f aca="false">IF($A930="","",COUNTIFS(Orders!$C$2:$C$20001,$A930,Orders!$E$2:$E$20001,"Prepaid",Orders!$F$2:$F$20001,"RTO"))</f>
        <v/>
      </c>
      <c r="G930" s="18" t="str">
        <f aca="false">IF($A930="","",IFERROR(F930/E930,0))</f>
        <v/>
      </c>
      <c r="H930" s="19" t="str">
        <f aca="false">IF($A930="","",C930*Settings!$B$11)</f>
        <v/>
      </c>
      <c r="I930" s="20" t="str">
        <f aca="false">IF($A930="","",IF(N(H930)=0,"",RANK(H930,$H$5:$H$2004)))</f>
        <v/>
      </c>
      <c r="J930" s="21" t="str">
        <f aca="false">IF($A930="","",IF(B930=0,"No COD orders",IF(B930&lt;Settings!$B$8,"Too few orders",IF(D930&gt;=Settings!$B$9,"Restrict COD or verify","Keep COD"))))</f>
        <v/>
      </c>
    </row>
    <row r="931" customFormat="false" ht="15" hidden="false" customHeight="false" outlineLevel="0" collapsed="false">
      <c r="A931" s="27"/>
      <c r="B931" s="17" t="str">
        <f aca="false">IF($A931="","",COUNTIFS(Orders!$C$2:$C$20001,$A931,Orders!$E$2:$E$20001,"COD",Orders!$F$2:$F$20001,"Delivered")+COUNTIFS(Orders!$C$2:$C$20001,$A931,Orders!$E$2:$E$20001,"COD",Orders!$F$2:$F$20001,"RTO"))</f>
        <v/>
      </c>
      <c r="C931" s="17" t="str">
        <f aca="false">IF($A931="","",COUNTIFS(Orders!$C$2:$C$20001,$A931,Orders!$E$2:$E$20001,"COD",Orders!$F$2:$F$20001,"RTO"))</f>
        <v/>
      </c>
      <c r="D931" s="18" t="str">
        <f aca="false">IF($A931="","",IFERROR(C931/B931,0))</f>
        <v/>
      </c>
      <c r="E931" s="17" t="str">
        <f aca="false">IF($A931="","",COUNTIFS(Orders!$C$2:$C$20001,$A931,Orders!$E$2:$E$20001,"Prepaid",Orders!$F$2:$F$20001,"Delivered")+COUNTIFS(Orders!$C$2:$C$20001,$A931,Orders!$E$2:$E$20001,"Prepaid",Orders!$F$2:$F$20001,"RTO"))</f>
        <v/>
      </c>
      <c r="F931" s="17" t="str">
        <f aca="false">IF($A931="","",COUNTIFS(Orders!$C$2:$C$20001,$A931,Orders!$E$2:$E$20001,"Prepaid",Orders!$F$2:$F$20001,"RTO"))</f>
        <v/>
      </c>
      <c r="G931" s="18" t="str">
        <f aca="false">IF($A931="","",IFERROR(F931/E931,0))</f>
        <v/>
      </c>
      <c r="H931" s="19" t="str">
        <f aca="false">IF($A931="","",C931*Settings!$B$11)</f>
        <v/>
      </c>
      <c r="I931" s="20" t="str">
        <f aca="false">IF($A931="","",IF(N(H931)=0,"",RANK(H931,$H$5:$H$2004)))</f>
        <v/>
      </c>
      <c r="J931" s="21" t="str">
        <f aca="false">IF($A931="","",IF(B931=0,"No COD orders",IF(B931&lt;Settings!$B$8,"Too few orders",IF(D931&gt;=Settings!$B$9,"Restrict COD or verify","Keep COD"))))</f>
        <v/>
      </c>
    </row>
    <row r="932" customFormat="false" ht="15" hidden="false" customHeight="false" outlineLevel="0" collapsed="false">
      <c r="A932" s="27"/>
      <c r="B932" s="17" t="str">
        <f aca="false">IF($A932="","",COUNTIFS(Orders!$C$2:$C$20001,$A932,Orders!$E$2:$E$20001,"COD",Orders!$F$2:$F$20001,"Delivered")+COUNTIFS(Orders!$C$2:$C$20001,$A932,Orders!$E$2:$E$20001,"COD",Orders!$F$2:$F$20001,"RTO"))</f>
        <v/>
      </c>
      <c r="C932" s="17" t="str">
        <f aca="false">IF($A932="","",COUNTIFS(Orders!$C$2:$C$20001,$A932,Orders!$E$2:$E$20001,"COD",Orders!$F$2:$F$20001,"RTO"))</f>
        <v/>
      </c>
      <c r="D932" s="18" t="str">
        <f aca="false">IF($A932="","",IFERROR(C932/B932,0))</f>
        <v/>
      </c>
      <c r="E932" s="17" t="str">
        <f aca="false">IF($A932="","",COUNTIFS(Orders!$C$2:$C$20001,$A932,Orders!$E$2:$E$20001,"Prepaid",Orders!$F$2:$F$20001,"Delivered")+COUNTIFS(Orders!$C$2:$C$20001,$A932,Orders!$E$2:$E$20001,"Prepaid",Orders!$F$2:$F$20001,"RTO"))</f>
        <v/>
      </c>
      <c r="F932" s="17" t="str">
        <f aca="false">IF($A932="","",COUNTIFS(Orders!$C$2:$C$20001,$A932,Orders!$E$2:$E$20001,"Prepaid",Orders!$F$2:$F$20001,"RTO"))</f>
        <v/>
      </c>
      <c r="G932" s="18" t="str">
        <f aca="false">IF($A932="","",IFERROR(F932/E932,0))</f>
        <v/>
      </c>
      <c r="H932" s="19" t="str">
        <f aca="false">IF($A932="","",C932*Settings!$B$11)</f>
        <v/>
      </c>
      <c r="I932" s="20" t="str">
        <f aca="false">IF($A932="","",IF(N(H932)=0,"",RANK(H932,$H$5:$H$2004)))</f>
        <v/>
      </c>
      <c r="J932" s="21" t="str">
        <f aca="false">IF($A932="","",IF(B932=0,"No COD orders",IF(B932&lt;Settings!$B$8,"Too few orders",IF(D932&gt;=Settings!$B$9,"Restrict COD or verify","Keep COD"))))</f>
        <v/>
      </c>
    </row>
    <row r="933" customFormat="false" ht="15" hidden="false" customHeight="false" outlineLevel="0" collapsed="false">
      <c r="A933" s="27"/>
      <c r="B933" s="17" t="str">
        <f aca="false">IF($A933="","",COUNTIFS(Orders!$C$2:$C$20001,$A933,Orders!$E$2:$E$20001,"COD",Orders!$F$2:$F$20001,"Delivered")+COUNTIFS(Orders!$C$2:$C$20001,$A933,Orders!$E$2:$E$20001,"COD",Orders!$F$2:$F$20001,"RTO"))</f>
        <v/>
      </c>
      <c r="C933" s="17" t="str">
        <f aca="false">IF($A933="","",COUNTIFS(Orders!$C$2:$C$20001,$A933,Orders!$E$2:$E$20001,"COD",Orders!$F$2:$F$20001,"RTO"))</f>
        <v/>
      </c>
      <c r="D933" s="18" t="str">
        <f aca="false">IF($A933="","",IFERROR(C933/B933,0))</f>
        <v/>
      </c>
      <c r="E933" s="17" t="str">
        <f aca="false">IF($A933="","",COUNTIFS(Orders!$C$2:$C$20001,$A933,Orders!$E$2:$E$20001,"Prepaid",Orders!$F$2:$F$20001,"Delivered")+COUNTIFS(Orders!$C$2:$C$20001,$A933,Orders!$E$2:$E$20001,"Prepaid",Orders!$F$2:$F$20001,"RTO"))</f>
        <v/>
      </c>
      <c r="F933" s="17" t="str">
        <f aca="false">IF($A933="","",COUNTIFS(Orders!$C$2:$C$20001,$A933,Orders!$E$2:$E$20001,"Prepaid",Orders!$F$2:$F$20001,"RTO"))</f>
        <v/>
      </c>
      <c r="G933" s="18" t="str">
        <f aca="false">IF($A933="","",IFERROR(F933/E933,0))</f>
        <v/>
      </c>
      <c r="H933" s="19" t="str">
        <f aca="false">IF($A933="","",C933*Settings!$B$11)</f>
        <v/>
      </c>
      <c r="I933" s="20" t="str">
        <f aca="false">IF($A933="","",IF(N(H933)=0,"",RANK(H933,$H$5:$H$2004)))</f>
        <v/>
      </c>
      <c r="J933" s="21" t="str">
        <f aca="false">IF($A933="","",IF(B933=0,"No COD orders",IF(B933&lt;Settings!$B$8,"Too few orders",IF(D933&gt;=Settings!$B$9,"Restrict COD or verify","Keep COD"))))</f>
        <v/>
      </c>
    </row>
    <row r="934" customFormat="false" ht="15" hidden="false" customHeight="false" outlineLevel="0" collapsed="false">
      <c r="A934" s="27"/>
      <c r="B934" s="17" t="str">
        <f aca="false">IF($A934="","",COUNTIFS(Orders!$C$2:$C$20001,$A934,Orders!$E$2:$E$20001,"COD",Orders!$F$2:$F$20001,"Delivered")+COUNTIFS(Orders!$C$2:$C$20001,$A934,Orders!$E$2:$E$20001,"COD",Orders!$F$2:$F$20001,"RTO"))</f>
        <v/>
      </c>
      <c r="C934" s="17" t="str">
        <f aca="false">IF($A934="","",COUNTIFS(Orders!$C$2:$C$20001,$A934,Orders!$E$2:$E$20001,"COD",Orders!$F$2:$F$20001,"RTO"))</f>
        <v/>
      </c>
      <c r="D934" s="18" t="str">
        <f aca="false">IF($A934="","",IFERROR(C934/B934,0))</f>
        <v/>
      </c>
      <c r="E934" s="17" t="str">
        <f aca="false">IF($A934="","",COUNTIFS(Orders!$C$2:$C$20001,$A934,Orders!$E$2:$E$20001,"Prepaid",Orders!$F$2:$F$20001,"Delivered")+COUNTIFS(Orders!$C$2:$C$20001,$A934,Orders!$E$2:$E$20001,"Prepaid",Orders!$F$2:$F$20001,"RTO"))</f>
        <v/>
      </c>
      <c r="F934" s="17" t="str">
        <f aca="false">IF($A934="","",COUNTIFS(Orders!$C$2:$C$20001,$A934,Orders!$E$2:$E$20001,"Prepaid",Orders!$F$2:$F$20001,"RTO"))</f>
        <v/>
      </c>
      <c r="G934" s="18" t="str">
        <f aca="false">IF($A934="","",IFERROR(F934/E934,0))</f>
        <v/>
      </c>
      <c r="H934" s="19" t="str">
        <f aca="false">IF($A934="","",C934*Settings!$B$11)</f>
        <v/>
      </c>
      <c r="I934" s="20" t="str">
        <f aca="false">IF($A934="","",IF(N(H934)=0,"",RANK(H934,$H$5:$H$2004)))</f>
        <v/>
      </c>
      <c r="J934" s="21" t="str">
        <f aca="false">IF($A934="","",IF(B934=0,"No COD orders",IF(B934&lt;Settings!$B$8,"Too few orders",IF(D934&gt;=Settings!$B$9,"Restrict COD or verify","Keep COD"))))</f>
        <v/>
      </c>
    </row>
    <row r="935" customFormat="false" ht="15" hidden="false" customHeight="false" outlineLevel="0" collapsed="false">
      <c r="A935" s="27"/>
      <c r="B935" s="17" t="str">
        <f aca="false">IF($A935="","",COUNTIFS(Orders!$C$2:$C$20001,$A935,Orders!$E$2:$E$20001,"COD",Orders!$F$2:$F$20001,"Delivered")+COUNTIFS(Orders!$C$2:$C$20001,$A935,Orders!$E$2:$E$20001,"COD",Orders!$F$2:$F$20001,"RTO"))</f>
        <v/>
      </c>
      <c r="C935" s="17" t="str">
        <f aca="false">IF($A935="","",COUNTIFS(Orders!$C$2:$C$20001,$A935,Orders!$E$2:$E$20001,"COD",Orders!$F$2:$F$20001,"RTO"))</f>
        <v/>
      </c>
      <c r="D935" s="18" t="str">
        <f aca="false">IF($A935="","",IFERROR(C935/B935,0))</f>
        <v/>
      </c>
      <c r="E935" s="17" t="str">
        <f aca="false">IF($A935="","",COUNTIFS(Orders!$C$2:$C$20001,$A935,Orders!$E$2:$E$20001,"Prepaid",Orders!$F$2:$F$20001,"Delivered")+COUNTIFS(Orders!$C$2:$C$20001,$A935,Orders!$E$2:$E$20001,"Prepaid",Orders!$F$2:$F$20001,"RTO"))</f>
        <v/>
      </c>
      <c r="F935" s="17" t="str">
        <f aca="false">IF($A935="","",COUNTIFS(Orders!$C$2:$C$20001,$A935,Orders!$E$2:$E$20001,"Prepaid",Orders!$F$2:$F$20001,"RTO"))</f>
        <v/>
      </c>
      <c r="G935" s="18" t="str">
        <f aca="false">IF($A935="","",IFERROR(F935/E935,0))</f>
        <v/>
      </c>
      <c r="H935" s="19" t="str">
        <f aca="false">IF($A935="","",C935*Settings!$B$11)</f>
        <v/>
      </c>
      <c r="I935" s="20" t="str">
        <f aca="false">IF($A935="","",IF(N(H935)=0,"",RANK(H935,$H$5:$H$2004)))</f>
        <v/>
      </c>
      <c r="J935" s="21" t="str">
        <f aca="false">IF($A935="","",IF(B935=0,"No COD orders",IF(B935&lt;Settings!$B$8,"Too few orders",IF(D935&gt;=Settings!$B$9,"Restrict COD or verify","Keep COD"))))</f>
        <v/>
      </c>
    </row>
    <row r="936" customFormat="false" ht="15" hidden="false" customHeight="false" outlineLevel="0" collapsed="false">
      <c r="A936" s="27"/>
      <c r="B936" s="17" t="str">
        <f aca="false">IF($A936="","",COUNTIFS(Orders!$C$2:$C$20001,$A936,Orders!$E$2:$E$20001,"COD",Orders!$F$2:$F$20001,"Delivered")+COUNTIFS(Orders!$C$2:$C$20001,$A936,Orders!$E$2:$E$20001,"COD",Orders!$F$2:$F$20001,"RTO"))</f>
        <v/>
      </c>
      <c r="C936" s="17" t="str">
        <f aca="false">IF($A936="","",COUNTIFS(Orders!$C$2:$C$20001,$A936,Orders!$E$2:$E$20001,"COD",Orders!$F$2:$F$20001,"RTO"))</f>
        <v/>
      </c>
      <c r="D936" s="18" t="str">
        <f aca="false">IF($A936="","",IFERROR(C936/B936,0))</f>
        <v/>
      </c>
      <c r="E936" s="17" t="str">
        <f aca="false">IF($A936="","",COUNTIFS(Orders!$C$2:$C$20001,$A936,Orders!$E$2:$E$20001,"Prepaid",Orders!$F$2:$F$20001,"Delivered")+COUNTIFS(Orders!$C$2:$C$20001,$A936,Orders!$E$2:$E$20001,"Prepaid",Orders!$F$2:$F$20001,"RTO"))</f>
        <v/>
      </c>
      <c r="F936" s="17" t="str">
        <f aca="false">IF($A936="","",COUNTIFS(Orders!$C$2:$C$20001,$A936,Orders!$E$2:$E$20001,"Prepaid",Orders!$F$2:$F$20001,"RTO"))</f>
        <v/>
      </c>
      <c r="G936" s="18" t="str">
        <f aca="false">IF($A936="","",IFERROR(F936/E936,0))</f>
        <v/>
      </c>
      <c r="H936" s="19" t="str">
        <f aca="false">IF($A936="","",C936*Settings!$B$11)</f>
        <v/>
      </c>
      <c r="I936" s="20" t="str">
        <f aca="false">IF($A936="","",IF(N(H936)=0,"",RANK(H936,$H$5:$H$2004)))</f>
        <v/>
      </c>
      <c r="J936" s="21" t="str">
        <f aca="false">IF($A936="","",IF(B936=0,"No COD orders",IF(B936&lt;Settings!$B$8,"Too few orders",IF(D936&gt;=Settings!$B$9,"Restrict COD or verify","Keep COD"))))</f>
        <v/>
      </c>
    </row>
    <row r="937" customFormat="false" ht="15" hidden="false" customHeight="false" outlineLevel="0" collapsed="false">
      <c r="A937" s="27"/>
      <c r="B937" s="17" t="str">
        <f aca="false">IF($A937="","",COUNTIFS(Orders!$C$2:$C$20001,$A937,Orders!$E$2:$E$20001,"COD",Orders!$F$2:$F$20001,"Delivered")+COUNTIFS(Orders!$C$2:$C$20001,$A937,Orders!$E$2:$E$20001,"COD",Orders!$F$2:$F$20001,"RTO"))</f>
        <v/>
      </c>
      <c r="C937" s="17" t="str">
        <f aca="false">IF($A937="","",COUNTIFS(Orders!$C$2:$C$20001,$A937,Orders!$E$2:$E$20001,"COD",Orders!$F$2:$F$20001,"RTO"))</f>
        <v/>
      </c>
      <c r="D937" s="18" t="str">
        <f aca="false">IF($A937="","",IFERROR(C937/B937,0))</f>
        <v/>
      </c>
      <c r="E937" s="17" t="str">
        <f aca="false">IF($A937="","",COUNTIFS(Orders!$C$2:$C$20001,$A937,Orders!$E$2:$E$20001,"Prepaid",Orders!$F$2:$F$20001,"Delivered")+COUNTIFS(Orders!$C$2:$C$20001,$A937,Orders!$E$2:$E$20001,"Prepaid",Orders!$F$2:$F$20001,"RTO"))</f>
        <v/>
      </c>
      <c r="F937" s="17" t="str">
        <f aca="false">IF($A937="","",COUNTIFS(Orders!$C$2:$C$20001,$A937,Orders!$E$2:$E$20001,"Prepaid",Orders!$F$2:$F$20001,"RTO"))</f>
        <v/>
      </c>
      <c r="G937" s="18" t="str">
        <f aca="false">IF($A937="","",IFERROR(F937/E937,0))</f>
        <v/>
      </c>
      <c r="H937" s="19" t="str">
        <f aca="false">IF($A937="","",C937*Settings!$B$11)</f>
        <v/>
      </c>
      <c r="I937" s="20" t="str">
        <f aca="false">IF($A937="","",IF(N(H937)=0,"",RANK(H937,$H$5:$H$2004)))</f>
        <v/>
      </c>
      <c r="J937" s="21" t="str">
        <f aca="false">IF($A937="","",IF(B937=0,"No COD orders",IF(B937&lt;Settings!$B$8,"Too few orders",IF(D937&gt;=Settings!$B$9,"Restrict COD or verify","Keep COD"))))</f>
        <v/>
      </c>
    </row>
    <row r="938" customFormat="false" ht="15" hidden="false" customHeight="false" outlineLevel="0" collapsed="false">
      <c r="A938" s="27"/>
      <c r="B938" s="17" t="str">
        <f aca="false">IF($A938="","",COUNTIFS(Orders!$C$2:$C$20001,$A938,Orders!$E$2:$E$20001,"COD",Orders!$F$2:$F$20001,"Delivered")+COUNTIFS(Orders!$C$2:$C$20001,$A938,Orders!$E$2:$E$20001,"COD",Orders!$F$2:$F$20001,"RTO"))</f>
        <v/>
      </c>
      <c r="C938" s="17" t="str">
        <f aca="false">IF($A938="","",COUNTIFS(Orders!$C$2:$C$20001,$A938,Orders!$E$2:$E$20001,"COD",Orders!$F$2:$F$20001,"RTO"))</f>
        <v/>
      </c>
      <c r="D938" s="18" t="str">
        <f aca="false">IF($A938="","",IFERROR(C938/B938,0))</f>
        <v/>
      </c>
      <c r="E938" s="17" t="str">
        <f aca="false">IF($A938="","",COUNTIFS(Orders!$C$2:$C$20001,$A938,Orders!$E$2:$E$20001,"Prepaid",Orders!$F$2:$F$20001,"Delivered")+COUNTIFS(Orders!$C$2:$C$20001,$A938,Orders!$E$2:$E$20001,"Prepaid",Orders!$F$2:$F$20001,"RTO"))</f>
        <v/>
      </c>
      <c r="F938" s="17" t="str">
        <f aca="false">IF($A938="","",COUNTIFS(Orders!$C$2:$C$20001,$A938,Orders!$E$2:$E$20001,"Prepaid",Orders!$F$2:$F$20001,"RTO"))</f>
        <v/>
      </c>
      <c r="G938" s="18" t="str">
        <f aca="false">IF($A938="","",IFERROR(F938/E938,0))</f>
        <v/>
      </c>
      <c r="H938" s="19" t="str">
        <f aca="false">IF($A938="","",C938*Settings!$B$11)</f>
        <v/>
      </c>
      <c r="I938" s="20" t="str">
        <f aca="false">IF($A938="","",IF(N(H938)=0,"",RANK(H938,$H$5:$H$2004)))</f>
        <v/>
      </c>
      <c r="J938" s="21" t="str">
        <f aca="false">IF($A938="","",IF(B938=0,"No COD orders",IF(B938&lt;Settings!$B$8,"Too few orders",IF(D938&gt;=Settings!$B$9,"Restrict COD or verify","Keep COD"))))</f>
        <v/>
      </c>
    </row>
    <row r="939" customFormat="false" ht="15" hidden="false" customHeight="false" outlineLevel="0" collapsed="false">
      <c r="A939" s="27"/>
      <c r="B939" s="17" t="str">
        <f aca="false">IF($A939="","",COUNTIFS(Orders!$C$2:$C$20001,$A939,Orders!$E$2:$E$20001,"COD",Orders!$F$2:$F$20001,"Delivered")+COUNTIFS(Orders!$C$2:$C$20001,$A939,Orders!$E$2:$E$20001,"COD",Orders!$F$2:$F$20001,"RTO"))</f>
        <v/>
      </c>
      <c r="C939" s="17" t="str">
        <f aca="false">IF($A939="","",COUNTIFS(Orders!$C$2:$C$20001,$A939,Orders!$E$2:$E$20001,"COD",Orders!$F$2:$F$20001,"RTO"))</f>
        <v/>
      </c>
      <c r="D939" s="18" t="str">
        <f aca="false">IF($A939="","",IFERROR(C939/B939,0))</f>
        <v/>
      </c>
      <c r="E939" s="17" t="str">
        <f aca="false">IF($A939="","",COUNTIFS(Orders!$C$2:$C$20001,$A939,Orders!$E$2:$E$20001,"Prepaid",Orders!$F$2:$F$20001,"Delivered")+COUNTIFS(Orders!$C$2:$C$20001,$A939,Orders!$E$2:$E$20001,"Prepaid",Orders!$F$2:$F$20001,"RTO"))</f>
        <v/>
      </c>
      <c r="F939" s="17" t="str">
        <f aca="false">IF($A939="","",COUNTIFS(Orders!$C$2:$C$20001,$A939,Orders!$E$2:$E$20001,"Prepaid",Orders!$F$2:$F$20001,"RTO"))</f>
        <v/>
      </c>
      <c r="G939" s="18" t="str">
        <f aca="false">IF($A939="","",IFERROR(F939/E939,0))</f>
        <v/>
      </c>
      <c r="H939" s="19" t="str">
        <f aca="false">IF($A939="","",C939*Settings!$B$11)</f>
        <v/>
      </c>
      <c r="I939" s="20" t="str">
        <f aca="false">IF($A939="","",IF(N(H939)=0,"",RANK(H939,$H$5:$H$2004)))</f>
        <v/>
      </c>
      <c r="J939" s="21" t="str">
        <f aca="false">IF($A939="","",IF(B939=0,"No COD orders",IF(B939&lt;Settings!$B$8,"Too few orders",IF(D939&gt;=Settings!$B$9,"Restrict COD or verify","Keep COD"))))</f>
        <v/>
      </c>
    </row>
    <row r="940" customFormat="false" ht="15" hidden="false" customHeight="false" outlineLevel="0" collapsed="false">
      <c r="A940" s="27"/>
      <c r="B940" s="17" t="str">
        <f aca="false">IF($A940="","",COUNTIFS(Orders!$C$2:$C$20001,$A940,Orders!$E$2:$E$20001,"COD",Orders!$F$2:$F$20001,"Delivered")+COUNTIFS(Orders!$C$2:$C$20001,$A940,Orders!$E$2:$E$20001,"COD",Orders!$F$2:$F$20001,"RTO"))</f>
        <v/>
      </c>
      <c r="C940" s="17" t="str">
        <f aca="false">IF($A940="","",COUNTIFS(Orders!$C$2:$C$20001,$A940,Orders!$E$2:$E$20001,"COD",Orders!$F$2:$F$20001,"RTO"))</f>
        <v/>
      </c>
      <c r="D940" s="18" t="str">
        <f aca="false">IF($A940="","",IFERROR(C940/B940,0))</f>
        <v/>
      </c>
      <c r="E940" s="17" t="str">
        <f aca="false">IF($A940="","",COUNTIFS(Orders!$C$2:$C$20001,$A940,Orders!$E$2:$E$20001,"Prepaid",Orders!$F$2:$F$20001,"Delivered")+COUNTIFS(Orders!$C$2:$C$20001,$A940,Orders!$E$2:$E$20001,"Prepaid",Orders!$F$2:$F$20001,"RTO"))</f>
        <v/>
      </c>
      <c r="F940" s="17" t="str">
        <f aca="false">IF($A940="","",COUNTIFS(Orders!$C$2:$C$20001,$A940,Orders!$E$2:$E$20001,"Prepaid",Orders!$F$2:$F$20001,"RTO"))</f>
        <v/>
      </c>
      <c r="G940" s="18" t="str">
        <f aca="false">IF($A940="","",IFERROR(F940/E940,0))</f>
        <v/>
      </c>
      <c r="H940" s="19" t="str">
        <f aca="false">IF($A940="","",C940*Settings!$B$11)</f>
        <v/>
      </c>
      <c r="I940" s="20" t="str">
        <f aca="false">IF($A940="","",IF(N(H940)=0,"",RANK(H940,$H$5:$H$2004)))</f>
        <v/>
      </c>
      <c r="J940" s="21" t="str">
        <f aca="false">IF($A940="","",IF(B940=0,"No COD orders",IF(B940&lt;Settings!$B$8,"Too few orders",IF(D940&gt;=Settings!$B$9,"Restrict COD or verify","Keep COD"))))</f>
        <v/>
      </c>
    </row>
    <row r="941" customFormat="false" ht="15" hidden="false" customHeight="false" outlineLevel="0" collapsed="false">
      <c r="A941" s="27"/>
      <c r="B941" s="17" t="str">
        <f aca="false">IF($A941="","",COUNTIFS(Orders!$C$2:$C$20001,$A941,Orders!$E$2:$E$20001,"COD",Orders!$F$2:$F$20001,"Delivered")+COUNTIFS(Orders!$C$2:$C$20001,$A941,Orders!$E$2:$E$20001,"COD",Orders!$F$2:$F$20001,"RTO"))</f>
        <v/>
      </c>
      <c r="C941" s="17" t="str">
        <f aca="false">IF($A941="","",COUNTIFS(Orders!$C$2:$C$20001,$A941,Orders!$E$2:$E$20001,"COD",Orders!$F$2:$F$20001,"RTO"))</f>
        <v/>
      </c>
      <c r="D941" s="18" t="str">
        <f aca="false">IF($A941="","",IFERROR(C941/B941,0))</f>
        <v/>
      </c>
      <c r="E941" s="17" t="str">
        <f aca="false">IF($A941="","",COUNTIFS(Orders!$C$2:$C$20001,$A941,Orders!$E$2:$E$20001,"Prepaid",Orders!$F$2:$F$20001,"Delivered")+COUNTIFS(Orders!$C$2:$C$20001,$A941,Orders!$E$2:$E$20001,"Prepaid",Orders!$F$2:$F$20001,"RTO"))</f>
        <v/>
      </c>
      <c r="F941" s="17" t="str">
        <f aca="false">IF($A941="","",COUNTIFS(Orders!$C$2:$C$20001,$A941,Orders!$E$2:$E$20001,"Prepaid",Orders!$F$2:$F$20001,"RTO"))</f>
        <v/>
      </c>
      <c r="G941" s="18" t="str">
        <f aca="false">IF($A941="","",IFERROR(F941/E941,0))</f>
        <v/>
      </c>
      <c r="H941" s="19" t="str">
        <f aca="false">IF($A941="","",C941*Settings!$B$11)</f>
        <v/>
      </c>
      <c r="I941" s="20" t="str">
        <f aca="false">IF($A941="","",IF(N(H941)=0,"",RANK(H941,$H$5:$H$2004)))</f>
        <v/>
      </c>
      <c r="J941" s="21" t="str">
        <f aca="false">IF($A941="","",IF(B941=0,"No COD orders",IF(B941&lt;Settings!$B$8,"Too few orders",IF(D941&gt;=Settings!$B$9,"Restrict COD or verify","Keep COD"))))</f>
        <v/>
      </c>
    </row>
    <row r="942" customFormat="false" ht="15" hidden="false" customHeight="false" outlineLevel="0" collapsed="false">
      <c r="A942" s="27"/>
      <c r="B942" s="17" t="str">
        <f aca="false">IF($A942="","",COUNTIFS(Orders!$C$2:$C$20001,$A942,Orders!$E$2:$E$20001,"COD",Orders!$F$2:$F$20001,"Delivered")+COUNTIFS(Orders!$C$2:$C$20001,$A942,Orders!$E$2:$E$20001,"COD",Orders!$F$2:$F$20001,"RTO"))</f>
        <v/>
      </c>
      <c r="C942" s="17" t="str">
        <f aca="false">IF($A942="","",COUNTIFS(Orders!$C$2:$C$20001,$A942,Orders!$E$2:$E$20001,"COD",Orders!$F$2:$F$20001,"RTO"))</f>
        <v/>
      </c>
      <c r="D942" s="18" t="str">
        <f aca="false">IF($A942="","",IFERROR(C942/B942,0))</f>
        <v/>
      </c>
      <c r="E942" s="17" t="str">
        <f aca="false">IF($A942="","",COUNTIFS(Orders!$C$2:$C$20001,$A942,Orders!$E$2:$E$20001,"Prepaid",Orders!$F$2:$F$20001,"Delivered")+COUNTIFS(Orders!$C$2:$C$20001,$A942,Orders!$E$2:$E$20001,"Prepaid",Orders!$F$2:$F$20001,"RTO"))</f>
        <v/>
      </c>
      <c r="F942" s="17" t="str">
        <f aca="false">IF($A942="","",COUNTIFS(Orders!$C$2:$C$20001,$A942,Orders!$E$2:$E$20001,"Prepaid",Orders!$F$2:$F$20001,"RTO"))</f>
        <v/>
      </c>
      <c r="G942" s="18" t="str">
        <f aca="false">IF($A942="","",IFERROR(F942/E942,0))</f>
        <v/>
      </c>
      <c r="H942" s="19" t="str">
        <f aca="false">IF($A942="","",C942*Settings!$B$11)</f>
        <v/>
      </c>
      <c r="I942" s="20" t="str">
        <f aca="false">IF($A942="","",IF(N(H942)=0,"",RANK(H942,$H$5:$H$2004)))</f>
        <v/>
      </c>
      <c r="J942" s="21" t="str">
        <f aca="false">IF($A942="","",IF(B942=0,"No COD orders",IF(B942&lt;Settings!$B$8,"Too few orders",IF(D942&gt;=Settings!$B$9,"Restrict COD or verify","Keep COD"))))</f>
        <v/>
      </c>
    </row>
    <row r="943" customFormat="false" ht="15" hidden="false" customHeight="false" outlineLevel="0" collapsed="false">
      <c r="A943" s="27"/>
      <c r="B943" s="17" t="str">
        <f aca="false">IF($A943="","",COUNTIFS(Orders!$C$2:$C$20001,$A943,Orders!$E$2:$E$20001,"COD",Orders!$F$2:$F$20001,"Delivered")+COUNTIFS(Orders!$C$2:$C$20001,$A943,Orders!$E$2:$E$20001,"COD",Orders!$F$2:$F$20001,"RTO"))</f>
        <v/>
      </c>
      <c r="C943" s="17" t="str">
        <f aca="false">IF($A943="","",COUNTIFS(Orders!$C$2:$C$20001,$A943,Orders!$E$2:$E$20001,"COD",Orders!$F$2:$F$20001,"RTO"))</f>
        <v/>
      </c>
      <c r="D943" s="18" t="str">
        <f aca="false">IF($A943="","",IFERROR(C943/B943,0))</f>
        <v/>
      </c>
      <c r="E943" s="17" t="str">
        <f aca="false">IF($A943="","",COUNTIFS(Orders!$C$2:$C$20001,$A943,Orders!$E$2:$E$20001,"Prepaid",Orders!$F$2:$F$20001,"Delivered")+COUNTIFS(Orders!$C$2:$C$20001,$A943,Orders!$E$2:$E$20001,"Prepaid",Orders!$F$2:$F$20001,"RTO"))</f>
        <v/>
      </c>
      <c r="F943" s="17" t="str">
        <f aca="false">IF($A943="","",COUNTIFS(Orders!$C$2:$C$20001,$A943,Orders!$E$2:$E$20001,"Prepaid",Orders!$F$2:$F$20001,"RTO"))</f>
        <v/>
      </c>
      <c r="G943" s="18" t="str">
        <f aca="false">IF($A943="","",IFERROR(F943/E943,0))</f>
        <v/>
      </c>
      <c r="H943" s="19" t="str">
        <f aca="false">IF($A943="","",C943*Settings!$B$11)</f>
        <v/>
      </c>
      <c r="I943" s="20" t="str">
        <f aca="false">IF($A943="","",IF(N(H943)=0,"",RANK(H943,$H$5:$H$2004)))</f>
        <v/>
      </c>
      <c r="J943" s="21" t="str">
        <f aca="false">IF($A943="","",IF(B943=0,"No COD orders",IF(B943&lt;Settings!$B$8,"Too few orders",IF(D943&gt;=Settings!$B$9,"Restrict COD or verify","Keep COD"))))</f>
        <v/>
      </c>
    </row>
    <row r="944" customFormat="false" ht="15" hidden="false" customHeight="false" outlineLevel="0" collapsed="false">
      <c r="A944" s="27"/>
      <c r="B944" s="17" t="str">
        <f aca="false">IF($A944="","",COUNTIFS(Orders!$C$2:$C$20001,$A944,Orders!$E$2:$E$20001,"COD",Orders!$F$2:$F$20001,"Delivered")+COUNTIFS(Orders!$C$2:$C$20001,$A944,Orders!$E$2:$E$20001,"COD",Orders!$F$2:$F$20001,"RTO"))</f>
        <v/>
      </c>
      <c r="C944" s="17" t="str">
        <f aca="false">IF($A944="","",COUNTIFS(Orders!$C$2:$C$20001,$A944,Orders!$E$2:$E$20001,"COD",Orders!$F$2:$F$20001,"RTO"))</f>
        <v/>
      </c>
      <c r="D944" s="18" t="str">
        <f aca="false">IF($A944="","",IFERROR(C944/B944,0))</f>
        <v/>
      </c>
      <c r="E944" s="17" t="str">
        <f aca="false">IF($A944="","",COUNTIFS(Orders!$C$2:$C$20001,$A944,Orders!$E$2:$E$20001,"Prepaid",Orders!$F$2:$F$20001,"Delivered")+COUNTIFS(Orders!$C$2:$C$20001,$A944,Orders!$E$2:$E$20001,"Prepaid",Orders!$F$2:$F$20001,"RTO"))</f>
        <v/>
      </c>
      <c r="F944" s="17" t="str">
        <f aca="false">IF($A944="","",COUNTIFS(Orders!$C$2:$C$20001,$A944,Orders!$E$2:$E$20001,"Prepaid",Orders!$F$2:$F$20001,"RTO"))</f>
        <v/>
      </c>
      <c r="G944" s="18" t="str">
        <f aca="false">IF($A944="","",IFERROR(F944/E944,0))</f>
        <v/>
      </c>
      <c r="H944" s="19" t="str">
        <f aca="false">IF($A944="","",C944*Settings!$B$11)</f>
        <v/>
      </c>
      <c r="I944" s="20" t="str">
        <f aca="false">IF($A944="","",IF(N(H944)=0,"",RANK(H944,$H$5:$H$2004)))</f>
        <v/>
      </c>
      <c r="J944" s="21" t="str">
        <f aca="false">IF($A944="","",IF(B944=0,"No COD orders",IF(B944&lt;Settings!$B$8,"Too few orders",IF(D944&gt;=Settings!$B$9,"Restrict COD or verify","Keep COD"))))</f>
        <v/>
      </c>
    </row>
    <row r="945" customFormat="false" ht="15" hidden="false" customHeight="false" outlineLevel="0" collapsed="false">
      <c r="A945" s="27"/>
      <c r="B945" s="17" t="str">
        <f aca="false">IF($A945="","",COUNTIFS(Orders!$C$2:$C$20001,$A945,Orders!$E$2:$E$20001,"COD",Orders!$F$2:$F$20001,"Delivered")+COUNTIFS(Orders!$C$2:$C$20001,$A945,Orders!$E$2:$E$20001,"COD",Orders!$F$2:$F$20001,"RTO"))</f>
        <v/>
      </c>
      <c r="C945" s="17" t="str">
        <f aca="false">IF($A945="","",COUNTIFS(Orders!$C$2:$C$20001,$A945,Orders!$E$2:$E$20001,"COD",Orders!$F$2:$F$20001,"RTO"))</f>
        <v/>
      </c>
      <c r="D945" s="18" t="str">
        <f aca="false">IF($A945="","",IFERROR(C945/B945,0))</f>
        <v/>
      </c>
      <c r="E945" s="17" t="str">
        <f aca="false">IF($A945="","",COUNTIFS(Orders!$C$2:$C$20001,$A945,Orders!$E$2:$E$20001,"Prepaid",Orders!$F$2:$F$20001,"Delivered")+COUNTIFS(Orders!$C$2:$C$20001,$A945,Orders!$E$2:$E$20001,"Prepaid",Orders!$F$2:$F$20001,"RTO"))</f>
        <v/>
      </c>
      <c r="F945" s="17" t="str">
        <f aca="false">IF($A945="","",COUNTIFS(Orders!$C$2:$C$20001,$A945,Orders!$E$2:$E$20001,"Prepaid",Orders!$F$2:$F$20001,"RTO"))</f>
        <v/>
      </c>
      <c r="G945" s="18" t="str">
        <f aca="false">IF($A945="","",IFERROR(F945/E945,0))</f>
        <v/>
      </c>
      <c r="H945" s="19" t="str">
        <f aca="false">IF($A945="","",C945*Settings!$B$11)</f>
        <v/>
      </c>
      <c r="I945" s="20" t="str">
        <f aca="false">IF($A945="","",IF(N(H945)=0,"",RANK(H945,$H$5:$H$2004)))</f>
        <v/>
      </c>
      <c r="J945" s="21" t="str">
        <f aca="false">IF($A945="","",IF(B945=0,"No COD orders",IF(B945&lt;Settings!$B$8,"Too few orders",IF(D945&gt;=Settings!$B$9,"Restrict COD or verify","Keep COD"))))</f>
        <v/>
      </c>
    </row>
    <row r="946" customFormat="false" ht="15" hidden="false" customHeight="false" outlineLevel="0" collapsed="false">
      <c r="A946" s="27"/>
      <c r="B946" s="17" t="str">
        <f aca="false">IF($A946="","",COUNTIFS(Orders!$C$2:$C$20001,$A946,Orders!$E$2:$E$20001,"COD",Orders!$F$2:$F$20001,"Delivered")+COUNTIFS(Orders!$C$2:$C$20001,$A946,Orders!$E$2:$E$20001,"COD",Orders!$F$2:$F$20001,"RTO"))</f>
        <v/>
      </c>
      <c r="C946" s="17" t="str">
        <f aca="false">IF($A946="","",COUNTIFS(Orders!$C$2:$C$20001,$A946,Orders!$E$2:$E$20001,"COD",Orders!$F$2:$F$20001,"RTO"))</f>
        <v/>
      </c>
      <c r="D946" s="18" t="str">
        <f aca="false">IF($A946="","",IFERROR(C946/B946,0))</f>
        <v/>
      </c>
      <c r="E946" s="17" t="str">
        <f aca="false">IF($A946="","",COUNTIFS(Orders!$C$2:$C$20001,$A946,Orders!$E$2:$E$20001,"Prepaid",Orders!$F$2:$F$20001,"Delivered")+COUNTIFS(Orders!$C$2:$C$20001,$A946,Orders!$E$2:$E$20001,"Prepaid",Orders!$F$2:$F$20001,"RTO"))</f>
        <v/>
      </c>
      <c r="F946" s="17" t="str">
        <f aca="false">IF($A946="","",COUNTIFS(Orders!$C$2:$C$20001,$A946,Orders!$E$2:$E$20001,"Prepaid",Orders!$F$2:$F$20001,"RTO"))</f>
        <v/>
      </c>
      <c r="G946" s="18" t="str">
        <f aca="false">IF($A946="","",IFERROR(F946/E946,0))</f>
        <v/>
      </c>
      <c r="H946" s="19" t="str">
        <f aca="false">IF($A946="","",C946*Settings!$B$11)</f>
        <v/>
      </c>
      <c r="I946" s="20" t="str">
        <f aca="false">IF($A946="","",IF(N(H946)=0,"",RANK(H946,$H$5:$H$2004)))</f>
        <v/>
      </c>
      <c r="J946" s="21" t="str">
        <f aca="false">IF($A946="","",IF(B946=0,"No COD orders",IF(B946&lt;Settings!$B$8,"Too few orders",IF(D946&gt;=Settings!$B$9,"Restrict COD or verify","Keep COD"))))</f>
        <v/>
      </c>
    </row>
    <row r="947" customFormat="false" ht="15" hidden="false" customHeight="false" outlineLevel="0" collapsed="false">
      <c r="A947" s="27"/>
      <c r="B947" s="17" t="str">
        <f aca="false">IF($A947="","",COUNTIFS(Orders!$C$2:$C$20001,$A947,Orders!$E$2:$E$20001,"COD",Orders!$F$2:$F$20001,"Delivered")+COUNTIFS(Orders!$C$2:$C$20001,$A947,Orders!$E$2:$E$20001,"COD",Orders!$F$2:$F$20001,"RTO"))</f>
        <v/>
      </c>
      <c r="C947" s="17" t="str">
        <f aca="false">IF($A947="","",COUNTIFS(Orders!$C$2:$C$20001,$A947,Orders!$E$2:$E$20001,"COD",Orders!$F$2:$F$20001,"RTO"))</f>
        <v/>
      </c>
      <c r="D947" s="18" t="str">
        <f aca="false">IF($A947="","",IFERROR(C947/B947,0))</f>
        <v/>
      </c>
      <c r="E947" s="17" t="str">
        <f aca="false">IF($A947="","",COUNTIFS(Orders!$C$2:$C$20001,$A947,Orders!$E$2:$E$20001,"Prepaid",Orders!$F$2:$F$20001,"Delivered")+COUNTIFS(Orders!$C$2:$C$20001,$A947,Orders!$E$2:$E$20001,"Prepaid",Orders!$F$2:$F$20001,"RTO"))</f>
        <v/>
      </c>
      <c r="F947" s="17" t="str">
        <f aca="false">IF($A947="","",COUNTIFS(Orders!$C$2:$C$20001,$A947,Orders!$E$2:$E$20001,"Prepaid",Orders!$F$2:$F$20001,"RTO"))</f>
        <v/>
      </c>
      <c r="G947" s="18" t="str">
        <f aca="false">IF($A947="","",IFERROR(F947/E947,0))</f>
        <v/>
      </c>
      <c r="H947" s="19" t="str">
        <f aca="false">IF($A947="","",C947*Settings!$B$11)</f>
        <v/>
      </c>
      <c r="I947" s="20" t="str">
        <f aca="false">IF($A947="","",IF(N(H947)=0,"",RANK(H947,$H$5:$H$2004)))</f>
        <v/>
      </c>
      <c r="J947" s="21" t="str">
        <f aca="false">IF($A947="","",IF(B947=0,"No COD orders",IF(B947&lt;Settings!$B$8,"Too few orders",IF(D947&gt;=Settings!$B$9,"Restrict COD or verify","Keep COD"))))</f>
        <v/>
      </c>
    </row>
    <row r="948" customFormat="false" ht="15" hidden="false" customHeight="false" outlineLevel="0" collapsed="false">
      <c r="A948" s="27"/>
      <c r="B948" s="17" t="str">
        <f aca="false">IF($A948="","",COUNTIFS(Orders!$C$2:$C$20001,$A948,Orders!$E$2:$E$20001,"COD",Orders!$F$2:$F$20001,"Delivered")+COUNTIFS(Orders!$C$2:$C$20001,$A948,Orders!$E$2:$E$20001,"COD",Orders!$F$2:$F$20001,"RTO"))</f>
        <v/>
      </c>
      <c r="C948" s="17" t="str">
        <f aca="false">IF($A948="","",COUNTIFS(Orders!$C$2:$C$20001,$A948,Orders!$E$2:$E$20001,"COD",Orders!$F$2:$F$20001,"RTO"))</f>
        <v/>
      </c>
      <c r="D948" s="18" t="str">
        <f aca="false">IF($A948="","",IFERROR(C948/B948,0))</f>
        <v/>
      </c>
      <c r="E948" s="17" t="str">
        <f aca="false">IF($A948="","",COUNTIFS(Orders!$C$2:$C$20001,$A948,Orders!$E$2:$E$20001,"Prepaid",Orders!$F$2:$F$20001,"Delivered")+COUNTIFS(Orders!$C$2:$C$20001,$A948,Orders!$E$2:$E$20001,"Prepaid",Orders!$F$2:$F$20001,"RTO"))</f>
        <v/>
      </c>
      <c r="F948" s="17" t="str">
        <f aca="false">IF($A948="","",COUNTIFS(Orders!$C$2:$C$20001,$A948,Orders!$E$2:$E$20001,"Prepaid",Orders!$F$2:$F$20001,"RTO"))</f>
        <v/>
      </c>
      <c r="G948" s="18" t="str">
        <f aca="false">IF($A948="","",IFERROR(F948/E948,0))</f>
        <v/>
      </c>
      <c r="H948" s="19" t="str">
        <f aca="false">IF($A948="","",C948*Settings!$B$11)</f>
        <v/>
      </c>
      <c r="I948" s="20" t="str">
        <f aca="false">IF($A948="","",IF(N(H948)=0,"",RANK(H948,$H$5:$H$2004)))</f>
        <v/>
      </c>
      <c r="J948" s="21" t="str">
        <f aca="false">IF($A948="","",IF(B948=0,"No COD orders",IF(B948&lt;Settings!$B$8,"Too few orders",IF(D948&gt;=Settings!$B$9,"Restrict COD or verify","Keep COD"))))</f>
        <v/>
      </c>
    </row>
    <row r="949" customFormat="false" ht="15" hidden="false" customHeight="false" outlineLevel="0" collapsed="false">
      <c r="A949" s="27"/>
      <c r="B949" s="17" t="str">
        <f aca="false">IF($A949="","",COUNTIFS(Orders!$C$2:$C$20001,$A949,Orders!$E$2:$E$20001,"COD",Orders!$F$2:$F$20001,"Delivered")+COUNTIFS(Orders!$C$2:$C$20001,$A949,Orders!$E$2:$E$20001,"COD",Orders!$F$2:$F$20001,"RTO"))</f>
        <v/>
      </c>
      <c r="C949" s="17" t="str">
        <f aca="false">IF($A949="","",COUNTIFS(Orders!$C$2:$C$20001,$A949,Orders!$E$2:$E$20001,"COD",Orders!$F$2:$F$20001,"RTO"))</f>
        <v/>
      </c>
      <c r="D949" s="18" t="str">
        <f aca="false">IF($A949="","",IFERROR(C949/B949,0))</f>
        <v/>
      </c>
      <c r="E949" s="17" t="str">
        <f aca="false">IF($A949="","",COUNTIFS(Orders!$C$2:$C$20001,$A949,Orders!$E$2:$E$20001,"Prepaid",Orders!$F$2:$F$20001,"Delivered")+COUNTIFS(Orders!$C$2:$C$20001,$A949,Orders!$E$2:$E$20001,"Prepaid",Orders!$F$2:$F$20001,"RTO"))</f>
        <v/>
      </c>
      <c r="F949" s="17" t="str">
        <f aca="false">IF($A949="","",COUNTIFS(Orders!$C$2:$C$20001,$A949,Orders!$E$2:$E$20001,"Prepaid",Orders!$F$2:$F$20001,"RTO"))</f>
        <v/>
      </c>
      <c r="G949" s="18" t="str">
        <f aca="false">IF($A949="","",IFERROR(F949/E949,0))</f>
        <v/>
      </c>
      <c r="H949" s="19" t="str">
        <f aca="false">IF($A949="","",C949*Settings!$B$11)</f>
        <v/>
      </c>
      <c r="I949" s="20" t="str">
        <f aca="false">IF($A949="","",IF(N(H949)=0,"",RANK(H949,$H$5:$H$2004)))</f>
        <v/>
      </c>
      <c r="J949" s="21" t="str">
        <f aca="false">IF($A949="","",IF(B949=0,"No COD orders",IF(B949&lt;Settings!$B$8,"Too few orders",IF(D949&gt;=Settings!$B$9,"Restrict COD or verify","Keep COD"))))</f>
        <v/>
      </c>
    </row>
    <row r="950" customFormat="false" ht="15" hidden="false" customHeight="false" outlineLevel="0" collapsed="false">
      <c r="A950" s="27"/>
      <c r="B950" s="17" t="str">
        <f aca="false">IF($A950="","",COUNTIFS(Orders!$C$2:$C$20001,$A950,Orders!$E$2:$E$20001,"COD",Orders!$F$2:$F$20001,"Delivered")+COUNTIFS(Orders!$C$2:$C$20001,$A950,Orders!$E$2:$E$20001,"COD",Orders!$F$2:$F$20001,"RTO"))</f>
        <v/>
      </c>
      <c r="C950" s="17" t="str">
        <f aca="false">IF($A950="","",COUNTIFS(Orders!$C$2:$C$20001,$A950,Orders!$E$2:$E$20001,"COD",Orders!$F$2:$F$20001,"RTO"))</f>
        <v/>
      </c>
      <c r="D950" s="18" t="str">
        <f aca="false">IF($A950="","",IFERROR(C950/B950,0))</f>
        <v/>
      </c>
      <c r="E950" s="17" t="str">
        <f aca="false">IF($A950="","",COUNTIFS(Orders!$C$2:$C$20001,$A950,Orders!$E$2:$E$20001,"Prepaid",Orders!$F$2:$F$20001,"Delivered")+COUNTIFS(Orders!$C$2:$C$20001,$A950,Orders!$E$2:$E$20001,"Prepaid",Orders!$F$2:$F$20001,"RTO"))</f>
        <v/>
      </c>
      <c r="F950" s="17" t="str">
        <f aca="false">IF($A950="","",COUNTIFS(Orders!$C$2:$C$20001,$A950,Orders!$E$2:$E$20001,"Prepaid",Orders!$F$2:$F$20001,"RTO"))</f>
        <v/>
      </c>
      <c r="G950" s="18" t="str">
        <f aca="false">IF($A950="","",IFERROR(F950/E950,0))</f>
        <v/>
      </c>
      <c r="H950" s="19" t="str">
        <f aca="false">IF($A950="","",C950*Settings!$B$11)</f>
        <v/>
      </c>
      <c r="I950" s="20" t="str">
        <f aca="false">IF($A950="","",IF(N(H950)=0,"",RANK(H950,$H$5:$H$2004)))</f>
        <v/>
      </c>
      <c r="J950" s="21" t="str">
        <f aca="false">IF($A950="","",IF(B950=0,"No COD orders",IF(B950&lt;Settings!$B$8,"Too few orders",IF(D950&gt;=Settings!$B$9,"Restrict COD or verify","Keep COD"))))</f>
        <v/>
      </c>
    </row>
    <row r="951" customFormat="false" ht="15" hidden="false" customHeight="false" outlineLevel="0" collapsed="false">
      <c r="A951" s="27"/>
      <c r="B951" s="17" t="str">
        <f aca="false">IF($A951="","",COUNTIFS(Orders!$C$2:$C$20001,$A951,Orders!$E$2:$E$20001,"COD",Orders!$F$2:$F$20001,"Delivered")+COUNTIFS(Orders!$C$2:$C$20001,$A951,Orders!$E$2:$E$20001,"COD",Orders!$F$2:$F$20001,"RTO"))</f>
        <v/>
      </c>
      <c r="C951" s="17" t="str">
        <f aca="false">IF($A951="","",COUNTIFS(Orders!$C$2:$C$20001,$A951,Orders!$E$2:$E$20001,"COD",Orders!$F$2:$F$20001,"RTO"))</f>
        <v/>
      </c>
      <c r="D951" s="18" t="str">
        <f aca="false">IF($A951="","",IFERROR(C951/B951,0))</f>
        <v/>
      </c>
      <c r="E951" s="17" t="str">
        <f aca="false">IF($A951="","",COUNTIFS(Orders!$C$2:$C$20001,$A951,Orders!$E$2:$E$20001,"Prepaid",Orders!$F$2:$F$20001,"Delivered")+COUNTIFS(Orders!$C$2:$C$20001,$A951,Orders!$E$2:$E$20001,"Prepaid",Orders!$F$2:$F$20001,"RTO"))</f>
        <v/>
      </c>
      <c r="F951" s="17" t="str">
        <f aca="false">IF($A951="","",COUNTIFS(Orders!$C$2:$C$20001,$A951,Orders!$E$2:$E$20001,"Prepaid",Orders!$F$2:$F$20001,"RTO"))</f>
        <v/>
      </c>
      <c r="G951" s="18" t="str">
        <f aca="false">IF($A951="","",IFERROR(F951/E951,0))</f>
        <v/>
      </c>
      <c r="H951" s="19" t="str">
        <f aca="false">IF($A951="","",C951*Settings!$B$11)</f>
        <v/>
      </c>
      <c r="I951" s="20" t="str">
        <f aca="false">IF($A951="","",IF(N(H951)=0,"",RANK(H951,$H$5:$H$2004)))</f>
        <v/>
      </c>
      <c r="J951" s="21" t="str">
        <f aca="false">IF($A951="","",IF(B951=0,"No COD orders",IF(B951&lt;Settings!$B$8,"Too few orders",IF(D951&gt;=Settings!$B$9,"Restrict COD or verify","Keep COD"))))</f>
        <v/>
      </c>
    </row>
    <row r="952" customFormat="false" ht="15" hidden="false" customHeight="false" outlineLevel="0" collapsed="false">
      <c r="A952" s="27"/>
      <c r="B952" s="17" t="str">
        <f aca="false">IF($A952="","",COUNTIFS(Orders!$C$2:$C$20001,$A952,Orders!$E$2:$E$20001,"COD",Orders!$F$2:$F$20001,"Delivered")+COUNTIFS(Orders!$C$2:$C$20001,$A952,Orders!$E$2:$E$20001,"COD",Orders!$F$2:$F$20001,"RTO"))</f>
        <v/>
      </c>
      <c r="C952" s="17" t="str">
        <f aca="false">IF($A952="","",COUNTIFS(Orders!$C$2:$C$20001,$A952,Orders!$E$2:$E$20001,"COD",Orders!$F$2:$F$20001,"RTO"))</f>
        <v/>
      </c>
      <c r="D952" s="18" t="str">
        <f aca="false">IF($A952="","",IFERROR(C952/B952,0))</f>
        <v/>
      </c>
      <c r="E952" s="17" t="str">
        <f aca="false">IF($A952="","",COUNTIFS(Orders!$C$2:$C$20001,$A952,Orders!$E$2:$E$20001,"Prepaid",Orders!$F$2:$F$20001,"Delivered")+COUNTIFS(Orders!$C$2:$C$20001,$A952,Orders!$E$2:$E$20001,"Prepaid",Orders!$F$2:$F$20001,"RTO"))</f>
        <v/>
      </c>
      <c r="F952" s="17" t="str">
        <f aca="false">IF($A952="","",COUNTIFS(Orders!$C$2:$C$20001,$A952,Orders!$E$2:$E$20001,"Prepaid",Orders!$F$2:$F$20001,"RTO"))</f>
        <v/>
      </c>
      <c r="G952" s="18" t="str">
        <f aca="false">IF($A952="","",IFERROR(F952/E952,0))</f>
        <v/>
      </c>
      <c r="H952" s="19" t="str">
        <f aca="false">IF($A952="","",C952*Settings!$B$11)</f>
        <v/>
      </c>
      <c r="I952" s="20" t="str">
        <f aca="false">IF($A952="","",IF(N(H952)=0,"",RANK(H952,$H$5:$H$2004)))</f>
        <v/>
      </c>
      <c r="J952" s="21" t="str">
        <f aca="false">IF($A952="","",IF(B952=0,"No COD orders",IF(B952&lt;Settings!$B$8,"Too few orders",IF(D952&gt;=Settings!$B$9,"Restrict COD or verify","Keep COD"))))</f>
        <v/>
      </c>
    </row>
    <row r="953" customFormat="false" ht="15" hidden="false" customHeight="false" outlineLevel="0" collapsed="false">
      <c r="A953" s="27"/>
      <c r="B953" s="17" t="str">
        <f aca="false">IF($A953="","",COUNTIFS(Orders!$C$2:$C$20001,$A953,Orders!$E$2:$E$20001,"COD",Orders!$F$2:$F$20001,"Delivered")+COUNTIFS(Orders!$C$2:$C$20001,$A953,Orders!$E$2:$E$20001,"COD",Orders!$F$2:$F$20001,"RTO"))</f>
        <v/>
      </c>
      <c r="C953" s="17" t="str">
        <f aca="false">IF($A953="","",COUNTIFS(Orders!$C$2:$C$20001,$A953,Orders!$E$2:$E$20001,"COD",Orders!$F$2:$F$20001,"RTO"))</f>
        <v/>
      </c>
      <c r="D953" s="18" t="str">
        <f aca="false">IF($A953="","",IFERROR(C953/B953,0))</f>
        <v/>
      </c>
      <c r="E953" s="17" t="str">
        <f aca="false">IF($A953="","",COUNTIFS(Orders!$C$2:$C$20001,$A953,Orders!$E$2:$E$20001,"Prepaid",Orders!$F$2:$F$20001,"Delivered")+COUNTIFS(Orders!$C$2:$C$20001,$A953,Orders!$E$2:$E$20001,"Prepaid",Orders!$F$2:$F$20001,"RTO"))</f>
        <v/>
      </c>
      <c r="F953" s="17" t="str">
        <f aca="false">IF($A953="","",COUNTIFS(Orders!$C$2:$C$20001,$A953,Orders!$E$2:$E$20001,"Prepaid",Orders!$F$2:$F$20001,"RTO"))</f>
        <v/>
      </c>
      <c r="G953" s="18" t="str">
        <f aca="false">IF($A953="","",IFERROR(F953/E953,0))</f>
        <v/>
      </c>
      <c r="H953" s="19" t="str">
        <f aca="false">IF($A953="","",C953*Settings!$B$11)</f>
        <v/>
      </c>
      <c r="I953" s="20" t="str">
        <f aca="false">IF($A953="","",IF(N(H953)=0,"",RANK(H953,$H$5:$H$2004)))</f>
        <v/>
      </c>
      <c r="J953" s="21" t="str">
        <f aca="false">IF($A953="","",IF(B953=0,"No COD orders",IF(B953&lt;Settings!$B$8,"Too few orders",IF(D953&gt;=Settings!$B$9,"Restrict COD or verify","Keep COD"))))</f>
        <v/>
      </c>
    </row>
    <row r="954" customFormat="false" ht="15" hidden="false" customHeight="false" outlineLevel="0" collapsed="false">
      <c r="A954" s="27"/>
      <c r="B954" s="17" t="str">
        <f aca="false">IF($A954="","",COUNTIFS(Orders!$C$2:$C$20001,$A954,Orders!$E$2:$E$20001,"COD",Orders!$F$2:$F$20001,"Delivered")+COUNTIFS(Orders!$C$2:$C$20001,$A954,Orders!$E$2:$E$20001,"COD",Orders!$F$2:$F$20001,"RTO"))</f>
        <v/>
      </c>
      <c r="C954" s="17" t="str">
        <f aca="false">IF($A954="","",COUNTIFS(Orders!$C$2:$C$20001,$A954,Orders!$E$2:$E$20001,"COD",Orders!$F$2:$F$20001,"RTO"))</f>
        <v/>
      </c>
      <c r="D954" s="18" t="str">
        <f aca="false">IF($A954="","",IFERROR(C954/B954,0))</f>
        <v/>
      </c>
      <c r="E954" s="17" t="str">
        <f aca="false">IF($A954="","",COUNTIFS(Orders!$C$2:$C$20001,$A954,Orders!$E$2:$E$20001,"Prepaid",Orders!$F$2:$F$20001,"Delivered")+COUNTIFS(Orders!$C$2:$C$20001,$A954,Orders!$E$2:$E$20001,"Prepaid",Orders!$F$2:$F$20001,"RTO"))</f>
        <v/>
      </c>
      <c r="F954" s="17" t="str">
        <f aca="false">IF($A954="","",COUNTIFS(Orders!$C$2:$C$20001,$A954,Orders!$E$2:$E$20001,"Prepaid",Orders!$F$2:$F$20001,"RTO"))</f>
        <v/>
      </c>
      <c r="G954" s="18" t="str">
        <f aca="false">IF($A954="","",IFERROR(F954/E954,0))</f>
        <v/>
      </c>
      <c r="H954" s="19" t="str">
        <f aca="false">IF($A954="","",C954*Settings!$B$11)</f>
        <v/>
      </c>
      <c r="I954" s="20" t="str">
        <f aca="false">IF($A954="","",IF(N(H954)=0,"",RANK(H954,$H$5:$H$2004)))</f>
        <v/>
      </c>
      <c r="J954" s="21" t="str">
        <f aca="false">IF($A954="","",IF(B954=0,"No COD orders",IF(B954&lt;Settings!$B$8,"Too few orders",IF(D954&gt;=Settings!$B$9,"Restrict COD or verify","Keep COD"))))</f>
        <v/>
      </c>
    </row>
    <row r="955" customFormat="false" ht="15" hidden="false" customHeight="false" outlineLevel="0" collapsed="false">
      <c r="A955" s="27"/>
      <c r="B955" s="17" t="str">
        <f aca="false">IF($A955="","",COUNTIFS(Orders!$C$2:$C$20001,$A955,Orders!$E$2:$E$20001,"COD",Orders!$F$2:$F$20001,"Delivered")+COUNTIFS(Orders!$C$2:$C$20001,$A955,Orders!$E$2:$E$20001,"COD",Orders!$F$2:$F$20001,"RTO"))</f>
        <v/>
      </c>
      <c r="C955" s="17" t="str">
        <f aca="false">IF($A955="","",COUNTIFS(Orders!$C$2:$C$20001,$A955,Orders!$E$2:$E$20001,"COD",Orders!$F$2:$F$20001,"RTO"))</f>
        <v/>
      </c>
      <c r="D955" s="18" t="str">
        <f aca="false">IF($A955="","",IFERROR(C955/B955,0))</f>
        <v/>
      </c>
      <c r="E955" s="17" t="str">
        <f aca="false">IF($A955="","",COUNTIFS(Orders!$C$2:$C$20001,$A955,Orders!$E$2:$E$20001,"Prepaid",Orders!$F$2:$F$20001,"Delivered")+COUNTIFS(Orders!$C$2:$C$20001,$A955,Orders!$E$2:$E$20001,"Prepaid",Orders!$F$2:$F$20001,"RTO"))</f>
        <v/>
      </c>
      <c r="F955" s="17" t="str">
        <f aca="false">IF($A955="","",COUNTIFS(Orders!$C$2:$C$20001,$A955,Orders!$E$2:$E$20001,"Prepaid",Orders!$F$2:$F$20001,"RTO"))</f>
        <v/>
      </c>
      <c r="G955" s="18" t="str">
        <f aca="false">IF($A955="","",IFERROR(F955/E955,0))</f>
        <v/>
      </c>
      <c r="H955" s="19" t="str">
        <f aca="false">IF($A955="","",C955*Settings!$B$11)</f>
        <v/>
      </c>
      <c r="I955" s="20" t="str">
        <f aca="false">IF($A955="","",IF(N(H955)=0,"",RANK(H955,$H$5:$H$2004)))</f>
        <v/>
      </c>
      <c r="J955" s="21" t="str">
        <f aca="false">IF($A955="","",IF(B955=0,"No COD orders",IF(B955&lt;Settings!$B$8,"Too few orders",IF(D955&gt;=Settings!$B$9,"Restrict COD or verify","Keep COD"))))</f>
        <v/>
      </c>
    </row>
    <row r="956" customFormat="false" ht="15" hidden="false" customHeight="false" outlineLevel="0" collapsed="false">
      <c r="A956" s="27"/>
      <c r="B956" s="17" t="str">
        <f aca="false">IF($A956="","",COUNTIFS(Orders!$C$2:$C$20001,$A956,Orders!$E$2:$E$20001,"COD",Orders!$F$2:$F$20001,"Delivered")+COUNTIFS(Orders!$C$2:$C$20001,$A956,Orders!$E$2:$E$20001,"COD",Orders!$F$2:$F$20001,"RTO"))</f>
        <v/>
      </c>
      <c r="C956" s="17" t="str">
        <f aca="false">IF($A956="","",COUNTIFS(Orders!$C$2:$C$20001,$A956,Orders!$E$2:$E$20001,"COD",Orders!$F$2:$F$20001,"RTO"))</f>
        <v/>
      </c>
      <c r="D956" s="18" t="str">
        <f aca="false">IF($A956="","",IFERROR(C956/B956,0))</f>
        <v/>
      </c>
      <c r="E956" s="17" t="str">
        <f aca="false">IF($A956="","",COUNTIFS(Orders!$C$2:$C$20001,$A956,Orders!$E$2:$E$20001,"Prepaid",Orders!$F$2:$F$20001,"Delivered")+COUNTIFS(Orders!$C$2:$C$20001,$A956,Orders!$E$2:$E$20001,"Prepaid",Orders!$F$2:$F$20001,"RTO"))</f>
        <v/>
      </c>
      <c r="F956" s="17" t="str">
        <f aca="false">IF($A956="","",COUNTIFS(Orders!$C$2:$C$20001,$A956,Orders!$E$2:$E$20001,"Prepaid",Orders!$F$2:$F$20001,"RTO"))</f>
        <v/>
      </c>
      <c r="G956" s="18" t="str">
        <f aca="false">IF($A956="","",IFERROR(F956/E956,0))</f>
        <v/>
      </c>
      <c r="H956" s="19" t="str">
        <f aca="false">IF($A956="","",C956*Settings!$B$11)</f>
        <v/>
      </c>
      <c r="I956" s="20" t="str">
        <f aca="false">IF($A956="","",IF(N(H956)=0,"",RANK(H956,$H$5:$H$2004)))</f>
        <v/>
      </c>
      <c r="J956" s="21" t="str">
        <f aca="false">IF($A956="","",IF(B956=0,"No COD orders",IF(B956&lt;Settings!$B$8,"Too few orders",IF(D956&gt;=Settings!$B$9,"Restrict COD or verify","Keep COD"))))</f>
        <v/>
      </c>
    </row>
    <row r="957" customFormat="false" ht="15" hidden="false" customHeight="false" outlineLevel="0" collapsed="false">
      <c r="A957" s="27"/>
      <c r="B957" s="17" t="str">
        <f aca="false">IF($A957="","",COUNTIFS(Orders!$C$2:$C$20001,$A957,Orders!$E$2:$E$20001,"COD",Orders!$F$2:$F$20001,"Delivered")+COUNTIFS(Orders!$C$2:$C$20001,$A957,Orders!$E$2:$E$20001,"COD",Orders!$F$2:$F$20001,"RTO"))</f>
        <v/>
      </c>
      <c r="C957" s="17" t="str">
        <f aca="false">IF($A957="","",COUNTIFS(Orders!$C$2:$C$20001,$A957,Orders!$E$2:$E$20001,"COD",Orders!$F$2:$F$20001,"RTO"))</f>
        <v/>
      </c>
      <c r="D957" s="18" t="str">
        <f aca="false">IF($A957="","",IFERROR(C957/B957,0))</f>
        <v/>
      </c>
      <c r="E957" s="17" t="str">
        <f aca="false">IF($A957="","",COUNTIFS(Orders!$C$2:$C$20001,$A957,Orders!$E$2:$E$20001,"Prepaid",Orders!$F$2:$F$20001,"Delivered")+COUNTIFS(Orders!$C$2:$C$20001,$A957,Orders!$E$2:$E$20001,"Prepaid",Orders!$F$2:$F$20001,"RTO"))</f>
        <v/>
      </c>
      <c r="F957" s="17" t="str">
        <f aca="false">IF($A957="","",COUNTIFS(Orders!$C$2:$C$20001,$A957,Orders!$E$2:$E$20001,"Prepaid",Orders!$F$2:$F$20001,"RTO"))</f>
        <v/>
      </c>
      <c r="G957" s="18" t="str">
        <f aca="false">IF($A957="","",IFERROR(F957/E957,0))</f>
        <v/>
      </c>
      <c r="H957" s="19" t="str">
        <f aca="false">IF($A957="","",C957*Settings!$B$11)</f>
        <v/>
      </c>
      <c r="I957" s="20" t="str">
        <f aca="false">IF($A957="","",IF(N(H957)=0,"",RANK(H957,$H$5:$H$2004)))</f>
        <v/>
      </c>
      <c r="J957" s="21" t="str">
        <f aca="false">IF($A957="","",IF(B957=0,"No COD orders",IF(B957&lt;Settings!$B$8,"Too few orders",IF(D957&gt;=Settings!$B$9,"Restrict COD or verify","Keep COD"))))</f>
        <v/>
      </c>
    </row>
    <row r="958" customFormat="false" ht="15" hidden="false" customHeight="false" outlineLevel="0" collapsed="false">
      <c r="A958" s="27"/>
      <c r="B958" s="17" t="str">
        <f aca="false">IF($A958="","",COUNTIFS(Orders!$C$2:$C$20001,$A958,Orders!$E$2:$E$20001,"COD",Orders!$F$2:$F$20001,"Delivered")+COUNTIFS(Orders!$C$2:$C$20001,$A958,Orders!$E$2:$E$20001,"COD",Orders!$F$2:$F$20001,"RTO"))</f>
        <v/>
      </c>
      <c r="C958" s="17" t="str">
        <f aca="false">IF($A958="","",COUNTIFS(Orders!$C$2:$C$20001,$A958,Orders!$E$2:$E$20001,"COD",Orders!$F$2:$F$20001,"RTO"))</f>
        <v/>
      </c>
      <c r="D958" s="18" t="str">
        <f aca="false">IF($A958="","",IFERROR(C958/B958,0))</f>
        <v/>
      </c>
      <c r="E958" s="17" t="str">
        <f aca="false">IF($A958="","",COUNTIFS(Orders!$C$2:$C$20001,$A958,Orders!$E$2:$E$20001,"Prepaid",Orders!$F$2:$F$20001,"Delivered")+COUNTIFS(Orders!$C$2:$C$20001,$A958,Orders!$E$2:$E$20001,"Prepaid",Orders!$F$2:$F$20001,"RTO"))</f>
        <v/>
      </c>
      <c r="F958" s="17" t="str">
        <f aca="false">IF($A958="","",COUNTIFS(Orders!$C$2:$C$20001,$A958,Orders!$E$2:$E$20001,"Prepaid",Orders!$F$2:$F$20001,"RTO"))</f>
        <v/>
      </c>
      <c r="G958" s="18" t="str">
        <f aca="false">IF($A958="","",IFERROR(F958/E958,0))</f>
        <v/>
      </c>
      <c r="H958" s="19" t="str">
        <f aca="false">IF($A958="","",C958*Settings!$B$11)</f>
        <v/>
      </c>
      <c r="I958" s="20" t="str">
        <f aca="false">IF($A958="","",IF(N(H958)=0,"",RANK(H958,$H$5:$H$2004)))</f>
        <v/>
      </c>
      <c r="J958" s="21" t="str">
        <f aca="false">IF($A958="","",IF(B958=0,"No COD orders",IF(B958&lt;Settings!$B$8,"Too few orders",IF(D958&gt;=Settings!$B$9,"Restrict COD or verify","Keep COD"))))</f>
        <v/>
      </c>
    </row>
    <row r="959" customFormat="false" ht="15" hidden="false" customHeight="false" outlineLevel="0" collapsed="false">
      <c r="A959" s="27"/>
      <c r="B959" s="17" t="str">
        <f aca="false">IF($A959="","",COUNTIFS(Orders!$C$2:$C$20001,$A959,Orders!$E$2:$E$20001,"COD",Orders!$F$2:$F$20001,"Delivered")+COUNTIFS(Orders!$C$2:$C$20001,$A959,Orders!$E$2:$E$20001,"COD",Orders!$F$2:$F$20001,"RTO"))</f>
        <v/>
      </c>
      <c r="C959" s="17" t="str">
        <f aca="false">IF($A959="","",COUNTIFS(Orders!$C$2:$C$20001,$A959,Orders!$E$2:$E$20001,"COD",Orders!$F$2:$F$20001,"RTO"))</f>
        <v/>
      </c>
      <c r="D959" s="18" t="str">
        <f aca="false">IF($A959="","",IFERROR(C959/B959,0))</f>
        <v/>
      </c>
      <c r="E959" s="17" t="str">
        <f aca="false">IF($A959="","",COUNTIFS(Orders!$C$2:$C$20001,$A959,Orders!$E$2:$E$20001,"Prepaid",Orders!$F$2:$F$20001,"Delivered")+COUNTIFS(Orders!$C$2:$C$20001,$A959,Orders!$E$2:$E$20001,"Prepaid",Orders!$F$2:$F$20001,"RTO"))</f>
        <v/>
      </c>
      <c r="F959" s="17" t="str">
        <f aca="false">IF($A959="","",COUNTIFS(Orders!$C$2:$C$20001,$A959,Orders!$E$2:$E$20001,"Prepaid",Orders!$F$2:$F$20001,"RTO"))</f>
        <v/>
      </c>
      <c r="G959" s="18" t="str">
        <f aca="false">IF($A959="","",IFERROR(F959/E959,0))</f>
        <v/>
      </c>
      <c r="H959" s="19" t="str">
        <f aca="false">IF($A959="","",C959*Settings!$B$11)</f>
        <v/>
      </c>
      <c r="I959" s="20" t="str">
        <f aca="false">IF($A959="","",IF(N(H959)=0,"",RANK(H959,$H$5:$H$2004)))</f>
        <v/>
      </c>
      <c r="J959" s="21" t="str">
        <f aca="false">IF($A959="","",IF(B959=0,"No COD orders",IF(B959&lt;Settings!$B$8,"Too few orders",IF(D959&gt;=Settings!$B$9,"Restrict COD or verify","Keep COD"))))</f>
        <v/>
      </c>
    </row>
    <row r="960" customFormat="false" ht="15" hidden="false" customHeight="false" outlineLevel="0" collapsed="false">
      <c r="A960" s="27"/>
      <c r="B960" s="17" t="str">
        <f aca="false">IF($A960="","",COUNTIFS(Orders!$C$2:$C$20001,$A960,Orders!$E$2:$E$20001,"COD",Orders!$F$2:$F$20001,"Delivered")+COUNTIFS(Orders!$C$2:$C$20001,$A960,Orders!$E$2:$E$20001,"COD",Orders!$F$2:$F$20001,"RTO"))</f>
        <v/>
      </c>
      <c r="C960" s="17" t="str">
        <f aca="false">IF($A960="","",COUNTIFS(Orders!$C$2:$C$20001,$A960,Orders!$E$2:$E$20001,"COD",Orders!$F$2:$F$20001,"RTO"))</f>
        <v/>
      </c>
      <c r="D960" s="18" t="str">
        <f aca="false">IF($A960="","",IFERROR(C960/B960,0))</f>
        <v/>
      </c>
      <c r="E960" s="17" t="str">
        <f aca="false">IF($A960="","",COUNTIFS(Orders!$C$2:$C$20001,$A960,Orders!$E$2:$E$20001,"Prepaid",Orders!$F$2:$F$20001,"Delivered")+COUNTIFS(Orders!$C$2:$C$20001,$A960,Orders!$E$2:$E$20001,"Prepaid",Orders!$F$2:$F$20001,"RTO"))</f>
        <v/>
      </c>
      <c r="F960" s="17" t="str">
        <f aca="false">IF($A960="","",COUNTIFS(Orders!$C$2:$C$20001,$A960,Orders!$E$2:$E$20001,"Prepaid",Orders!$F$2:$F$20001,"RTO"))</f>
        <v/>
      </c>
      <c r="G960" s="18" t="str">
        <f aca="false">IF($A960="","",IFERROR(F960/E960,0))</f>
        <v/>
      </c>
      <c r="H960" s="19" t="str">
        <f aca="false">IF($A960="","",C960*Settings!$B$11)</f>
        <v/>
      </c>
      <c r="I960" s="20" t="str">
        <f aca="false">IF($A960="","",IF(N(H960)=0,"",RANK(H960,$H$5:$H$2004)))</f>
        <v/>
      </c>
      <c r="J960" s="21" t="str">
        <f aca="false">IF($A960="","",IF(B960=0,"No COD orders",IF(B960&lt;Settings!$B$8,"Too few orders",IF(D960&gt;=Settings!$B$9,"Restrict COD or verify","Keep COD"))))</f>
        <v/>
      </c>
    </row>
    <row r="961" customFormat="false" ht="15" hidden="false" customHeight="false" outlineLevel="0" collapsed="false">
      <c r="A961" s="27"/>
      <c r="B961" s="17" t="str">
        <f aca="false">IF($A961="","",COUNTIFS(Orders!$C$2:$C$20001,$A961,Orders!$E$2:$E$20001,"COD",Orders!$F$2:$F$20001,"Delivered")+COUNTIFS(Orders!$C$2:$C$20001,$A961,Orders!$E$2:$E$20001,"COD",Orders!$F$2:$F$20001,"RTO"))</f>
        <v/>
      </c>
      <c r="C961" s="17" t="str">
        <f aca="false">IF($A961="","",COUNTIFS(Orders!$C$2:$C$20001,$A961,Orders!$E$2:$E$20001,"COD",Orders!$F$2:$F$20001,"RTO"))</f>
        <v/>
      </c>
      <c r="D961" s="18" t="str">
        <f aca="false">IF($A961="","",IFERROR(C961/B961,0))</f>
        <v/>
      </c>
      <c r="E961" s="17" t="str">
        <f aca="false">IF($A961="","",COUNTIFS(Orders!$C$2:$C$20001,$A961,Orders!$E$2:$E$20001,"Prepaid",Orders!$F$2:$F$20001,"Delivered")+COUNTIFS(Orders!$C$2:$C$20001,$A961,Orders!$E$2:$E$20001,"Prepaid",Orders!$F$2:$F$20001,"RTO"))</f>
        <v/>
      </c>
      <c r="F961" s="17" t="str">
        <f aca="false">IF($A961="","",COUNTIFS(Orders!$C$2:$C$20001,$A961,Orders!$E$2:$E$20001,"Prepaid",Orders!$F$2:$F$20001,"RTO"))</f>
        <v/>
      </c>
      <c r="G961" s="18" t="str">
        <f aca="false">IF($A961="","",IFERROR(F961/E961,0))</f>
        <v/>
      </c>
      <c r="H961" s="19" t="str">
        <f aca="false">IF($A961="","",C961*Settings!$B$11)</f>
        <v/>
      </c>
      <c r="I961" s="20" t="str">
        <f aca="false">IF($A961="","",IF(N(H961)=0,"",RANK(H961,$H$5:$H$2004)))</f>
        <v/>
      </c>
      <c r="J961" s="21" t="str">
        <f aca="false">IF($A961="","",IF(B961=0,"No COD orders",IF(B961&lt;Settings!$B$8,"Too few orders",IF(D961&gt;=Settings!$B$9,"Restrict COD or verify","Keep COD"))))</f>
        <v/>
      </c>
    </row>
    <row r="962" customFormat="false" ht="15" hidden="false" customHeight="false" outlineLevel="0" collapsed="false">
      <c r="A962" s="27"/>
      <c r="B962" s="17" t="str">
        <f aca="false">IF($A962="","",COUNTIFS(Orders!$C$2:$C$20001,$A962,Orders!$E$2:$E$20001,"COD",Orders!$F$2:$F$20001,"Delivered")+COUNTIFS(Orders!$C$2:$C$20001,$A962,Orders!$E$2:$E$20001,"COD",Orders!$F$2:$F$20001,"RTO"))</f>
        <v/>
      </c>
      <c r="C962" s="17" t="str">
        <f aca="false">IF($A962="","",COUNTIFS(Orders!$C$2:$C$20001,$A962,Orders!$E$2:$E$20001,"COD",Orders!$F$2:$F$20001,"RTO"))</f>
        <v/>
      </c>
      <c r="D962" s="18" t="str">
        <f aca="false">IF($A962="","",IFERROR(C962/B962,0))</f>
        <v/>
      </c>
      <c r="E962" s="17" t="str">
        <f aca="false">IF($A962="","",COUNTIFS(Orders!$C$2:$C$20001,$A962,Orders!$E$2:$E$20001,"Prepaid",Orders!$F$2:$F$20001,"Delivered")+COUNTIFS(Orders!$C$2:$C$20001,$A962,Orders!$E$2:$E$20001,"Prepaid",Orders!$F$2:$F$20001,"RTO"))</f>
        <v/>
      </c>
      <c r="F962" s="17" t="str">
        <f aca="false">IF($A962="","",COUNTIFS(Orders!$C$2:$C$20001,$A962,Orders!$E$2:$E$20001,"Prepaid",Orders!$F$2:$F$20001,"RTO"))</f>
        <v/>
      </c>
      <c r="G962" s="18" t="str">
        <f aca="false">IF($A962="","",IFERROR(F962/E962,0))</f>
        <v/>
      </c>
      <c r="H962" s="19" t="str">
        <f aca="false">IF($A962="","",C962*Settings!$B$11)</f>
        <v/>
      </c>
      <c r="I962" s="20" t="str">
        <f aca="false">IF($A962="","",IF(N(H962)=0,"",RANK(H962,$H$5:$H$2004)))</f>
        <v/>
      </c>
      <c r="J962" s="21" t="str">
        <f aca="false">IF($A962="","",IF(B962=0,"No COD orders",IF(B962&lt;Settings!$B$8,"Too few orders",IF(D962&gt;=Settings!$B$9,"Restrict COD or verify","Keep COD"))))</f>
        <v/>
      </c>
    </row>
    <row r="963" customFormat="false" ht="15" hidden="false" customHeight="false" outlineLevel="0" collapsed="false">
      <c r="A963" s="27"/>
      <c r="B963" s="17" t="str">
        <f aca="false">IF($A963="","",COUNTIFS(Orders!$C$2:$C$20001,$A963,Orders!$E$2:$E$20001,"COD",Orders!$F$2:$F$20001,"Delivered")+COUNTIFS(Orders!$C$2:$C$20001,$A963,Orders!$E$2:$E$20001,"COD",Orders!$F$2:$F$20001,"RTO"))</f>
        <v/>
      </c>
      <c r="C963" s="17" t="str">
        <f aca="false">IF($A963="","",COUNTIFS(Orders!$C$2:$C$20001,$A963,Orders!$E$2:$E$20001,"COD",Orders!$F$2:$F$20001,"RTO"))</f>
        <v/>
      </c>
      <c r="D963" s="18" t="str">
        <f aca="false">IF($A963="","",IFERROR(C963/B963,0))</f>
        <v/>
      </c>
      <c r="E963" s="17" t="str">
        <f aca="false">IF($A963="","",COUNTIFS(Orders!$C$2:$C$20001,$A963,Orders!$E$2:$E$20001,"Prepaid",Orders!$F$2:$F$20001,"Delivered")+COUNTIFS(Orders!$C$2:$C$20001,$A963,Orders!$E$2:$E$20001,"Prepaid",Orders!$F$2:$F$20001,"RTO"))</f>
        <v/>
      </c>
      <c r="F963" s="17" t="str">
        <f aca="false">IF($A963="","",COUNTIFS(Orders!$C$2:$C$20001,$A963,Orders!$E$2:$E$20001,"Prepaid",Orders!$F$2:$F$20001,"RTO"))</f>
        <v/>
      </c>
      <c r="G963" s="18" t="str">
        <f aca="false">IF($A963="","",IFERROR(F963/E963,0))</f>
        <v/>
      </c>
      <c r="H963" s="19" t="str">
        <f aca="false">IF($A963="","",C963*Settings!$B$11)</f>
        <v/>
      </c>
      <c r="I963" s="20" t="str">
        <f aca="false">IF($A963="","",IF(N(H963)=0,"",RANK(H963,$H$5:$H$2004)))</f>
        <v/>
      </c>
      <c r="J963" s="21" t="str">
        <f aca="false">IF($A963="","",IF(B963=0,"No COD orders",IF(B963&lt;Settings!$B$8,"Too few orders",IF(D963&gt;=Settings!$B$9,"Restrict COD or verify","Keep COD"))))</f>
        <v/>
      </c>
    </row>
    <row r="964" customFormat="false" ht="15" hidden="false" customHeight="false" outlineLevel="0" collapsed="false">
      <c r="A964" s="27"/>
      <c r="B964" s="17" t="str">
        <f aca="false">IF($A964="","",COUNTIFS(Orders!$C$2:$C$20001,$A964,Orders!$E$2:$E$20001,"COD",Orders!$F$2:$F$20001,"Delivered")+COUNTIFS(Orders!$C$2:$C$20001,$A964,Orders!$E$2:$E$20001,"COD",Orders!$F$2:$F$20001,"RTO"))</f>
        <v/>
      </c>
      <c r="C964" s="17" t="str">
        <f aca="false">IF($A964="","",COUNTIFS(Orders!$C$2:$C$20001,$A964,Orders!$E$2:$E$20001,"COD",Orders!$F$2:$F$20001,"RTO"))</f>
        <v/>
      </c>
      <c r="D964" s="18" t="str">
        <f aca="false">IF($A964="","",IFERROR(C964/B964,0))</f>
        <v/>
      </c>
      <c r="E964" s="17" t="str">
        <f aca="false">IF($A964="","",COUNTIFS(Orders!$C$2:$C$20001,$A964,Orders!$E$2:$E$20001,"Prepaid",Orders!$F$2:$F$20001,"Delivered")+COUNTIFS(Orders!$C$2:$C$20001,$A964,Orders!$E$2:$E$20001,"Prepaid",Orders!$F$2:$F$20001,"RTO"))</f>
        <v/>
      </c>
      <c r="F964" s="17" t="str">
        <f aca="false">IF($A964="","",COUNTIFS(Orders!$C$2:$C$20001,$A964,Orders!$E$2:$E$20001,"Prepaid",Orders!$F$2:$F$20001,"RTO"))</f>
        <v/>
      </c>
      <c r="G964" s="18" t="str">
        <f aca="false">IF($A964="","",IFERROR(F964/E964,0))</f>
        <v/>
      </c>
      <c r="H964" s="19" t="str">
        <f aca="false">IF($A964="","",C964*Settings!$B$11)</f>
        <v/>
      </c>
      <c r="I964" s="20" t="str">
        <f aca="false">IF($A964="","",IF(N(H964)=0,"",RANK(H964,$H$5:$H$2004)))</f>
        <v/>
      </c>
      <c r="J964" s="21" t="str">
        <f aca="false">IF($A964="","",IF(B964=0,"No COD orders",IF(B964&lt;Settings!$B$8,"Too few orders",IF(D964&gt;=Settings!$B$9,"Restrict COD or verify","Keep COD"))))</f>
        <v/>
      </c>
    </row>
    <row r="965" customFormat="false" ht="15" hidden="false" customHeight="false" outlineLevel="0" collapsed="false">
      <c r="A965" s="27"/>
      <c r="B965" s="17" t="str">
        <f aca="false">IF($A965="","",COUNTIFS(Orders!$C$2:$C$20001,$A965,Orders!$E$2:$E$20001,"COD",Orders!$F$2:$F$20001,"Delivered")+COUNTIFS(Orders!$C$2:$C$20001,$A965,Orders!$E$2:$E$20001,"COD",Orders!$F$2:$F$20001,"RTO"))</f>
        <v/>
      </c>
      <c r="C965" s="17" t="str">
        <f aca="false">IF($A965="","",COUNTIFS(Orders!$C$2:$C$20001,$A965,Orders!$E$2:$E$20001,"COD",Orders!$F$2:$F$20001,"RTO"))</f>
        <v/>
      </c>
      <c r="D965" s="18" t="str">
        <f aca="false">IF($A965="","",IFERROR(C965/B965,0))</f>
        <v/>
      </c>
      <c r="E965" s="17" t="str">
        <f aca="false">IF($A965="","",COUNTIFS(Orders!$C$2:$C$20001,$A965,Orders!$E$2:$E$20001,"Prepaid",Orders!$F$2:$F$20001,"Delivered")+COUNTIFS(Orders!$C$2:$C$20001,$A965,Orders!$E$2:$E$20001,"Prepaid",Orders!$F$2:$F$20001,"RTO"))</f>
        <v/>
      </c>
      <c r="F965" s="17" t="str">
        <f aca="false">IF($A965="","",COUNTIFS(Orders!$C$2:$C$20001,$A965,Orders!$E$2:$E$20001,"Prepaid",Orders!$F$2:$F$20001,"RTO"))</f>
        <v/>
      </c>
      <c r="G965" s="18" t="str">
        <f aca="false">IF($A965="","",IFERROR(F965/E965,0))</f>
        <v/>
      </c>
      <c r="H965" s="19" t="str">
        <f aca="false">IF($A965="","",C965*Settings!$B$11)</f>
        <v/>
      </c>
      <c r="I965" s="20" t="str">
        <f aca="false">IF($A965="","",IF(N(H965)=0,"",RANK(H965,$H$5:$H$2004)))</f>
        <v/>
      </c>
      <c r="J965" s="21" t="str">
        <f aca="false">IF($A965="","",IF(B965=0,"No COD orders",IF(B965&lt;Settings!$B$8,"Too few orders",IF(D965&gt;=Settings!$B$9,"Restrict COD or verify","Keep COD"))))</f>
        <v/>
      </c>
    </row>
    <row r="966" customFormat="false" ht="15" hidden="false" customHeight="false" outlineLevel="0" collapsed="false">
      <c r="A966" s="27"/>
      <c r="B966" s="17" t="str">
        <f aca="false">IF($A966="","",COUNTIFS(Orders!$C$2:$C$20001,$A966,Orders!$E$2:$E$20001,"COD",Orders!$F$2:$F$20001,"Delivered")+COUNTIFS(Orders!$C$2:$C$20001,$A966,Orders!$E$2:$E$20001,"COD",Orders!$F$2:$F$20001,"RTO"))</f>
        <v/>
      </c>
      <c r="C966" s="17" t="str">
        <f aca="false">IF($A966="","",COUNTIFS(Orders!$C$2:$C$20001,$A966,Orders!$E$2:$E$20001,"COD",Orders!$F$2:$F$20001,"RTO"))</f>
        <v/>
      </c>
      <c r="D966" s="18" t="str">
        <f aca="false">IF($A966="","",IFERROR(C966/B966,0))</f>
        <v/>
      </c>
      <c r="E966" s="17" t="str">
        <f aca="false">IF($A966="","",COUNTIFS(Orders!$C$2:$C$20001,$A966,Orders!$E$2:$E$20001,"Prepaid",Orders!$F$2:$F$20001,"Delivered")+COUNTIFS(Orders!$C$2:$C$20001,$A966,Orders!$E$2:$E$20001,"Prepaid",Orders!$F$2:$F$20001,"RTO"))</f>
        <v/>
      </c>
      <c r="F966" s="17" t="str">
        <f aca="false">IF($A966="","",COUNTIFS(Orders!$C$2:$C$20001,$A966,Orders!$E$2:$E$20001,"Prepaid",Orders!$F$2:$F$20001,"RTO"))</f>
        <v/>
      </c>
      <c r="G966" s="18" t="str">
        <f aca="false">IF($A966="","",IFERROR(F966/E966,0))</f>
        <v/>
      </c>
      <c r="H966" s="19" t="str">
        <f aca="false">IF($A966="","",C966*Settings!$B$11)</f>
        <v/>
      </c>
      <c r="I966" s="20" t="str">
        <f aca="false">IF($A966="","",IF(N(H966)=0,"",RANK(H966,$H$5:$H$2004)))</f>
        <v/>
      </c>
      <c r="J966" s="21" t="str">
        <f aca="false">IF($A966="","",IF(B966=0,"No COD orders",IF(B966&lt;Settings!$B$8,"Too few orders",IF(D966&gt;=Settings!$B$9,"Restrict COD or verify","Keep COD"))))</f>
        <v/>
      </c>
    </row>
    <row r="967" customFormat="false" ht="15" hidden="false" customHeight="false" outlineLevel="0" collapsed="false">
      <c r="A967" s="27"/>
      <c r="B967" s="17" t="str">
        <f aca="false">IF($A967="","",COUNTIFS(Orders!$C$2:$C$20001,$A967,Orders!$E$2:$E$20001,"COD",Orders!$F$2:$F$20001,"Delivered")+COUNTIFS(Orders!$C$2:$C$20001,$A967,Orders!$E$2:$E$20001,"COD",Orders!$F$2:$F$20001,"RTO"))</f>
        <v/>
      </c>
      <c r="C967" s="17" t="str">
        <f aca="false">IF($A967="","",COUNTIFS(Orders!$C$2:$C$20001,$A967,Orders!$E$2:$E$20001,"COD",Orders!$F$2:$F$20001,"RTO"))</f>
        <v/>
      </c>
      <c r="D967" s="18" t="str">
        <f aca="false">IF($A967="","",IFERROR(C967/B967,0))</f>
        <v/>
      </c>
      <c r="E967" s="17" t="str">
        <f aca="false">IF($A967="","",COUNTIFS(Orders!$C$2:$C$20001,$A967,Orders!$E$2:$E$20001,"Prepaid",Orders!$F$2:$F$20001,"Delivered")+COUNTIFS(Orders!$C$2:$C$20001,$A967,Orders!$E$2:$E$20001,"Prepaid",Orders!$F$2:$F$20001,"RTO"))</f>
        <v/>
      </c>
      <c r="F967" s="17" t="str">
        <f aca="false">IF($A967="","",COUNTIFS(Orders!$C$2:$C$20001,$A967,Orders!$E$2:$E$20001,"Prepaid",Orders!$F$2:$F$20001,"RTO"))</f>
        <v/>
      </c>
      <c r="G967" s="18" t="str">
        <f aca="false">IF($A967="","",IFERROR(F967/E967,0))</f>
        <v/>
      </c>
      <c r="H967" s="19" t="str">
        <f aca="false">IF($A967="","",C967*Settings!$B$11)</f>
        <v/>
      </c>
      <c r="I967" s="20" t="str">
        <f aca="false">IF($A967="","",IF(N(H967)=0,"",RANK(H967,$H$5:$H$2004)))</f>
        <v/>
      </c>
      <c r="J967" s="21" t="str">
        <f aca="false">IF($A967="","",IF(B967=0,"No COD orders",IF(B967&lt;Settings!$B$8,"Too few orders",IF(D967&gt;=Settings!$B$9,"Restrict COD or verify","Keep COD"))))</f>
        <v/>
      </c>
    </row>
    <row r="968" customFormat="false" ht="15" hidden="false" customHeight="false" outlineLevel="0" collapsed="false">
      <c r="A968" s="27"/>
      <c r="B968" s="17" t="str">
        <f aca="false">IF($A968="","",COUNTIFS(Orders!$C$2:$C$20001,$A968,Orders!$E$2:$E$20001,"COD",Orders!$F$2:$F$20001,"Delivered")+COUNTIFS(Orders!$C$2:$C$20001,$A968,Orders!$E$2:$E$20001,"COD",Orders!$F$2:$F$20001,"RTO"))</f>
        <v/>
      </c>
      <c r="C968" s="17" t="str">
        <f aca="false">IF($A968="","",COUNTIFS(Orders!$C$2:$C$20001,$A968,Orders!$E$2:$E$20001,"COD",Orders!$F$2:$F$20001,"RTO"))</f>
        <v/>
      </c>
      <c r="D968" s="18" t="str">
        <f aca="false">IF($A968="","",IFERROR(C968/B968,0))</f>
        <v/>
      </c>
      <c r="E968" s="17" t="str">
        <f aca="false">IF($A968="","",COUNTIFS(Orders!$C$2:$C$20001,$A968,Orders!$E$2:$E$20001,"Prepaid",Orders!$F$2:$F$20001,"Delivered")+COUNTIFS(Orders!$C$2:$C$20001,$A968,Orders!$E$2:$E$20001,"Prepaid",Orders!$F$2:$F$20001,"RTO"))</f>
        <v/>
      </c>
      <c r="F968" s="17" t="str">
        <f aca="false">IF($A968="","",COUNTIFS(Orders!$C$2:$C$20001,$A968,Orders!$E$2:$E$20001,"Prepaid",Orders!$F$2:$F$20001,"RTO"))</f>
        <v/>
      </c>
      <c r="G968" s="18" t="str">
        <f aca="false">IF($A968="","",IFERROR(F968/E968,0))</f>
        <v/>
      </c>
      <c r="H968" s="19" t="str">
        <f aca="false">IF($A968="","",C968*Settings!$B$11)</f>
        <v/>
      </c>
      <c r="I968" s="20" t="str">
        <f aca="false">IF($A968="","",IF(N(H968)=0,"",RANK(H968,$H$5:$H$2004)))</f>
        <v/>
      </c>
      <c r="J968" s="21" t="str">
        <f aca="false">IF($A968="","",IF(B968=0,"No COD orders",IF(B968&lt;Settings!$B$8,"Too few orders",IF(D968&gt;=Settings!$B$9,"Restrict COD or verify","Keep COD"))))</f>
        <v/>
      </c>
    </row>
    <row r="969" customFormat="false" ht="15" hidden="false" customHeight="false" outlineLevel="0" collapsed="false">
      <c r="A969" s="27"/>
      <c r="B969" s="17" t="str">
        <f aca="false">IF($A969="","",COUNTIFS(Orders!$C$2:$C$20001,$A969,Orders!$E$2:$E$20001,"COD",Orders!$F$2:$F$20001,"Delivered")+COUNTIFS(Orders!$C$2:$C$20001,$A969,Orders!$E$2:$E$20001,"COD",Orders!$F$2:$F$20001,"RTO"))</f>
        <v/>
      </c>
      <c r="C969" s="17" t="str">
        <f aca="false">IF($A969="","",COUNTIFS(Orders!$C$2:$C$20001,$A969,Orders!$E$2:$E$20001,"COD",Orders!$F$2:$F$20001,"RTO"))</f>
        <v/>
      </c>
      <c r="D969" s="18" t="str">
        <f aca="false">IF($A969="","",IFERROR(C969/B969,0))</f>
        <v/>
      </c>
      <c r="E969" s="17" t="str">
        <f aca="false">IF($A969="","",COUNTIFS(Orders!$C$2:$C$20001,$A969,Orders!$E$2:$E$20001,"Prepaid",Orders!$F$2:$F$20001,"Delivered")+COUNTIFS(Orders!$C$2:$C$20001,$A969,Orders!$E$2:$E$20001,"Prepaid",Orders!$F$2:$F$20001,"RTO"))</f>
        <v/>
      </c>
      <c r="F969" s="17" t="str">
        <f aca="false">IF($A969="","",COUNTIFS(Orders!$C$2:$C$20001,$A969,Orders!$E$2:$E$20001,"Prepaid",Orders!$F$2:$F$20001,"RTO"))</f>
        <v/>
      </c>
      <c r="G969" s="18" t="str">
        <f aca="false">IF($A969="","",IFERROR(F969/E969,0))</f>
        <v/>
      </c>
      <c r="H969" s="19" t="str">
        <f aca="false">IF($A969="","",C969*Settings!$B$11)</f>
        <v/>
      </c>
      <c r="I969" s="20" t="str">
        <f aca="false">IF($A969="","",IF(N(H969)=0,"",RANK(H969,$H$5:$H$2004)))</f>
        <v/>
      </c>
      <c r="J969" s="21" t="str">
        <f aca="false">IF($A969="","",IF(B969=0,"No COD orders",IF(B969&lt;Settings!$B$8,"Too few orders",IF(D969&gt;=Settings!$B$9,"Restrict COD or verify","Keep COD"))))</f>
        <v/>
      </c>
    </row>
    <row r="970" customFormat="false" ht="15" hidden="false" customHeight="false" outlineLevel="0" collapsed="false">
      <c r="A970" s="27"/>
      <c r="B970" s="17" t="str">
        <f aca="false">IF($A970="","",COUNTIFS(Orders!$C$2:$C$20001,$A970,Orders!$E$2:$E$20001,"COD",Orders!$F$2:$F$20001,"Delivered")+COUNTIFS(Orders!$C$2:$C$20001,$A970,Orders!$E$2:$E$20001,"COD",Orders!$F$2:$F$20001,"RTO"))</f>
        <v/>
      </c>
      <c r="C970" s="17" t="str">
        <f aca="false">IF($A970="","",COUNTIFS(Orders!$C$2:$C$20001,$A970,Orders!$E$2:$E$20001,"COD",Orders!$F$2:$F$20001,"RTO"))</f>
        <v/>
      </c>
      <c r="D970" s="18" t="str">
        <f aca="false">IF($A970="","",IFERROR(C970/B970,0))</f>
        <v/>
      </c>
      <c r="E970" s="17" t="str">
        <f aca="false">IF($A970="","",COUNTIFS(Orders!$C$2:$C$20001,$A970,Orders!$E$2:$E$20001,"Prepaid",Orders!$F$2:$F$20001,"Delivered")+COUNTIFS(Orders!$C$2:$C$20001,$A970,Orders!$E$2:$E$20001,"Prepaid",Orders!$F$2:$F$20001,"RTO"))</f>
        <v/>
      </c>
      <c r="F970" s="17" t="str">
        <f aca="false">IF($A970="","",COUNTIFS(Orders!$C$2:$C$20001,$A970,Orders!$E$2:$E$20001,"Prepaid",Orders!$F$2:$F$20001,"RTO"))</f>
        <v/>
      </c>
      <c r="G970" s="18" t="str">
        <f aca="false">IF($A970="","",IFERROR(F970/E970,0))</f>
        <v/>
      </c>
      <c r="H970" s="19" t="str">
        <f aca="false">IF($A970="","",C970*Settings!$B$11)</f>
        <v/>
      </c>
      <c r="I970" s="20" t="str">
        <f aca="false">IF($A970="","",IF(N(H970)=0,"",RANK(H970,$H$5:$H$2004)))</f>
        <v/>
      </c>
      <c r="J970" s="21" t="str">
        <f aca="false">IF($A970="","",IF(B970=0,"No COD orders",IF(B970&lt;Settings!$B$8,"Too few orders",IF(D970&gt;=Settings!$B$9,"Restrict COD or verify","Keep COD"))))</f>
        <v/>
      </c>
    </row>
    <row r="971" customFormat="false" ht="15" hidden="false" customHeight="false" outlineLevel="0" collapsed="false">
      <c r="A971" s="27"/>
      <c r="B971" s="17" t="str">
        <f aca="false">IF($A971="","",COUNTIFS(Orders!$C$2:$C$20001,$A971,Orders!$E$2:$E$20001,"COD",Orders!$F$2:$F$20001,"Delivered")+COUNTIFS(Orders!$C$2:$C$20001,$A971,Orders!$E$2:$E$20001,"COD",Orders!$F$2:$F$20001,"RTO"))</f>
        <v/>
      </c>
      <c r="C971" s="17" t="str">
        <f aca="false">IF($A971="","",COUNTIFS(Orders!$C$2:$C$20001,$A971,Orders!$E$2:$E$20001,"COD",Orders!$F$2:$F$20001,"RTO"))</f>
        <v/>
      </c>
      <c r="D971" s="18" t="str">
        <f aca="false">IF($A971="","",IFERROR(C971/B971,0))</f>
        <v/>
      </c>
      <c r="E971" s="17" t="str">
        <f aca="false">IF($A971="","",COUNTIFS(Orders!$C$2:$C$20001,$A971,Orders!$E$2:$E$20001,"Prepaid",Orders!$F$2:$F$20001,"Delivered")+COUNTIFS(Orders!$C$2:$C$20001,$A971,Orders!$E$2:$E$20001,"Prepaid",Orders!$F$2:$F$20001,"RTO"))</f>
        <v/>
      </c>
      <c r="F971" s="17" t="str">
        <f aca="false">IF($A971="","",COUNTIFS(Orders!$C$2:$C$20001,$A971,Orders!$E$2:$E$20001,"Prepaid",Orders!$F$2:$F$20001,"RTO"))</f>
        <v/>
      </c>
      <c r="G971" s="18" t="str">
        <f aca="false">IF($A971="","",IFERROR(F971/E971,0))</f>
        <v/>
      </c>
      <c r="H971" s="19" t="str">
        <f aca="false">IF($A971="","",C971*Settings!$B$11)</f>
        <v/>
      </c>
      <c r="I971" s="20" t="str">
        <f aca="false">IF($A971="","",IF(N(H971)=0,"",RANK(H971,$H$5:$H$2004)))</f>
        <v/>
      </c>
      <c r="J971" s="21" t="str">
        <f aca="false">IF($A971="","",IF(B971=0,"No COD orders",IF(B971&lt;Settings!$B$8,"Too few orders",IF(D971&gt;=Settings!$B$9,"Restrict COD or verify","Keep COD"))))</f>
        <v/>
      </c>
    </row>
    <row r="972" customFormat="false" ht="15" hidden="false" customHeight="false" outlineLevel="0" collapsed="false">
      <c r="A972" s="27"/>
      <c r="B972" s="17" t="str">
        <f aca="false">IF($A972="","",COUNTIFS(Orders!$C$2:$C$20001,$A972,Orders!$E$2:$E$20001,"COD",Orders!$F$2:$F$20001,"Delivered")+COUNTIFS(Orders!$C$2:$C$20001,$A972,Orders!$E$2:$E$20001,"COD",Orders!$F$2:$F$20001,"RTO"))</f>
        <v/>
      </c>
      <c r="C972" s="17" t="str">
        <f aca="false">IF($A972="","",COUNTIFS(Orders!$C$2:$C$20001,$A972,Orders!$E$2:$E$20001,"COD",Orders!$F$2:$F$20001,"RTO"))</f>
        <v/>
      </c>
      <c r="D972" s="18" t="str">
        <f aca="false">IF($A972="","",IFERROR(C972/B972,0))</f>
        <v/>
      </c>
      <c r="E972" s="17" t="str">
        <f aca="false">IF($A972="","",COUNTIFS(Orders!$C$2:$C$20001,$A972,Orders!$E$2:$E$20001,"Prepaid",Orders!$F$2:$F$20001,"Delivered")+COUNTIFS(Orders!$C$2:$C$20001,$A972,Orders!$E$2:$E$20001,"Prepaid",Orders!$F$2:$F$20001,"RTO"))</f>
        <v/>
      </c>
      <c r="F972" s="17" t="str">
        <f aca="false">IF($A972="","",COUNTIFS(Orders!$C$2:$C$20001,$A972,Orders!$E$2:$E$20001,"Prepaid",Orders!$F$2:$F$20001,"RTO"))</f>
        <v/>
      </c>
      <c r="G972" s="18" t="str">
        <f aca="false">IF($A972="","",IFERROR(F972/E972,0))</f>
        <v/>
      </c>
      <c r="H972" s="19" t="str">
        <f aca="false">IF($A972="","",C972*Settings!$B$11)</f>
        <v/>
      </c>
      <c r="I972" s="20" t="str">
        <f aca="false">IF($A972="","",IF(N(H972)=0,"",RANK(H972,$H$5:$H$2004)))</f>
        <v/>
      </c>
      <c r="J972" s="21" t="str">
        <f aca="false">IF($A972="","",IF(B972=0,"No COD orders",IF(B972&lt;Settings!$B$8,"Too few orders",IF(D972&gt;=Settings!$B$9,"Restrict COD or verify","Keep COD"))))</f>
        <v/>
      </c>
    </row>
    <row r="973" customFormat="false" ht="15" hidden="false" customHeight="false" outlineLevel="0" collapsed="false">
      <c r="A973" s="27"/>
      <c r="B973" s="17" t="str">
        <f aca="false">IF($A973="","",COUNTIFS(Orders!$C$2:$C$20001,$A973,Orders!$E$2:$E$20001,"COD",Orders!$F$2:$F$20001,"Delivered")+COUNTIFS(Orders!$C$2:$C$20001,$A973,Orders!$E$2:$E$20001,"COD",Orders!$F$2:$F$20001,"RTO"))</f>
        <v/>
      </c>
      <c r="C973" s="17" t="str">
        <f aca="false">IF($A973="","",COUNTIFS(Orders!$C$2:$C$20001,$A973,Orders!$E$2:$E$20001,"COD",Orders!$F$2:$F$20001,"RTO"))</f>
        <v/>
      </c>
      <c r="D973" s="18" t="str">
        <f aca="false">IF($A973="","",IFERROR(C973/B973,0))</f>
        <v/>
      </c>
      <c r="E973" s="17" t="str">
        <f aca="false">IF($A973="","",COUNTIFS(Orders!$C$2:$C$20001,$A973,Orders!$E$2:$E$20001,"Prepaid",Orders!$F$2:$F$20001,"Delivered")+COUNTIFS(Orders!$C$2:$C$20001,$A973,Orders!$E$2:$E$20001,"Prepaid",Orders!$F$2:$F$20001,"RTO"))</f>
        <v/>
      </c>
      <c r="F973" s="17" t="str">
        <f aca="false">IF($A973="","",COUNTIFS(Orders!$C$2:$C$20001,$A973,Orders!$E$2:$E$20001,"Prepaid",Orders!$F$2:$F$20001,"RTO"))</f>
        <v/>
      </c>
      <c r="G973" s="18" t="str">
        <f aca="false">IF($A973="","",IFERROR(F973/E973,0))</f>
        <v/>
      </c>
      <c r="H973" s="19" t="str">
        <f aca="false">IF($A973="","",C973*Settings!$B$11)</f>
        <v/>
      </c>
      <c r="I973" s="20" t="str">
        <f aca="false">IF($A973="","",IF(N(H973)=0,"",RANK(H973,$H$5:$H$2004)))</f>
        <v/>
      </c>
      <c r="J973" s="21" t="str">
        <f aca="false">IF($A973="","",IF(B973=0,"No COD orders",IF(B973&lt;Settings!$B$8,"Too few orders",IF(D973&gt;=Settings!$B$9,"Restrict COD or verify","Keep COD"))))</f>
        <v/>
      </c>
    </row>
    <row r="974" customFormat="false" ht="15" hidden="false" customHeight="false" outlineLevel="0" collapsed="false">
      <c r="A974" s="27"/>
      <c r="B974" s="17" t="str">
        <f aca="false">IF($A974="","",COUNTIFS(Orders!$C$2:$C$20001,$A974,Orders!$E$2:$E$20001,"COD",Orders!$F$2:$F$20001,"Delivered")+COUNTIFS(Orders!$C$2:$C$20001,$A974,Orders!$E$2:$E$20001,"COD",Orders!$F$2:$F$20001,"RTO"))</f>
        <v/>
      </c>
      <c r="C974" s="17" t="str">
        <f aca="false">IF($A974="","",COUNTIFS(Orders!$C$2:$C$20001,$A974,Orders!$E$2:$E$20001,"COD",Orders!$F$2:$F$20001,"RTO"))</f>
        <v/>
      </c>
      <c r="D974" s="18" t="str">
        <f aca="false">IF($A974="","",IFERROR(C974/B974,0))</f>
        <v/>
      </c>
      <c r="E974" s="17" t="str">
        <f aca="false">IF($A974="","",COUNTIFS(Orders!$C$2:$C$20001,$A974,Orders!$E$2:$E$20001,"Prepaid",Orders!$F$2:$F$20001,"Delivered")+COUNTIFS(Orders!$C$2:$C$20001,$A974,Orders!$E$2:$E$20001,"Prepaid",Orders!$F$2:$F$20001,"RTO"))</f>
        <v/>
      </c>
      <c r="F974" s="17" t="str">
        <f aca="false">IF($A974="","",COUNTIFS(Orders!$C$2:$C$20001,$A974,Orders!$E$2:$E$20001,"Prepaid",Orders!$F$2:$F$20001,"RTO"))</f>
        <v/>
      </c>
      <c r="G974" s="18" t="str">
        <f aca="false">IF($A974="","",IFERROR(F974/E974,0))</f>
        <v/>
      </c>
      <c r="H974" s="19" t="str">
        <f aca="false">IF($A974="","",C974*Settings!$B$11)</f>
        <v/>
      </c>
      <c r="I974" s="20" t="str">
        <f aca="false">IF($A974="","",IF(N(H974)=0,"",RANK(H974,$H$5:$H$2004)))</f>
        <v/>
      </c>
      <c r="J974" s="21" t="str">
        <f aca="false">IF($A974="","",IF(B974=0,"No COD orders",IF(B974&lt;Settings!$B$8,"Too few orders",IF(D974&gt;=Settings!$B$9,"Restrict COD or verify","Keep COD"))))</f>
        <v/>
      </c>
    </row>
    <row r="975" customFormat="false" ht="15" hidden="false" customHeight="false" outlineLevel="0" collapsed="false">
      <c r="A975" s="27"/>
      <c r="B975" s="17" t="str">
        <f aca="false">IF($A975="","",COUNTIFS(Orders!$C$2:$C$20001,$A975,Orders!$E$2:$E$20001,"COD",Orders!$F$2:$F$20001,"Delivered")+COUNTIFS(Orders!$C$2:$C$20001,$A975,Orders!$E$2:$E$20001,"COD",Orders!$F$2:$F$20001,"RTO"))</f>
        <v/>
      </c>
      <c r="C975" s="17" t="str">
        <f aca="false">IF($A975="","",COUNTIFS(Orders!$C$2:$C$20001,$A975,Orders!$E$2:$E$20001,"COD",Orders!$F$2:$F$20001,"RTO"))</f>
        <v/>
      </c>
      <c r="D975" s="18" t="str">
        <f aca="false">IF($A975="","",IFERROR(C975/B975,0))</f>
        <v/>
      </c>
      <c r="E975" s="17" t="str">
        <f aca="false">IF($A975="","",COUNTIFS(Orders!$C$2:$C$20001,$A975,Orders!$E$2:$E$20001,"Prepaid",Orders!$F$2:$F$20001,"Delivered")+COUNTIFS(Orders!$C$2:$C$20001,$A975,Orders!$E$2:$E$20001,"Prepaid",Orders!$F$2:$F$20001,"RTO"))</f>
        <v/>
      </c>
      <c r="F975" s="17" t="str">
        <f aca="false">IF($A975="","",COUNTIFS(Orders!$C$2:$C$20001,$A975,Orders!$E$2:$E$20001,"Prepaid",Orders!$F$2:$F$20001,"RTO"))</f>
        <v/>
      </c>
      <c r="G975" s="18" t="str">
        <f aca="false">IF($A975="","",IFERROR(F975/E975,0))</f>
        <v/>
      </c>
      <c r="H975" s="19" t="str">
        <f aca="false">IF($A975="","",C975*Settings!$B$11)</f>
        <v/>
      </c>
      <c r="I975" s="20" t="str">
        <f aca="false">IF($A975="","",IF(N(H975)=0,"",RANK(H975,$H$5:$H$2004)))</f>
        <v/>
      </c>
      <c r="J975" s="21" t="str">
        <f aca="false">IF($A975="","",IF(B975=0,"No COD orders",IF(B975&lt;Settings!$B$8,"Too few orders",IF(D975&gt;=Settings!$B$9,"Restrict COD or verify","Keep COD"))))</f>
        <v/>
      </c>
    </row>
    <row r="976" customFormat="false" ht="15" hidden="false" customHeight="false" outlineLevel="0" collapsed="false">
      <c r="A976" s="27"/>
      <c r="B976" s="17" t="str">
        <f aca="false">IF($A976="","",COUNTIFS(Orders!$C$2:$C$20001,$A976,Orders!$E$2:$E$20001,"COD",Orders!$F$2:$F$20001,"Delivered")+COUNTIFS(Orders!$C$2:$C$20001,$A976,Orders!$E$2:$E$20001,"COD",Orders!$F$2:$F$20001,"RTO"))</f>
        <v/>
      </c>
      <c r="C976" s="17" t="str">
        <f aca="false">IF($A976="","",COUNTIFS(Orders!$C$2:$C$20001,$A976,Orders!$E$2:$E$20001,"COD",Orders!$F$2:$F$20001,"RTO"))</f>
        <v/>
      </c>
      <c r="D976" s="18" t="str">
        <f aca="false">IF($A976="","",IFERROR(C976/B976,0))</f>
        <v/>
      </c>
      <c r="E976" s="17" t="str">
        <f aca="false">IF($A976="","",COUNTIFS(Orders!$C$2:$C$20001,$A976,Orders!$E$2:$E$20001,"Prepaid",Orders!$F$2:$F$20001,"Delivered")+COUNTIFS(Orders!$C$2:$C$20001,$A976,Orders!$E$2:$E$20001,"Prepaid",Orders!$F$2:$F$20001,"RTO"))</f>
        <v/>
      </c>
      <c r="F976" s="17" t="str">
        <f aca="false">IF($A976="","",COUNTIFS(Orders!$C$2:$C$20001,$A976,Orders!$E$2:$E$20001,"Prepaid",Orders!$F$2:$F$20001,"RTO"))</f>
        <v/>
      </c>
      <c r="G976" s="18" t="str">
        <f aca="false">IF($A976="","",IFERROR(F976/E976,0))</f>
        <v/>
      </c>
      <c r="H976" s="19" t="str">
        <f aca="false">IF($A976="","",C976*Settings!$B$11)</f>
        <v/>
      </c>
      <c r="I976" s="20" t="str">
        <f aca="false">IF($A976="","",IF(N(H976)=0,"",RANK(H976,$H$5:$H$2004)))</f>
        <v/>
      </c>
      <c r="J976" s="21" t="str">
        <f aca="false">IF($A976="","",IF(B976=0,"No COD orders",IF(B976&lt;Settings!$B$8,"Too few orders",IF(D976&gt;=Settings!$B$9,"Restrict COD or verify","Keep COD"))))</f>
        <v/>
      </c>
    </row>
    <row r="977" customFormat="false" ht="15" hidden="false" customHeight="false" outlineLevel="0" collapsed="false">
      <c r="A977" s="27"/>
      <c r="B977" s="17" t="str">
        <f aca="false">IF($A977="","",COUNTIFS(Orders!$C$2:$C$20001,$A977,Orders!$E$2:$E$20001,"COD",Orders!$F$2:$F$20001,"Delivered")+COUNTIFS(Orders!$C$2:$C$20001,$A977,Orders!$E$2:$E$20001,"COD",Orders!$F$2:$F$20001,"RTO"))</f>
        <v/>
      </c>
      <c r="C977" s="17" t="str">
        <f aca="false">IF($A977="","",COUNTIFS(Orders!$C$2:$C$20001,$A977,Orders!$E$2:$E$20001,"COD",Orders!$F$2:$F$20001,"RTO"))</f>
        <v/>
      </c>
      <c r="D977" s="18" t="str">
        <f aca="false">IF($A977="","",IFERROR(C977/B977,0))</f>
        <v/>
      </c>
      <c r="E977" s="17" t="str">
        <f aca="false">IF($A977="","",COUNTIFS(Orders!$C$2:$C$20001,$A977,Orders!$E$2:$E$20001,"Prepaid",Orders!$F$2:$F$20001,"Delivered")+COUNTIFS(Orders!$C$2:$C$20001,$A977,Orders!$E$2:$E$20001,"Prepaid",Orders!$F$2:$F$20001,"RTO"))</f>
        <v/>
      </c>
      <c r="F977" s="17" t="str">
        <f aca="false">IF($A977="","",COUNTIFS(Orders!$C$2:$C$20001,$A977,Orders!$E$2:$E$20001,"Prepaid",Orders!$F$2:$F$20001,"RTO"))</f>
        <v/>
      </c>
      <c r="G977" s="18" t="str">
        <f aca="false">IF($A977="","",IFERROR(F977/E977,0))</f>
        <v/>
      </c>
      <c r="H977" s="19" t="str">
        <f aca="false">IF($A977="","",C977*Settings!$B$11)</f>
        <v/>
      </c>
      <c r="I977" s="20" t="str">
        <f aca="false">IF($A977="","",IF(N(H977)=0,"",RANK(H977,$H$5:$H$2004)))</f>
        <v/>
      </c>
      <c r="J977" s="21" t="str">
        <f aca="false">IF($A977="","",IF(B977=0,"No COD orders",IF(B977&lt;Settings!$B$8,"Too few orders",IF(D977&gt;=Settings!$B$9,"Restrict COD or verify","Keep COD"))))</f>
        <v/>
      </c>
    </row>
    <row r="978" customFormat="false" ht="15" hidden="false" customHeight="false" outlineLevel="0" collapsed="false">
      <c r="A978" s="27"/>
      <c r="B978" s="17" t="str">
        <f aca="false">IF($A978="","",COUNTIFS(Orders!$C$2:$C$20001,$A978,Orders!$E$2:$E$20001,"COD",Orders!$F$2:$F$20001,"Delivered")+COUNTIFS(Orders!$C$2:$C$20001,$A978,Orders!$E$2:$E$20001,"COD",Orders!$F$2:$F$20001,"RTO"))</f>
        <v/>
      </c>
      <c r="C978" s="17" t="str">
        <f aca="false">IF($A978="","",COUNTIFS(Orders!$C$2:$C$20001,$A978,Orders!$E$2:$E$20001,"COD",Orders!$F$2:$F$20001,"RTO"))</f>
        <v/>
      </c>
      <c r="D978" s="18" t="str">
        <f aca="false">IF($A978="","",IFERROR(C978/B978,0))</f>
        <v/>
      </c>
      <c r="E978" s="17" t="str">
        <f aca="false">IF($A978="","",COUNTIFS(Orders!$C$2:$C$20001,$A978,Orders!$E$2:$E$20001,"Prepaid",Orders!$F$2:$F$20001,"Delivered")+COUNTIFS(Orders!$C$2:$C$20001,$A978,Orders!$E$2:$E$20001,"Prepaid",Orders!$F$2:$F$20001,"RTO"))</f>
        <v/>
      </c>
      <c r="F978" s="17" t="str">
        <f aca="false">IF($A978="","",COUNTIFS(Orders!$C$2:$C$20001,$A978,Orders!$E$2:$E$20001,"Prepaid",Orders!$F$2:$F$20001,"RTO"))</f>
        <v/>
      </c>
      <c r="G978" s="18" t="str">
        <f aca="false">IF($A978="","",IFERROR(F978/E978,0))</f>
        <v/>
      </c>
      <c r="H978" s="19" t="str">
        <f aca="false">IF($A978="","",C978*Settings!$B$11)</f>
        <v/>
      </c>
      <c r="I978" s="20" t="str">
        <f aca="false">IF($A978="","",IF(N(H978)=0,"",RANK(H978,$H$5:$H$2004)))</f>
        <v/>
      </c>
      <c r="J978" s="21" t="str">
        <f aca="false">IF($A978="","",IF(B978=0,"No COD orders",IF(B978&lt;Settings!$B$8,"Too few orders",IF(D978&gt;=Settings!$B$9,"Restrict COD or verify","Keep COD"))))</f>
        <v/>
      </c>
    </row>
    <row r="979" customFormat="false" ht="15" hidden="false" customHeight="false" outlineLevel="0" collapsed="false">
      <c r="A979" s="27"/>
      <c r="B979" s="17" t="str">
        <f aca="false">IF($A979="","",COUNTIFS(Orders!$C$2:$C$20001,$A979,Orders!$E$2:$E$20001,"COD",Orders!$F$2:$F$20001,"Delivered")+COUNTIFS(Orders!$C$2:$C$20001,$A979,Orders!$E$2:$E$20001,"COD",Orders!$F$2:$F$20001,"RTO"))</f>
        <v/>
      </c>
      <c r="C979" s="17" t="str">
        <f aca="false">IF($A979="","",COUNTIFS(Orders!$C$2:$C$20001,$A979,Orders!$E$2:$E$20001,"COD",Orders!$F$2:$F$20001,"RTO"))</f>
        <v/>
      </c>
      <c r="D979" s="18" t="str">
        <f aca="false">IF($A979="","",IFERROR(C979/B979,0))</f>
        <v/>
      </c>
      <c r="E979" s="17" t="str">
        <f aca="false">IF($A979="","",COUNTIFS(Orders!$C$2:$C$20001,$A979,Orders!$E$2:$E$20001,"Prepaid",Orders!$F$2:$F$20001,"Delivered")+COUNTIFS(Orders!$C$2:$C$20001,$A979,Orders!$E$2:$E$20001,"Prepaid",Orders!$F$2:$F$20001,"RTO"))</f>
        <v/>
      </c>
      <c r="F979" s="17" t="str">
        <f aca="false">IF($A979="","",COUNTIFS(Orders!$C$2:$C$20001,$A979,Orders!$E$2:$E$20001,"Prepaid",Orders!$F$2:$F$20001,"RTO"))</f>
        <v/>
      </c>
      <c r="G979" s="18" t="str">
        <f aca="false">IF($A979="","",IFERROR(F979/E979,0))</f>
        <v/>
      </c>
      <c r="H979" s="19" t="str">
        <f aca="false">IF($A979="","",C979*Settings!$B$11)</f>
        <v/>
      </c>
      <c r="I979" s="20" t="str">
        <f aca="false">IF($A979="","",IF(N(H979)=0,"",RANK(H979,$H$5:$H$2004)))</f>
        <v/>
      </c>
      <c r="J979" s="21" t="str">
        <f aca="false">IF($A979="","",IF(B979=0,"No COD orders",IF(B979&lt;Settings!$B$8,"Too few orders",IF(D979&gt;=Settings!$B$9,"Restrict COD or verify","Keep COD"))))</f>
        <v/>
      </c>
    </row>
    <row r="980" customFormat="false" ht="15" hidden="false" customHeight="false" outlineLevel="0" collapsed="false">
      <c r="A980" s="27"/>
      <c r="B980" s="17" t="str">
        <f aca="false">IF($A980="","",COUNTIFS(Orders!$C$2:$C$20001,$A980,Orders!$E$2:$E$20001,"COD",Orders!$F$2:$F$20001,"Delivered")+COUNTIFS(Orders!$C$2:$C$20001,$A980,Orders!$E$2:$E$20001,"COD",Orders!$F$2:$F$20001,"RTO"))</f>
        <v/>
      </c>
      <c r="C980" s="17" t="str">
        <f aca="false">IF($A980="","",COUNTIFS(Orders!$C$2:$C$20001,$A980,Orders!$E$2:$E$20001,"COD",Orders!$F$2:$F$20001,"RTO"))</f>
        <v/>
      </c>
      <c r="D980" s="18" t="str">
        <f aca="false">IF($A980="","",IFERROR(C980/B980,0))</f>
        <v/>
      </c>
      <c r="E980" s="17" t="str">
        <f aca="false">IF($A980="","",COUNTIFS(Orders!$C$2:$C$20001,$A980,Orders!$E$2:$E$20001,"Prepaid",Orders!$F$2:$F$20001,"Delivered")+COUNTIFS(Orders!$C$2:$C$20001,$A980,Orders!$E$2:$E$20001,"Prepaid",Orders!$F$2:$F$20001,"RTO"))</f>
        <v/>
      </c>
      <c r="F980" s="17" t="str">
        <f aca="false">IF($A980="","",COUNTIFS(Orders!$C$2:$C$20001,$A980,Orders!$E$2:$E$20001,"Prepaid",Orders!$F$2:$F$20001,"RTO"))</f>
        <v/>
      </c>
      <c r="G980" s="18" t="str">
        <f aca="false">IF($A980="","",IFERROR(F980/E980,0))</f>
        <v/>
      </c>
      <c r="H980" s="19" t="str">
        <f aca="false">IF($A980="","",C980*Settings!$B$11)</f>
        <v/>
      </c>
      <c r="I980" s="20" t="str">
        <f aca="false">IF($A980="","",IF(N(H980)=0,"",RANK(H980,$H$5:$H$2004)))</f>
        <v/>
      </c>
      <c r="J980" s="21" t="str">
        <f aca="false">IF($A980="","",IF(B980=0,"No COD orders",IF(B980&lt;Settings!$B$8,"Too few orders",IF(D980&gt;=Settings!$B$9,"Restrict COD or verify","Keep COD"))))</f>
        <v/>
      </c>
    </row>
    <row r="981" customFormat="false" ht="15" hidden="false" customHeight="false" outlineLevel="0" collapsed="false">
      <c r="A981" s="27"/>
      <c r="B981" s="17" t="str">
        <f aca="false">IF($A981="","",COUNTIFS(Orders!$C$2:$C$20001,$A981,Orders!$E$2:$E$20001,"COD",Orders!$F$2:$F$20001,"Delivered")+COUNTIFS(Orders!$C$2:$C$20001,$A981,Orders!$E$2:$E$20001,"COD",Orders!$F$2:$F$20001,"RTO"))</f>
        <v/>
      </c>
      <c r="C981" s="17" t="str">
        <f aca="false">IF($A981="","",COUNTIFS(Orders!$C$2:$C$20001,$A981,Orders!$E$2:$E$20001,"COD",Orders!$F$2:$F$20001,"RTO"))</f>
        <v/>
      </c>
      <c r="D981" s="18" t="str">
        <f aca="false">IF($A981="","",IFERROR(C981/B981,0))</f>
        <v/>
      </c>
      <c r="E981" s="17" t="str">
        <f aca="false">IF($A981="","",COUNTIFS(Orders!$C$2:$C$20001,$A981,Orders!$E$2:$E$20001,"Prepaid",Orders!$F$2:$F$20001,"Delivered")+COUNTIFS(Orders!$C$2:$C$20001,$A981,Orders!$E$2:$E$20001,"Prepaid",Orders!$F$2:$F$20001,"RTO"))</f>
        <v/>
      </c>
      <c r="F981" s="17" t="str">
        <f aca="false">IF($A981="","",COUNTIFS(Orders!$C$2:$C$20001,$A981,Orders!$E$2:$E$20001,"Prepaid",Orders!$F$2:$F$20001,"RTO"))</f>
        <v/>
      </c>
      <c r="G981" s="18" t="str">
        <f aca="false">IF($A981="","",IFERROR(F981/E981,0))</f>
        <v/>
      </c>
      <c r="H981" s="19" t="str">
        <f aca="false">IF($A981="","",C981*Settings!$B$11)</f>
        <v/>
      </c>
      <c r="I981" s="20" t="str">
        <f aca="false">IF($A981="","",IF(N(H981)=0,"",RANK(H981,$H$5:$H$2004)))</f>
        <v/>
      </c>
      <c r="J981" s="21" t="str">
        <f aca="false">IF($A981="","",IF(B981=0,"No COD orders",IF(B981&lt;Settings!$B$8,"Too few orders",IF(D981&gt;=Settings!$B$9,"Restrict COD or verify","Keep COD"))))</f>
        <v/>
      </c>
    </row>
    <row r="982" customFormat="false" ht="15" hidden="false" customHeight="false" outlineLevel="0" collapsed="false">
      <c r="A982" s="27"/>
      <c r="B982" s="17" t="str">
        <f aca="false">IF($A982="","",COUNTIFS(Orders!$C$2:$C$20001,$A982,Orders!$E$2:$E$20001,"COD",Orders!$F$2:$F$20001,"Delivered")+COUNTIFS(Orders!$C$2:$C$20001,$A982,Orders!$E$2:$E$20001,"COD",Orders!$F$2:$F$20001,"RTO"))</f>
        <v/>
      </c>
      <c r="C982" s="17" t="str">
        <f aca="false">IF($A982="","",COUNTIFS(Orders!$C$2:$C$20001,$A982,Orders!$E$2:$E$20001,"COD",Orders!$F$2:$F$20001,"RTO"))</f>
        <v/>
      </c>
      <c r="D982" s="18" t="str">
        <f aca="false">IF($A982="","",IFERROR(C982/B982,0))</f>
        <v/>
      </c>
      <c r="E982" s="17" t="str">
        <f aca="false">IF($A982="","",COUNTIFS(Orders!$C$2:$C$20001,$A982,Orders!$E$2:$E$20001,"Prepaid",Orders!$F$2:$F$20001,"Delivered")+COUNTIFS(Orders!$C$2:$C$20001,$A982,Orders!$E$2:$E$20001,"Prepaid",Orders!$F$2:$F$20001,"RTO"))</f>
        <v/>
      </c>
      <c r="F982" s="17" t="str">
        <f aca="false">IF($A982="","",COUNTIFS(Orders!$C$2:$C$20001,$A982,Orders!$E$2:$E$20001,"Prepaid",Orders!$F$2:$F$20001,"RTO"))</f>
        <v/>
      </c>
      <c r="G982" s="18" t="str">
        <f aca="false">IF($A982="","",IFERROR(F982/E982,0))</f>
        <v/>
      </c>
      <c r="H982" s="19" t="str">
        <f aca="false">IF($A982="","",C982*Settings!$B$11)</f>
        <v/>
      </c>
      <c r="I982" s="20" t="str">
        <f aca="false">IF($A982="","",IF(N(H982)=0,"",RANK(H982,$H$5:$H$2004)))</f>
        <v/>
      </c>
      <c r="J982" s="21" t="str">
        <f aca="false">IF($A982="","",IF(B982=0,"No COD orders",IF(B982&lt;Settings!$B$8,"Too few orders",IF(D982&gt;=Settings!$B$9,"Restrict COD or verify","Keep COD"))))</f>
        <v/>
      </c>
    </row>
    <row r="983" customFormat="false" ht="15" hidden="false" customHeight="false" outlineLevel="0" collapsed="false">
      <c r="A983" s="27"/>
      <c r="B983" s="17" t="str">
        <f aca="false">IF($A983="","",COUNTIFS(Orders!$C$2:$C$20001,$A983,Orders!$E$2:$E$20001,"COD",Orders!$F$2:$F$20001,"Delivered")+COUNTIFS(Orders!$C$2:$C$20001,$A983,Orders!$E$2:$E$20001,"COD",Orders!$F$2:$F$20001,"RTO"))</f>
        <v/>
      </c>
      <c r="C983" s="17" t="str">
        <f aca="false">IF($A983="","",COUNTIFS(Orders!$C$2:$C$20001,$A983,Orders!$E$2:$E$20001,"COD",Orders!$F$2:$F$20001,"RTO"))</f>
        <v/>
      </c>
      <c r="D983" s="18" t="str">
        <f aca="false">IF($A983="","",IFERROR(C983/B983,0))</f>
        <v/>
      </c>
      <c r="E983" s="17" t="str">
        <f aca="false">IF($A983="","",COUNTIFS(Orders!$C$2:$C$20001,$A983,Orders!$E$2:$E$20001,"Prepaid",Orders!$F$2:$F$20001,"Delivered")+COUNTIFS(Orders!$C$2:$C$20001,$A983,Orders!$E$2:$E$20001,"Prepaid",Orders!$F$2:$F$20001,"RTO"))</f>
        <v/>
      </c>
      <c r="F983" s="17" t="str">
        <f aca="false">IF($A983="","",COUNTIFS(Orders!$C$2:$C$20001,$A983,Orders!$E$2:$E$20001,"Prepaid",Orders!$F$2:$F$20001,"RTO"))</f>
        <v/>
      </c>
      <c r="G983" s="18" t="str">
        <f aca="false">IF($A983="","",IFERROR(F983/E983,0))</f>
        <v/>
      </c>
      <c r="H983" s="19" t="str">
        <f aca="false">IF($A983="","",C983*Settings!$B$11)</f>
        <v/>
      </c>
      <c r="I983" s="20" t="str">
        <f aca="false">IF($A983="","",IF(N(H983)=0,"",RANK(H983,$H$5:$H$2004)))</f>
        <v/>
      </c>
      <c r="J983" s="21" t="str">
        <f aca="false">IF($A983="","",IF(B983=0,"No COD orders",IF(B983&lt;Settings!$B$8,"Too few orders",IF(D983&gt;=Settings!$B$9,"Restrict COD or verify","Keep COD"))))</f>
        <v/>
      </c>
    </row>
    <row r="984" customFormat="false" ht="15" hidden="false" customHeight="false" outlineLevel="0" collapsed="false">
      <c r="A984" s="27"/>
      <c r="B984" s="17" t="str">
        <f aca="false">IF($A984="","",COUNTIFS(Orders!$C$2:$C$20001,$A984,Orders!$E$2:$E$20001,"COD",Orders!$F$2:$F$20001,"Delivered")+COUNTIFS(Orders!$C$2:$C$20001,$A984,Orders!$E$2:$E$20001,"COD",Orders!$F$2:$F$20001,"RTO"))</f>
        <v/>
      </c>
      <c r="C984" s="17" t="str">
        <f aca="false">IF($A984="","",COUNTIFS(Orders!$C$2:$C$20001,$A984,Orders!$E$2:$E$20001,"COD",Orders!$F$2:$F$20001,"RTO"))</f>
        <v/>
      </c>
      <c r="D984" s="18" t="str">
        <f aca="false">IF($A984="","",IFERROR(C984/B984,0))</f>
        <v/>
      </c>
      <c r="E984" s="17" t="str">
        <f aca="false">IF($A984="","",COUNTIFS(Orders!$C$2:$C$20001,$A984,Orders!$E$2:$E$20001,"Prepaid",Orders!$F$2:$F$20001,"Delivered")+COUNTIFS(Orders!$C$2:$C$20001,$A984,Orders!$E$2:$E$20001,"Prepaid",Orders!$F$2:$F$20001,"RTO"))</f>
        <v/>
      </c>
      <c r="F984" s="17" t="str">
        <f aca="false">IF($A984="","",COUNTIFS(Orders!$C$2:$C$20001,$A984,Orders!$E$2:$E$20001,"Prepaid",Orders!$F$2:$F$20001,"RTO"))</f>
        <v/>
      </c>
      <c r="G984" s="18" t="str">
        <f aca="false">IF($A984="","",IFERROR(F984/E984,0))</f>
        <v/>
      </c>
      <c r="H984" s="19" t="str">
        <f aca="false">IF($A984="","",C984*Settings!$B$11)</f>
        <v/>
      </c>
      <c r="I984" s="20" t="str">
        <f aca="false">IF($A984="","",IF(N(H984)=0,"",RANK(H984,$H$5:$H$2004)))</f>
        <v/>
      </c>
      <c r="J984" s="21" t="str">
        <f aca="false">IF($A984="","",IF(B984=0,"No COD orders",IF(B984&lt;Settings!$B$8,"Too few orders",IF(D984&gt;=Settings!$B$9,"Restrict COD or verify","Keep COD"))))</f>
        <v/>
      </c>
    </row>
    <row r="985" customFormat="false" ht="15" hidden="false" customHeight="false" outlineLevel="0" collapsed="false">
      <c r="A985" s="27"/>
      <c r="B985" s="17" t="str">
        <f aca="false">IF($A985="","",COUNTIFS(Orders!$C$2:$C$20001,$A985,Orders!$E$2:$E$20001,"COD",Orders!$F$2:$F$20001,"Delivered")+COUNTIFS(Orders!$C$2:$C$20001,$A985,Orders!$E$2:$E$20001,"COD",Orders!$F$2:$F$20001,"RTO"))</f>
        <v/>
      </c>
      <c r="C985" s="17" t="str">
        <f aca="false">IF($A985="","",COUNTIFS(Orders!$C$2:$C$20001,$A985,Orders!$E$2:$E$20001,"COD",Orders!$F$2:$F$20001,"RTO"))</f>
        <v/>
      </c>
      <c r="D985" s="18" t="str">
        <f aca="false">IF($A985="","",IFERROR(C985/B985,0))</f>
        <v/>
      </c>
      <c r="E985" s="17" t="str">
        <f aca="false">IF($A985="","",COUNTIFS(Orders!$C$2:$C$20001,$A985,Orders!$E$2:$E$20001,"Prepaid",Orders!$F$2:$F$20001,"Delivered")+COUNTIFS(Orders!$C$2:$C$20001,$A985,Orders!$E$2:$E$20001,"Prepaid",Orders!$F$2:$F$20001,"RTO"))</f>
        <v/>
      </c>
      <c r="F985" s="17" t="str">
        <f aca="false">IF($A985="","",COUNTIFS(Orders!$C$2:$C$20001,$A985,Orders!$E$2:$E$20001,"Prepaid",Orders!$F$2:$F$20001,"RTO"))</f>
        <v/>
      </c>
      <c r="G985" s="18" t="str">
        <f aca="false">IF($A985="","",IFERROR(F985/E985,0))</f>
        <v/>
      </c>
      <c r="H985" s="19" t="str">
        <f aca="false">IF($A985="","",C985*Settings!$B$11)</f>
        <v/>
      </c>
      <c r="I985" s="20" t="str">
        <f aca="false">IF($A985="","",IF(N(H985)=0,"",RANK(H985,$H$5:$H$2004)))</f>
        <v/>
      </c>
      <c r="J985" s="21" t="str">
        <f aca="false">IF($A985="","",IF(B985=0,"No COD orders",IF(B985&lt;Settings!$B$8,"Too few orders",IF(D985&gt;=Settings!$B$9,"Restrict COD or verify","Keep COD"))))</f>
        <v/>
      </c>
    </row>
    <row r="986" customFormat="false" ht="15" hidden="false" customHeight="false" outlineLevel="0" collapsed="false">
      <c r="A986" s="27"/>
      <c r="B986" s="17" t="str">
        <f aca="false">IF($A986="","",COUNTIFS(Orders!$C$2:$C$20001,$A986,Orders!$E$2:$E$20001,"COD",Orders!$F$2:$F$20001,"Delivered")+COUNTIFS(Orders!$C$2:$C$20001,$A986,Orders!$E$2:$E$20001,"COD",Orders!$F$2:$F$20001,"RTO"))</f>
        <v/>
      </c>
      <c r="C986" s="17" t="str">
        <f aca="false">IF($A986="","",COUNTIFS(Orders!$C$2:$C$20001,$A986,Orders!$E$2:$E$20001,"COD",Orders!$F$2:$F$20001,"RTO"))</f>
        <v/>
      </c>
      <c r="D986" s="18" t="str">
        <f aca="false">IF($A986="","",IFERROR(C986/B986,0))</f>
        <v/>
      </c>
      <c r="E986" s="17" t="str">
        <f aca="false">IF($A986="","",COUNTIFS(Orders!$C$2:$C$20001,$A986,Orders!$E$2:$E$20001,"Prepaid",Orders!$F$2:$F$20001,"Delivered")+COUNTIFS(Orders!$C$2:$C$20001,$A986,Orders!$E$2:$E$20001,"Prepaid",Orders!$F$2:$F$20001,"RTO"))</f>
        <v/>
      </c>
      <c r="F986" s="17" t="str">
        <f aca="false">IF($A986="","",COUNTIFS(Orders!$C$2:$C$20001,$A986,Orders!$E$2:$E$20001,"Prepaid",Orders!$F$2:$F$20001,"RTO"))</f>
        <v/>
      </c>
      <c r="G986" s="18" t="str">
        <f aca="false">IF($A986="","",IFERROR(F986/E986,0))</f>
        <v/>
      </c>
      <c r="H986" s="19" t="str">
        <f aca="false">IF($A986="","",C986*Settings!$B$11)</f>
        <v/>
      </c>
      <c r="I986" s="20" t="str">
        <f aca="false">IF($A986="","",IF(N(H986)=0,"",RANK(H986,$H$5:$H$2004)))</f>
        <v/>
      </c>
      <c r="J986" s="21" t="str">
        <f aca="false">IF($A986="","",IF(B986=0,"No COD orders",IF(B986&lt;Settings!$B$8,"Too few orders",IF(D986&gt;=Settings!$B$9,"Restrict COD or verify","Keep COD"))))</f>
        <v/>
      </c>
    </row>
    <row r="987" customFormat="false" ht="15" hidden="false" customHeight="false" outlineLevel="0" collapsed="false">
      <c r="A987" s="27"/>
      <c r="B987" s="17" t="str">
        <f aca="false">IF($A987="","",COUNTIFS(Orders!$C$2:$C$20001,$A987,Orders!$E$2:$E$20001,"COD",Orders!$F$2:$F$20001,"Delivered")+COUNTIFS(Orders!$C$2:$C$20001,$A987,Orders!$E$2:$E$20001,"COD",Orders!$F$2:$F$20001,"RTO"))</f>
        <v/>
      </c>
      <c r="C987" s="17" t="str">
        <f aca="false">IF($A987="","",COUNTIFS(Orders!$C$2:$C$20001,$A987,Orders!$E$2:$E$20001,"COD",Orders!$F$2:$F$20001,"RTO"))</f>
        <v/>
      </c>
      <c r="D987" s="18" t="str">
        <f aca="false">IF($A987="","",IFERROR(C987/B987,0))</f>
        <v/>
      </c>
      <c r="E987" s="17" t="str">
        <f aca="false">IF($A987="","",COUNTIFS(Orders!$C$2:$C$20001,$A987,Orders!$E$2:$E$20001,"Prepaid",Orders!$F$2:$F$20001,"Delivered")+COUNTIFS(Orders!$C$2:$C$20001,$A987,Orders!$E$2:$E$20001,"Prepaid",Orders!$F$2:$F$20001,"RTO"))</f>
        <v/>
      </c>
      <c r="F987" s="17" t="str">
        <f aca="false">IF($A987="","",COUNTIFS(Orders!$C$2:$C$20001,$A987,Orders!$E$2:$E$20001,"Prepaid",Orders!$F$2:$F$20001,"RTO"))</f>
        <v/>
      </c>
      <c r="G987" s="18" t="str">
        <f aca="false">IF($A987="","",IFERROR(F987/E987,0))</f>
        <v/>
      </c>
      <c r="H987" s="19" t="str">
        <f aca="false">IF($A987="","",C987*Settings!$B$11)</f>
        <v/>
      </c>
      <c r="I987" s="20" t="str">
        <f aca="false">IF($A987="","",IF(N(H987)=0,"",RANK(H987,$H$5:$H$2004)))</f>
        <v/>
      </c>
      <c r="J987" s="21" t="str">
        <f aca="false">IF($A987="","",IF(B987=0,"No COD orders",IF(B987&lt;Settings!$B$8,"Too few orders",IF(D987&gt;=Settings!$B$9,"Restrict COD or verify","Keep COD"))))</f>
        <v/>
      </c>
    </row>
    <row r="988" customFormat="false" ht="15" hidden="false" customHeight="false" outlineLevel="0" collapsed="false">
      <c r="A988" s="27"/>
      <c r="B988" s="17" t="str">
        <f aca="false">IF($A988="","",COUNTIFS(Orders!$C$2:$C$20001,$A988,Orders!$E$2:$E$20001,"COD",Orders!$F$2:$F$20001,"Delivered")+COUNTIFS(Orders!$C$2:$C$20001,$A988,Orders!$E$2:$E$20001,"COD",Orders!$F$2:$F$20001,"RTO"))</f>
        <v/>
      </c>
      <c r="C988" s="17" t="str">
        <f aca="false">IF($A988="","",COUNTIFS(Orders!$C$2:$C$20001,$A988,Orders!$E$2:$E$20001,"COD",Orders!$F$2:$F$20001,"RTO"))</f>
        <v/>
      </c>
      <c r="D988" s="18" t="str">
        <f aca="false">IF($A988="","",IFERROR(C988/B988,0))</f>
        <v/>
      </c>
      <c r="E988" s="17" t="str">
        <f aca="false">IF($A988="","",COUNTIFS(Orders!$C$2:$C$20001,$A988,Orders!$E$2:$E$20001,"Prepaid",Orders!$F$2:$F$20001,"Delivered")+COUNTIFS(Orders!$C$2:$C$20001,$A988,Orders!$E$2:$E$20001,"Prepaid",Orders!$F$2:$F$20001,"RTO"))</f>
        <v/>
      </c>
      <c r="F988" s="17" t="str">
        <f aca="false">IF($A988="","",COUNTIFS(Orders!$C$2:$C$20001,$A988,Orders!$E$2:$E$20001,"Prepaid",Orders!$F$2:$F$20001,"RTO"))</f>
        <v/>
      </c>
      <c r="G988" s="18" t="str">
        <f aca="false">IF($A988="","",IFERROR(F988/E988,0))</f>
        <v/>
      </c>
      <c r="H988" s="19" t="str">
        <f aca="false">IF($A988="","",C988*Settings!$B$11)</f>
        <v/>
      </c>
      <c r="I988" s="20" t="str">
        <f aca="false">IF($A988="","",IF(N(H988)=0,"",RANK(H988,$H$5:$H$2004)))</f>
        <v/>
      </c>
      <c r="J988" s="21" t="str">
        <f aca="false">IF($A988="","",IF(B988=0,"No COD orders",IF(B988&lt;Settings!$B$8,"Too few orders",IF(D988&gt;=Settings!$B$9,"Restrict COD or verify","Keep COD"))))</f>
        <v/>
      </c>
    </row>
    <row r="989" customFormat="false" ht="15" hidden="false" customHeight="false" outlineLevel="0" collapsed="false">
      <c r="A989" s="27"/>
      <c r="B989" s="17" t="str">
        <f aca="false">IF($A989="","",COUNTIFS(Orders!$C$2:$C$20001,$A989,Orders!$E$2:$E$20001,"COD",Orders!$F$2:$F$20001,"Delivered")+COUNTIFS(Orders!$C$2:$C$20001,$A989,Orders!$E$2:$E$20001,"COD",Orders!$F$2:$F$20001,"RTO"))</f>
        <v/>
      </c>
      <c r="C989" s="17" t="str">
        <f aca="false">IF($A989="","",COUNTIFS(Orders!$C$2:$C$20001,$A989,Orders!$E$2:$E$20001,"COD",Orders!$F$2:$F$20001,"RTO"))</f>
        <v/>
      </c>
      <c r="D989" s="18" t="str">
        <f aca="false">IF($A989="","",IFERROR(C989/B989,0))</f>
        <v/>
      </c>
      <c r="E989" s="17" t="str">
        <f aca="false">IF($A989="","",COUNTIFS(Orders!$C$2:$C$20001,$A989,Orders!$E$2:$E$20001,"Prepaid",Orders!$F$2:$F$20001,"Delivered")+COUNTIFS(Orders!$C$2:$C$20001,$A989,Orders!$E$2:$E$20001,"Prepaid",Orders!$F$2:$F$20001,"RTO"))</f>
        <v/>
      </c>
      <c r="F989" s="17" t="str">
        <f aca="false">IF($A989="","",COUNTIFS(Orders!$C$2:$C$20001,$A989,Orders!$E$2:$E$20001,"Prepaid",Orders!$F$2:$F$20001,"RTO"))</f>
        <v/>
      </c>
      <c r="G989" s="18" t="str">
        <f aca="false">IF($A989="","",IFERROR(F989/E989,0))</f>
        <v/>
      </c>
      <c r="H989" s="19" t="str">
        <f aca="false">IF($A989="","",C989*Settings!$B$11)</f>
        <v/>
      </c>
      <c r="I989" s="20" t="str">
        <f aca="false">IF($A989="","",IF(N(H989)=0,"",RANK(H989,$H$5:$H$2004)))</f>
        <v/>
      </c>
      <c r="J989" s="21" t="str">
        <f aca="false">IF($A989="","",IF(B989=0,"No COD orders",IF(B989&lt;Settings!$B$8,"Too few orders",IF(D989&gt;=Settings!$B$9,"Restrict COD or verify","Keep COD"))))</f>
        <v/>
      </c>
    </row>
    <row r="990" customFormat="false" ht="15" hidden="false" customHeight="false" outlineLevel="0" collapsed="false">
      <c r="A990" s="27"/>
      <c r="B990" s="17" t="str">
        <f aca="false">IF($A990="","",COUNTIFS(Orders!$C$2:$C$20001,$A990,Orders!$E$2:$E$20001,"COD",Orders!$F$2:$F$20001,"Delivered")+COUNTIFS(Orders!$C$2:$C$20001,$A990,Orders!$E$2:$E$20001,"COD",Orders!$F$2:$F$20001,"RTO"))</f>
        <v/>
      </c>
      <c r="C990" s="17" t="str">
        <f aca="false">IF($A990="","",COUNTIFS(Orders!$C$2:$C$20001,$A990,Orders!$E$2:$E$20001,"COD",Orders!$F$2:$F$20001,"RTO"))</f>
        <v/>
      </c>
      <c r="D990" s="18" t="str">
        <f aca="false">IF($A990="","",IFERROR(C990/B990,0))</f>
        <v/>
      </c>
      <c r="E990" s="17" t="str">
        <f aca="false">IF($A990="","",COUNTIFS(Orders!$C$2:$C$20001,$A990,Orders!$E$2:$E$20001,"Prepaid",Orders!$F$2:$F$20001,"Delivered")+COUNTIFS(Orders!$C$2:$C$20001,$A990,Orders!$E$2:$E$20001,"Prepaid",Orders!$F$2:$F$20001,"RTO"))</f>
        <v/>
      </c>
      <c r="F990" s="17" t="str">
        <f aca="false">IF($A990="","",COUNTIFS(Orders!$C$2:$C$20001,$A990,Orders!$E$2:$E$20001,"Prepaid",Orders!$F$2:$F$20001,"RTO"))</f>
        <v/>
      </c>
      <c r="G990" s="18" t="str">
        <f aca="false">IF($A990="","",IFERROR(F990/E990,0))</f>
        <v/>
      </c>
      <c r="H990" s="19" t="str">
        <f aca="false">IF($A990="","",C990*Settings!$B$11)</f>
        <v/>
      </c>
      <c r="I990" s="20" t="str">
        <f aca="false">IF($A990="","",IF(N(H990)=0,"",RANK(H990,$H$5:$H$2004)))</f>
        <v/>
      </c>
      <c r="J990" s="21" t="str">
        <f aca="false">IF($A990="","",IF(B990=0,"No COD orders",IF(B990&lt;Settings!$B$8,"Too few orders",IF(D990&gt;=Settings!$B$9,"Restrict COD or verify","Keep COD"))))</f>
        <v/>
      </c>
    </row>
    <row r="991" customFormat="false" ht="15" hidden="false" customHeight="false" outlineLevel="0" collapsed="false">
      <c r="A991" s="27"/>
      <c r="B991" s="17" t="str">
        <f aca="false">IF($A991="","",COUNTIFS(Orders!$C$2:$C$20001,$A991,Orders!$E$2:$E$20001,"COD",Orders!$F$2:$F$20001,"Delivered")+COUNTIFS(Orders!$C$2:$C$20001,$A991,Orders!$E$2:$E$20001,"COD",Orders!$F$2:$F$20001,"RTO"))</f>
        <v/>
      </c>
      <c r="C991" s="17" t="str">
        <f aca="false">IF($A991="","",COUNTIFS(Orders!$C$2:$C$20001,$A991,Orders!$E$2:$E$20001,"COD",Orders!$F$2:$F$20001,"RTO"))</f>
        <v/>
      </c>
      <c r="D991" s="18" t="str">
        <f aca="false">IF($A991="","",IFERROR(C991/B991,0))</f>
        <v/>
      </c>
      <c r="E991" s="17" t="str">
        <f aca="false">IF($A991="","",COUNTIFS(Orders!$C$2:$C$20001,$A991,Orders!$E$2:$E$20001,"Prepaid",Orders!$F$2:$F$20001,"Delivered")+COUNTIFS(Orders!$C$2:$C$20001,$A991,Orders!$E$2:$E$20001,"Prepaid",Orders!$F$2:$F$20001,"RTO"))</f>
        <v/>
      </c>
      <c r="F991" s="17" t="str">
        <f aca="false">IF($A991="","",COUNTIFS(Orders!$C$2:$C$20001,$A991,Orders!$E$2:$E$20001,"Prepaid",Orders!$F$2:$F$20001,"RTO"))</f>
        <v/>
      </c>
      <c r="G991" s="18" t="str">
        <f aca="false">IF($A991="","",IFERROR(F991/E991,0))</f>
        <v/>
      </c>
      <c r="H991" s="19" t="str">
        <f aca="false">IF($A991="","",C991*Settings!$B$11)</f>
        <v/>
      </c>
      <c r="I991" s="20" t="str">
        <f aca="false">IF($A991="","",IF(N(H991)=0,"",RANK(H991,$H$5:$H$2004)))</f>
        <v/>
      </c>
      <c r="J991" s="21" t="str">
        <f aca="false">IF($A991="","",IF(B991=0,"No COD orders",IF(B991&lt;Settings!$B$8,"Too few orders",IF(D991&gt;=Settings!$B$9,"Restrict COD or verify","Keep COD"))))</f>
        <v/>
      </c>
    </row>
    <row r="992" customFormat="false" ht="15" hidden="false" customHeight="false" outlineLevel="0" collapsed="false">
      <c r="A992" s="27"/>
      <c r="B992" s="17" t="str">
        <f aca="false">IF($A992="","",COUNTIFS(Orders!$C$2:$C$20001,$A992,Orders!$E$2:$E$20001,"COD",Orders!$F$2:$F$20001,"Delivered")+COUNTIFS(Orders!$C$2:$C$20001,$A992,Orders!$E$2:$E$20001,"COD",Orders!$F$2:$F$20001,"RTO"))</f>
        <v/>
      </c>
      <c r="C992" s="17" t="str">
        <f aca="false">IF($A992="","",COUNTIFS(Orders!$C$2:$C$20001,$A992,Orders!$E$2:$E$20001,"COD",Orders!$F$2:$F$20001,"RTO"))</f>
        <v/>
      </c>
      <c r="D992" s="18" t="str">
        <f aca="false">IF($A992="","",IFERROR(C992/B992,0))</f>
        <v/>
      </c>
      <c r="E992" s="17" t="str">
        <f aca="false">IF($A992="","",COUNTIFS(Orders!$C$2:$C$20001,$A992,Orders!$E$2:$E$20001,"Prepaid",Orders!$F$2:$F$20001,"Delivered")+COUNTIFS(Orders!$C$2:$C$20001,$A992,Orders!$E$2:$E$20001,"Prepaid",Orders!$F$2:$F$20001,"RTO"))</f>
        <v/>
      </c>
      <c r="F992" s="17" t="str">
        <f aca="false">IF($A992="","",COUNTIFS(Orders!$C$2:$C$20001,$A992,Orders!$E$2:$E$20001,"Prepaid",Orders!$F$2:$F$20001,"RTO"))</f>
        <v/>
      </c>
      <c r="G992" s="18" t="str">
        <f aca="false">IF($A992="","",IFERROR(F992/E992,0))</f>
        <v/>
      </c>
      <c r="H992" s="19" t="str">
        <f aca="false">IF($A992="","",C992*Settings!$B$11)</f>
        <v/>
      </c>
      <c r="I992" s="20" t="str">
        <f aca="false">IF($A992="","",IF(N(H992)=0,"",RANK(H992,$H$5:$H$2004)))</f>
        <v/>
      </c>
      <c r="J992" s="21" t="str">
        <f aca="false">IF($A992="","",IF(B992=0,"No COD orders",IF(B992&lt;Settings!$B$8,"Too few orders",IF(D992&gt;=Settings!$B$9,"Restrict COD or verify","Keep COD"))))</f>
        <v/>
      </c>
    </row>
    <row r="993" customFormat="false" ht="15" hidden="false" customHeight="false" outlineLevel="0" collapsed="false">
      <c r="A993" s="27"/>
      <c r="B993" s="17" t="str">
        <f aca="false">IF($A993="","",COUNTIFS(Orders!$C$2:$C$20001,$A993,Orders!$E$2:$E$20001,"COD",Orders!$F$2:$F$20001,"Delivered")+COUNTIFS(Orders!$C$2:$C$20001,$A993,Orders!$E$2:$E$20001,"COD",Orders!$F$2:$F$20001,"RTO"))</f>
        <v/>
      </c>
      <c r="C993" s="17" t="str">
        <f aca="false">IF($A993="","",COUNTIFS(Orders!$C$2:$C$20001,$A993,Orders!$E$2:$E$20001,"COD",Orders!$F$2:$F$20001,"RTO"))</f>
        <v/>
      </c>
      <c r="D993" s="18" t="str">
        <f aca="false">IF($A993="","",IFERROR(C993/B993,0))</f>
        <v/>
      </c>
      <c r="E993" s="17" t="str">
        <f aca="false">IF($A993="","",COUNTIFS(Orders!$C$2:$C$20001,$A993,Orders!$E$2:$E$20001,"Prepaid",Orders!$F$2:$F$20001,"Delivered")+COUNTIFS(Orders!$C$2:$C$20001,$A993,Orders!$E$2:$E$20001,"Prepaid",Orders!$F$2:$F$20001,"RTO"))</f>
        <v/>
      </c>
      <c r="F993" s="17" t="str">
        <f aca="false">IF($A993="","",COUNTIFS(Orders!$C$2:$C$20001,$A993,Orders!$E$2:$E$20001,"Prepaid",Orders!$F$2:$F$20001,"RTO"))</f>
        <v/>
      </c>
      <c r="G993" s="18" t="str">
        <f aca="false">IF($A993="","",IFERROR(F993/E993,0))</f>
        <v/>
      </c>
      <c r="H993" s="19" t="str">
        <f aca="false">IF($A993="","",C993*Settings!$B$11)</f>
        <v/>
      </c>
      <c r="I993" s="20" t="str">
        <f aca="false">IF($A993="","",IF(N(H993)=0,"",RANK(H993,$H$5:$H$2004)))</f>
        <v/>
      </c>
      <c r="J993" s="21" t="str">
        <f aca="false">IF($A993="","",IF(B993=0,"No COD orders",IF(B993&lt;Settings!$B$8,"Too few orders",IF(D993&gt;=Settings!$B$9,"Restrict COD or verify","Keep COD"))))</f>
        <v/>
      </c>
    </row>
    <row r="994" customFormat="false" ht="15" hidden="false" customHeight="false" outlineLevel="0" collapsed="false">
      <c r="A994" s="27"/>
      <c r="B994" s="17" t="str">
        <f aca="false">IF($A994="","",COUNTIFS(Orders!$C$2:$C$20001,$A994,Orders!$E$2:$E$20001,"COD",Orders!$F$2:$F$20001,"Delivered")+COUNTIFS(Orders!$C$2:$C$20001,$A994,Orders!$E$2:$E$20001,"COD",Orders!$F$2:$F$20001,"RTO"))</f>
        <v/>
      </c>
      <c r="C994" s="17" t="str">
        <f aca="false">IF($A994="","",COUNTIFS(Orders!$C$2:$C$20001,$A994,Orders!$E$2:$E$20001,"COD",Orders!$F$2:$F$20001,"RTO"))</f>
        <v/>
      </c>
      <c r="D994" s="18" t="str">
        <f aca="false">IF($A994="","",IFERROR(C994/B994,0))</f>
        <v/>
      </c>
      <c r="E994" s="17" t="str">
        <f aca="false">IF($A994="","",COUNTIFS(Orders!$C$2:$C$20001,$A994,Orders!$E$2:$E$20001,"Prepaid",Orders!$F$2:$F$20001,"Delivered")+COUNTIFS(Orders!$C$2:$C$20001,$A994,Orders!$E$2:$E$20001,"Prepaid",Orders!$F$2:$F$20001,"RTO"))</f>
        <v/>
      </c>
      <c r="F994" s="17" t="str">
        <f aca="false">IF($A994="","",COUNTIFS(Orders!$C$2:$C$20001,$A994,Orders!$E$2:$E$20001,"Prepaid",Orders!$F$2:$F$20001,"RTO"))</f>
        <v/>
      </c>
      <c r="G994" s="18" t="str">
        <f aca="false">IF($A994="","",IFERROR(F994/E994,0))</f>
        <v/>
      </c>
      <c r="H994" s="19" t="str">
        <f aca="false">IF($A994="","",C994*Settings!$B$11)</f>
        <v/>
      </c>
      <c r="I994" s="20" t="str">
        <f aca="false">IF($A994="","",IF(N(H994)=0,"",RANK(H994,$H$5:$H$2004)))</f>
        <v/>
      </c>
      <c r="J994" s="21" t="str">
        <f aca="false">IF($A994="","",IF(B994=0,"No COD orders",IF(B994&lt;Settings!$B$8,"Too few orders",IF(D994&gt;=Settings!$B$9,"Restrict COD or verify","Keep COD"))))</f>
        <v/>
      </c>
    </row>
    <row r="995" customFormat="false" ht="15" hidden="false" customHeight="false" outlineLevel="0" collapsed="false">
      <c r="A995" s="27"/>
      <c r="B995" s="17" t="str">
        <f aca="false">IF($A995="","",COUNTIFS(Orders!$C$2:$C$20001,$A995,Orders!$E$2:$E$20001,"COD",Orders!$F$2:$F$20001,"Delivered")+COUNTIFS(Orders!$C$2:$C$20001,$A995,Orders!$E$2:$E$20001,"COD",Orders!$F$2:$F$20001,"RTO"))</f>
        <v/>
      </c>
      <c r="C995" s="17" t="str">
        <f aca="false">IF($A995="","",COUNTIFS(Orders!$C$2:$C$20001,$A995,Orders!$E$2:$E$20001,"COD",Orders!$F$2:$F$20001,"RTO"))</f>
        <v/>
      </c>
      <c r="D995" s="18" t="str">
        <f aca="false">IF($A995="","",IFERROR(C995/B995,0))</f>
        <v/>
      </c>
      <c r="E995" s="17" t="str">
        <f aca="false">IF($A995="","",COUNTIFS(Orders!$C$2:$C$20001,$A995,Orders!$E$2:$E$20001,"Prepaid",Orders!$F$2:$F$20001,"Delivered")+COUNTIFS(Orders!$C$2:$C$20001,$A995,Orders!$E$2:$E$20001,"Prepaid",Orders!$F$2:$F$20001,"RTO"))</f>
        <v/>
      </c>
      <c r="F995" s="17" t="str">
        <f aca="false">IF($A995="","",COUNTIFS(Orders!$C$2:$C$20001,$A995,Orders!$E$2:$E$20001,"Prepaid",Orders!$F$2:$F$20001,"RTO"))</f>
        <v/>
      </c>
      <c r="G995" s="18" t="str">
        <f aca="false">IF($A995="","",IFERROR(F995/E995,0))</f>
        <v/>
      </c>
      <c r="H995" s="19" t="str">
        <f aca="false">IF($A995="","",C995*Settings!$B$11)</f>
        <v/>
      </c>
      <c r="I995" s="20" t="str">
        <f aca="false">IF($A995="","",IF(N(H995)=0,"",RANK(H995,$H$5:$H$2004)))</f>
        <v/>
      </c>
      <c r="J995" s="21" t="str">
        <f aca="false">IF($A995="","",IF(B995=0,"No COD orders",IF(B995&lt;Settings!$B$8,"Too few orders",IF(D995&gt;=Settings!$B$9,"Restrict COD or verify","Keep COD"))))</f>
        <v/>
      </c>
    </row>
    <row r="996" customFormat="false" ht="15" hidden="false" customHeight="false" outlineLevel="0" collapsed="false">
      <c r="A996" s="27"/>
      <c r="B996" s="17" t="str">
        <f aca="false">IF($A996="","",COUNTIFS(Orders!$C$2:$C$20001,$A996,Orders!$E$2:$E$20001,"COD",Orders!$F$2:$F$20001,"Delivered")+COUNTIFS(Orders!$C$2:$C$20001,$A996,Orders!$E$2:$E$20001,"COD",Orders!$F$2:$F$20001,"RTO"))</f>
        <v/>
      </c>
      <c r="C996" s="17" t="str">
        <f aca="false">IF($A996="","",COUNTIFS(Orders!$C$2:$C$20001,$A996,Orders!$E$2:$E$20001,"COD",Orders!$F$2:$F$20001,"RTO"))</f>
        <v/>
      </c>
      <c r="D996" s="18" t="str">
        <f aca="false">IF($A996="","",IFERROR(C996/B996,0))</f>
        <v/>
      </c>
      <c r="E996" s="17" t="str">
        <f aca="false">IF($A996="","",COUNTIFS(Orders!$C$2:$C$20001,$A996,Orders!$E$2:$E$20001,"Prepaid",Orders!$F$2:$F$20001,"Delivered")+COUNTIFS(Orders!$C$2:$C$20001,$A996,Orders!$E$2:$E$20001,"Prepaid",Orders!$F$2:$F$20001,"RTO"))</f>
        <v/>
      </c>
      <c r="F996" s="17" t="str">
        <f aca="false">IF($A996="","",COUNTIFS(Orders!$C$2:$C$20001,$A996,Orders!$E$2:$E$20001,"Prepaid",Orders!$F$2:$F$20001,"RTO"))</f>
        <v/>
      </c>
      <c r="G996" s="18" t="str">
        <f aca="false">IF($A996="","",IFERROR(F996/E996,0))</f>
        <v/>
      </c>
      <c r="H996" s="19" t="str">
        <f aca="false">IF($A996="","",C996*Settings!$B$11)</f>
        <v/>
      </c>
      <c r="I996" s="20" t="str">
        <f aca="false">IF($A996="","",IF(N(H996)=0,"",RANK(H996,$H$5:$H$2004)))</f>
        <v/>
      </c>
      <c r="J996" s="21" t="str">
        <f aca="false">IF($A996="","",IF(B996=0,"No COD orders",IF(B996&lt;Settings!$B$8,"Too few orders",IF(D996&gt;=Settings!$B$9,"Restrict COD or verify","Keep COD"))))</f>
        <v/>
      </c>
    </row>
    <row r="997" customFormat="false" ht="15" hidden="false" customHeight="false" outlineLevel="0" collapsed="false">
      <c r="A997" s="27"/>
      <c r="B997" s="17" t="str">
        <f aca="false">IF($A997="","",COUNTIFS(Orders!$C$2:$C$20001,$A997,Orders!$E$2:$E$20001,"COD",Orders!$F$2:$F$20001,"Delivered")+COUNTIFS(Orders!$C$2:$C$20001,$A997,Orders!$E$2:$E$20001,"COD",Orders!$F$2:$F$20001,"RTO"))</f>
        <v/>
      </c>
      <c r="C997" s="17" t="str">
        <f aca="false">IF($A997="","",COUNTIFS(Orders!$C$2:$C$20001,$A997,Orders!$E$2:$E$20001,"COD",Orders!$F$2:$F$20001,"RTO"))</f>
        <v/>
      </c>
      <c r="D997" s="18" t="str">
        <f aca="false">IF($A997="","",IFERROR(C997/B997,0))</f>
        <v/>
      </c>
      <c r="E997" s="17" t="str">
        <f aca="false">IF($A997="","",COUNTIFS(Orders!$C$2:$C$20001,$A997,Orders!$E$2:$E$20001,"Prepaid",Orders!$F$2:$F$20001,"Delivered")+COUNTIFS(Orders!$C$2:$C$20001,$A997,Orders!$E$2:$E$20001,"Prepaid",Orders!$F$2:$F$20001,"RTO"))</f>
        <v/>
      </c>
      <c r="F997" s="17" t="str">
        <f aca="false">IF($A997="","",COUNTIFS(Orders!$C$2:$C$20001,$A997,Orders!$E$2:$E$20001,"Prepaid",Orders!$F$2:$F$20001,"RTO"))</f>
        <v/>
      </c>
      <c r="G997" s="18" t="str">
        <f aca="false">IF($A997="","",IFERROR(F997/E997,0))</f>
        <v/>
      </c>
      <c r="H997" s="19" t="str">
        <f aca="false">IF($A997="","",C997*Settings!$B$11)</f>
        <v/>
      </c>
      <c r="I997" s="20" t="str">
        <f aca="false">IF($A997="","",IF(N(H997)=0,"",RANK(H997,$H$5:$H$2004)))</f>
        <v/>
      </c>
      <c r="J997" s="21" t="str">
        <f aca="false">IF($A997="","",IF(B997=0,"No COD orders",IF(B997&lt;Settings!$B$8,"Too few orders",IF(D997&gt;=Settings!$B$9,"Restrict COD or verify","Keep COD"))))</f>
        <v/>
      </c>
    </row>
    <row r="998" customFormat="false" ht="15" hidden="false" customHeight="false" outlineLevel="0" collapsed="false">
      <c r="A998" s="27"/>
      <c r="B998" s="17" t="str">
        <f aca="false">IF($A998="","",COUNTIFS(Orders!$C$2:$C$20001,$A998,Orders!$E$2:$E$20001,"COD",Orders!$F$2:$F$20001,"Delivered")+COUNTIFS(Orders!$C$2:$C$20001,$A998,Orders!$E$2:$E$20001,"COD",Orders!$F$2:$F$20001,"RTO"))</f>
        <v/>
      </c>
      <c r="C998" s="17" t="str">
        <f aca="false">IF($A998="","",COUNTIFS(Orders!$C$2:$C$20001,$A998,Orders!$E$2:$E$20001,"COD",Orders!$F$2:$F$20001,"RTO"))</f>
        <v/>
      </c>
      <c r="D998" s="18" t="str">
        <f aca="false">IF($A998="","",IFERROR(C998/B998,0))</f>
        <v/>
      </c>
      <c r="E998" s="17" t="str">
        <f aca="false">IF($A998="","",COUNTIFS(Orders!$C$2:$C$20001,$A998,Orders!$E$2:$E$20001,"Prepaid",Orders!$F$2:$F$20001,"Delivered")+COUNTIFS(Orders!$C$2:$C$20001,$A998,Orders!$E$2:$E$20001,"Prepaid",Orders!$F$2:$F$20001,"RTO"))</f>
        <v/>
      </c>
      <c r="F998" s="17" t="str">
        <f aca="false">IF($A998="","",COUNTIFS(Orders!$C$2:$C$20001,$A998,Orders!$E$2:$E$20001,"Prepaid",Orders!$F$2:$F$20001,"RTO"))</f>
        <v/>
      </c>
      <c r="G998" s="18" t="str">
        <f aca="false">IF($A998="","",IFERROR(F998/E998,0))</f>
        <v/>
      </c>
      <c r="H998" s="19" t="str">
        <f aca="false">IF($A998="","",C998*Settings!$B$11)</f>
        <v/>
      </c>
      <c r="I998" s="20" t="str">
        <f aca="false">IF($A998="","",IF(N(H998)=0,"",RANK(H998,$H$5:$H$2004)))</f>
        <v/>
      </c>
      <c r="J998" s="21" t="str">
        <f aca="false">IF($A998="","",IF(B998=0,"No COD orders",IF(B998&lt;Settings!$B$8,"Too few orders",IF(D998&gt;=Settings!$B$9,"Restrict COD or verify","Keep COD"))))</f>
        <v/>
      </c>
    </row>
    <row r="999" customFormat="false" ht="15" hidden="false" customHeight="false" outlineLevel="0" collapsed="false">
      <c r="A999" s="27"/>
      <c r="B999" s="17" t="str">
        <f aca="false">IF($A999="","",COUNTIFS(Orders!$C$2:$C$20001,$A999,Orders!$E$2:$E$20001,"COD",Orders!$F$2:$F$20001,"Delivered")+COUNTIFS(Orders!$C$2:$C$20001,$A999,Orders!$E$2:$E$20001,"COD",Orders!$F$2:$F$20001,"RTO"))</f>
        <v/>
      </c>
      <c r="C999" s="17" t="str">
        <f aca="false">IF($A999="","",COUNTIFS(Orders!$C$2:$C$20001,$A999,Orders!$E$2:$E$20001,"COD",Orders!$F$2:$F$20001,"RTO"))</f>
        <v/>
      </c>
      <c r="D999" s="18" t="str">
        <f aca="false">IF($A999="","",IFERROR(C999/B999,0))</f>
        <v/>
      </c>
      <c r="E999" s="17" t="str">
        <f aca="false">IF($A999="","",COUNTIFS(Orders!$C$2:$C$20001,$A999,Orders!$E$2:$E$20001,"Prepaid",Orders!$F$2:$F$20001,"Delivered")+COUNTIFS(Orders!$C$2:$C$20001,$A999,Orders!$E$2:$E$20001,"Prepaid",Orders!$F$2:$F$20001,"RTO"))</f>
        <v/>
      </c>
      <c r="F999" s="17" t="str">
        <f aca="false">IF($A999="","",COUNTIFS(Orders!$C$2:$C$20001,$A999,Orders!$E$2:$E$20001,"Prepaid",Orders!$F$2:$F$20001,"RTO"))</f>
        <v/>
      </c>
      <c r="G999" s="18" t="str">
        <f aca="false">IF($A999="","",IFERROR(F999/E999,0))</f>
        <v/>
      </c>
      <c r="H999" s="19" t="str">
        <f aca="false">IF($A999="","",C999*Settings!$B$11)</f>
        <v/>
      </c>
      <c r="I999" s="20" t="str">
        <f aca="false">IF($A999="","",IF(N(H999)=0,"",RANK(H999,$H$5:$H$2004)))</f>
        <v/>
      </c>
      <c r="J999" s="21" t="str">
        <f aca="false">IF($A999="","",IF(B999=0,"No COD orders",IF(B999&lt;Settings!$B$8,"Too few orders",IF(D999&gt;=Settings!$B$9,"Restrict COD or verify","Keep COD"))))</f>
        <v/>
      </c>
    </row>
    <row r="1000" customFormat="false" ht="15" hidden="false" customHeight="false" outlineLevel="0" collapsed="false">
      <c r="A1000" s="27"/>
      <c r="B1000" s="17" t="str">
        <f aca="false">IF($A1000="","",COUNTIFS(Orders!$C$2:$C$20001,$A1000,Orders!$E$2:$E$20001,"COD",Orders!$F$2:$F$20001,"Delivered")+COUNTIFS(Orders!$C$2:$C$20001,$A1000,Orders!$E$2:$E$20001,"COD",Orders!$F$2:$F$20001,"RTO"))</f>
        <v/>
      </c>
      <c r="C1000" s="17" t="str">
        <f aca="false">IF($A1000="","",COUNTIFS(Orders!$C$2:$C$20001,$A1000,Orders!$E$2:$E$20001,"COD",Orders!$F$2:$F$20001,"RTO"))</f>
        <v/>
      </c>
      <c r="D1000" s="18" t="str">
        <f aca="false">IF($A1000="","",IFERROR(C1000/B1000,0))</f>
        <v/>
      </c>
      <c r="E1000" s="17" t="str">
        <f aca="false">IF($A1000="","",COUNTIFS(Orders!$C$2:$C$20001,$A1000,Orders!$E$2:$E$20001,"Prepaid",Orders!$F$2:$F$20001,"Delivered")+COUNTIFS(Orders!$C$2:$C$20001,$A1000,Orders!$E$2:$E$20001,"Prepaid",Orders!$F$2:$F$20001,"RTO"))</f>
        <v/>
      </c>
      <c r="F1000" s="17" t="str">
        <f aca="false">IF($A1000="","",COUNTIFS(Orders!$C$2:$C$20001,$A1000,Orders!$E$2:$E$20001,"Prepaid",Orders!$F$2:$F$20001,"RTO"))</f>
        <v/>
      </c>
      <c r="G1000" s="18" t="str">
        <f aca="false">IF($A1000="","",IFERROR(F1000/E1000,0))</f>
        <v/>
      </c>
      <c r="H1000" s="19" t="str">
        <f aca="false">IF($A1000="","",C1000*Settings!$B$11)</f>
        <v/>
      </c>
      <c r="I1000" s="20" t="str">
        <f aca="false">IF($A1000="","",IF(N(H1000)=0,"",RANK(H1000,$H$5:$H$2004)))</f>
        <v/>
      </c>
      <c r="J1000" s="21" t="str">
        <f aca="false">IF($A1000="","",IF(B1000=0,"No COD orders",IF(B1000&lt;Settings!$B$8,"Too few orders",IF(D1000&gt;=Settings!$B$9,"Restrict COD or verify","Keep COD"))))</f>
        <v/>
      </c>
    </row>
    <row r="1001" customFormat="false" ht="15" hidden="false" customHeight="false" outlineLevel="0" collapsed="false">
      <c r="A1001" s="27"/>
      <c r="B1001" s="17" t="str">
        <f aca="false">IF($A1001="","",COUNTIFS(Orders!$C$2:$C$20001,$A1001,Orders!$E$2:$E$20001,"COD",Orders!$F$2:$F$20001,"Delivered")+COUNTIFS(Orders!$C$2:$C$20001,$A1001,Orders!$E$2:$E$20001,"COD",Orders!$F$2:$F$20001,"RTO"))</f>
        <v/>
      </c>
      <c r="C1001" s="17" t="str">
        <f aca="false">IF($A1001="","",COUNTIFS(Orders!$C$2:$C$20001,$A1001,Orders!$E$2:$E$20001,"COD",Orders!$F$2:$F$20001,"RTO"))</f>
        <v/>
      </c>
      <c r="D1001" s="18" t="str">
        <f aca="false">IF($A1001="","",IFERROR(C1001/B1001,0))</f>
        <v/>
      </c>
      <c r="E1001" s="17" t="str">
        <f aca="false">IF($A1001="","",COUNTIFS(Orders!$C$2:$C$20001,$A1001,Orders!$E$2:$E$20001,"Prepaid",Orders!$F$2:$F$20001,"Delivered")+COUNTIFS(Orders!$C$2:$C$20001,$A1001,Orders!$E$2:$E$20001,"Prepaid",Orders!$F$2:$F$20001,"RTO"))</f>
        <v/>
      </c>
      <c r="F1001" s="17" t="str">
        <f aca="false">IF($A1001="","",COUNTIFS(Orders!$C$2:$C$20001,$A1001,Orders!$E$2:$E$20001,"Prepaid",Orders!$F$2:$F$20001,"RTO"))</f>
        <v/>
      </c>
      <c r="G1001" s="18" t="str">
        <f aca="false">IF($A1001="","",IFERROR(F1001/E1001,0))</f>
        <v/>
      </c>
      <c r="H1001" s="19" t="str">
        <f aca="false">IF($A1001="","",C1001*Settings!$B$11)</f>
        <v/>
      </c>
      <c r="I1001" s="20" t="str">
        <f aca="false">IF($A1001="","",IF(N(H1001)=0,"",RANK(H1001,$H$5:$H$2004)))</f>
        <v/>
      </c>
      <c r="J1001" s="21" t="str">
        <f aca="false">IF($A1001="","",IF(B1001=0,"No COD orders",IF(B1001&lt;Settings!$B$8,"Too few orders",IF(D1001&gt;=Settings!$B$9,"Restrict COD or verify","Keep COD"))))</f>
        <v/>
      </c>
    </row>
    <row r="1002" customFormat="false" ht="15" hidden="false" customHeight="false" outlineLevel="0" collapsed="false">
      <c r="A1002" s="27"/>
      <c r="B1002" s="17" t="str">
        <f aca="false">IF($A1002="","",COUNTIFS(Orders!$C$2:$C$20001,$A1002,Orders!$E$2:$E$20001,"COD",Orders!$F$2:$F$20001,"Delivered")+COUNTIFS(Orders!$C$2:$C$20001,$A1002,Orders!$E$2:$E$20001,"COD",Orders!$F$2:$F$20001,"RTO"))</f>
        <v/>
      </c>
      <c r="C1002" s="17" t="str">
        <f aca="false">IF($A1002="","",COUNTIFS(Orders!$C$2:$C$20001,$A1002,Orders!$E$2:$E$20001,"COD",Orders!$F$2:$F$20001,"RTO"))</f>
        <v/>
      </c>
      <c r="D1002" s="18" t="str">
        <f aca="false">IF($A1002="","",IFERROR(C1002/B1002,0))</f>
        <v/>
      </c>
      <c r="E1002" s="17" t="str">
        <f aca="false">IF($A1002="","",COUNTIFS(Orders!$C$2:$C$20001,$A1002,Orders!$E$2:$E$20001,"Prepaid",Orders!$F$2:$F$20001,"Delivered")+COUNTIFS(Orders!$C$2:$C$20001,$A1002,Orders!$E$2:$E$20001,"Prepaid",Orders!$F$2:$F$20001,"RTO"))</f>
        <v/>
      </c>
      <c r="F1002" s="17" t="str">
        <f aca="false">IF($A1002="","",COUNTIFS(Orders!$C$2:$C$20001,$A1002,Orders!$E$2:$E$20001,"Prepaid",Orders!$F$2:$F$20001,"RTO"))</f>
        <v/>
      </c>
      <c r="G1002" s="18" t="str">
        <f aca="false">IF($A1002="","",IFERROR(F1002/E1002,0))</f>
        <v/>
      </c>
      <c r="H1002" s="19" t="str">
        <f aca="false">IF($A1002="","",C1002*Settings!$B$11)</f>
        <v/>
      </c>
      <c r="I1002" s="20" t="str">
        <f aca="false">IF($A1002="","",IF(N(H1002)=0,"",RANK(H1002,$H$5:$H$2004)))</f>
        <v/>
      </c>
      <c r="J1002" s="21" t="str">
        <f aca="false">IF($A1002="","",IF(B1002=0,"No COD orders",IF(B1002&lt;Settings!$B$8,"Too few orders",IF(D1002&gt;=Settings!$B$9,"Restrict COD or verify","Keep COD"))))</f>
        <v/>
      </c>
    </row>
    <row r="1003" customFormat="false" ht="15" hidden="false" customHeight="false" outlineLevel="0" collapsed="false">
      <c r="A1003" s="27"/>
      <c r="B1003" s="17" t="str">
        <f aca="false">IF($A1003="","",COUNTIFS(Orders!$C$2:$C$20001,$A1003,Orders!$E$2:$E$20001,"COD",Orders!$F$2:$F$20001,"Delivered")+COUNTIFS(Orders!$C$2:$C$20001,$A1003,Orders!$E$2:$E$20001,"COD",Orders!$F$2:$F$20001,"RTO"))</f>
        <v/>
      </c>
      <c r="C1003" s="17" t="str">
        <f aca="false">IF($A1003="","",COUNTIFS(Orders!$C$2:$C$20001,$A1003,Orders!$E$2:$E$20001,"COD",Orders!$F$2:$F$20001,"RTO"))</f>
        <v/>
      </c>
      <c r="D1003" s="18" t="str">
        <f aca="false">IF($A1003="","",IFERROR(C1003/B1003,0))</f>
        <v/>
      </c>
      <c r="E1003" s="17" t="str">
        <f aca="false">IF($A1003="","",COUNTIFS(Orders!$C$2:$C$20001,$A1003,Orders!$E$2:$E$20001,"Prepaid",Orders!$F$2:$F$20001,"Delivered")+COUNTIFS(Orders!$C$2:$C$20001,$A1003,Orders!$E$2:$E$20001,"Prepaid",Orders!$F$2:$F$20001,"RTO"))</f>
        <v/>
      </c>
      <c r="F1003" s="17" t="str">
        <f aca="false">IF($A1003="","",COUNTIFS(Orders!$C$2:$C$20001,$A1003,Orders!$E$2:$E$20001,"Prepaid",Orders!$F$2:$F$20001,"RTO"))</f>
        <v/>
      </c>
      <c r="G1003" s="18" t="str">
        <f aca="false">IF($A1003="","",IFERROR(F1003/E1003,0))</f>
        <v/>
      </c>
      <c r="H1003" s="19" t="str">
        <f aca="false">IF($A1003="","",C1003*Settings!$B$11)</f>
        <v/>
      </c>
      <c r="I1003" s="20" t="str">
        <f aca="false">IF($A1003="","",IF(N(H1003)=0,"",RANK(H1003,$H$5:$H$2004)))</f>
        <v/>
      </c>
      <c r="J1003" s="21" t="str">
        <f aca="false">IF($A1003="","",IF(B1003=0,"No COD orders",IF(B1003&lt;Settings!$B$8,"Too few orders",IF(D1003&gt;=Settings!$B$9,"Restrict COD or verify","Keep COD"))))</f>
        <v/>
      </c>
    </row>
    <row r="1004" customFormat="false" ht="15" hidden="false" customHeight="false" outlineLevel="0" collapsed="false">
      <c r="A1004" s="27"/>
      <c r="B1004" s="17" t="str">
        <f aca="false">IF($A1004="","",COUNTIFS(Orders!$C$2:$C$20001,$A1004,Orders!$E$2:$E$20001,"COD",Orders!$F$2:$F$20001,"Delivered")+COUNTIFS(Orders!$C$2:$C$20001,$A1004,Orders!$E$2:$E$20001,"COD",Orders!$F$2:$F$20001,"RTO"))</f>
        <v/>
      </c>
      <c r="C1004" s="17" t="str">
        <f aca="false">IF($A1004="","",COUNTIFS(Orders!$C$2:$C$20001,$A1004,Orders!$E$2:$E$20001,"COD",Orders!$F$2:$F$20001,"RTO"))</f>
        <v/>
      </c>
      <c r="D1004" s="18" t="str">
        <f aca="false">IF($A1004="","",IFERROR(C1004/B1004,0))</f>
        <v/>
      </c>
      <c r="E1004" s="17" t="str">
        <f aca="false">IF($A1004="","",COUNTIFS(Orders!$C$2:$C$20001,$A1004,Orders!$E$2:$E$20001,"Prepaid",Orders!$F$2:$F$20001,"Delivered")+COUNTIFS(Orders!$C$2:$C$20001,$A1004,Orders!$E$2:$E$20001,"Prepaid",Orders!$F$2:$F$20001,"RTO"))</f>
        <v/>
      </c>
      <c r="F1004" s="17" t="str">
        <f aca="false">IF($A1004="","",COUNTIFS(Orders!$C$2:$C$20001,$A1004,Orders!$E$2:$E$20001,"Prepaid",Orders!$F$2:$F$20001,"RTO"))</f>
        <v/>
      </c>
      <c r="G1004" s="18" t="str">
        <f aca="false">IF($A1004="","",IFERROR(F1004/E1004,0))</f>
        <v/>
      </c>
      <c r="H1004" s="19" t="str">
        <f aca="false">IF($A1004="","",C1004*Settings!$B$11)</f>
        <v/>
      </c>
      <c r="I1004" s="20" t="str">
        <f aca="false">IF($A1004="","",IF(N(H1004)=0,"",RANK(H1004,$H$5:$H$2004)))</f>
        <v/>
      </c>
      <c r="J1004" s="21" t="str">
        <f aca="false">IF($A1004="","",IF(B1004=0,"No COD orders",IF(B1004&lt;Settings!$B$8,"Too few orders",IF(D1004&gt;=Settings!$B$9,"Restrict COD or verify","Keep COD"))))</f>
        <v/>
      </c>
    </row>
    <row r="1005" customFormat="false" ht="15" hidden="false" customHeight="false" outlineLevel="0" collapsed="false">
      <c r="A1005" s="27"/>
      <c r="B1005" s="17" t="str">
        <f aca="false">IF($A1005="","",COUNTIFS(Orders!$C$2:$C$20001,$A1005,Orders!$E$2:$E$20001,"COD",Orders!$F$2:$F$20001,"Delivered")+COUNTIFS(Orders!$C$2:$C$20001,$A1005,Orders!$E$2:$E$20001,"COD",Orders!$F$2:$F$20001,"RTO"))</f>
        <v/>
      </c>
      <c r="C1005" s="17" t="str">
        <f aca="false">IF($A1005="","",COUNTIFS(Orders!$C$2:$C$20001,$A1005,Orders!$E$2:$E$20001,"COD",Orders!$F$2:$F$20001,"RTO"))</f>
        <v/>
      </c>
      <c r="D1005" s="18" t="str">
        <f aca="false">IF($A1005="","",IFERROR(C1005/B1005,0))</f>
        <v/>
      </c>
      <c r="E1005" s="17" t="str">
        <f aca="false">IF($A1005="","",COUNTIFS(Orders!$C$2:$C$20001,$A1005,Orders!$E$2:$E$20001,"Prepaid",Orders!$F$2:$F$20001,"Delivered")+COUNTIFS(Orders!$C$2:$C$20001,$A1005,Orders!$E$2:$E$20001,"Prepaid",Orders!$F$2:$F$20001,"RTO"))</f>
        <v/>
      </c>
      <c r="F1005" s="17" t="str">
        <f aca="false">IF($A1005="","",COUNTIFS(Orders!$C$2:$C$20001,$A1005,Orders!$E$2:$E$20001,"Prepaid",Orders!$F$2:$F$20001,"RTO"))</f>
        <v/>
      </c>
      <c r="G1005" s="18" t="str">
        <f aca="false">IF($A1005="","",IFERROR(F1005/E1005,0))</f>
        <v/>
      </c>
      <c r="H1005" s="19" t="str">
        <f aca="false">IF($A1005="","",C1005*Settings!$B$11)</f>
        <v/>
      </c>
      <c r="I1005" s="20" t="str">
        <f aca="false">IF($A1005="","",IF(N(H1005)=0,"",RANK(H1005,$H$5:$H$2004)))</f>
        <v/>
      </c>
      <c r="J1005" s="21" t="str">
        <f aca="false">IF($A1005="","",IF(B1005=0,"No COD orders",IF(B1005&lt;Settings!$B$8,"Too few orders",IF(D1005&gt;=Settings!$B$9,"Restrict COD or verify","Keep COD"))))</f>
        <v/>
      </c>
    </row>
    <row r="1006" customFormat="false" ht="15" hidden="false" customHeight="false" outlineLevel="0" collapsed="false">
      <c r="A1006" s="27"/>
      <c r="B1006" s="17" t="str">
        <f aca="false">IF($A1006="","",COUNTIFS(Orders!$C$2:$C$20001,$A1006,Orders!$E$2:$E$20001,"COD",Orders!$F$2:$F$20001,"Delivered")+COUNTIFS(Orders!$C$2:$C$20001,$A1006,Orders!$E$2:$E$20001,"COD",Orders!$F$2:$F$20001,"RTO"))</f>
        <v/>
      </c>
      <c r="C1006" s="17" t="str">
        <f aca="false">IF($A1006="","",COUNTIFS(Orders!$C$2:$C$20001,$A1006,Orders!$E$2:$E$20001,"COD",Orders!$F$2:$F$20001,"RTO"))</f>
        <v/>
      </c>
      <c r="D1006" s="18" t="str">
        <f aca="false">IF($A1006="","",IFERROR(C1006/B1006,0))</f>
        <v/>
      </c>
      <c r="E1006" s="17" t="str">
        <f aca="false">IF($A1006="","",COUNTIFS(Orders!$C$2:$C$20001,$A1006,Orders!$E$2:$E$20001,"Prepaid",Orders!$F$2:$F$20001,"Delivered")+COUNTIFS(Orders!$C$2:$C$20001,$A1006,Orders!$E$2:$E$20001,"Prepaid",Orders!$F$2:$F$20001,"RTO"))</f>
        <v/>
      </c>
      <c r="F1006" s="17" t="str">
        <f aca="false">IF($A1006="","",COUNTIFS(Orders!$C$2:$C$20001,$A1006,Orders!$E$2:$E$20001,"Prepaid",Orders!$F$2:$F$20001,"RTO"))</f>
        <v/>
      </c>
      <c r="G1006" s="18" t="str">
        <f aca="false">IF($A1006="","",IFERROR(F1006/E1006,0))</f>
        <v/>
      </c>
      <c r="H1006" s="19" t="str">
        <f aca="false">IF($A1006="","",C1006*Settings!$B$11)</f>
        <v/>
      </c>
      <c r="I1006" s="20" t="str">
        <f aca="false">IF($A1006="","",IF(N(H1006)=0,"",RANK(H1006,$H$5:$H$2004)))</f>
        <v/>
      </c>
      <c r="J1006" s="21" t="str">
        <f aca="false">IF($A1006="","",IF(B1006=0,"No COD orders",IF(B1006&lt;Settings!$B$8,"Too few orders",IF(D1006&gt;=Settings!$B$9,"Restrict COD or verify","Keep COD"))))</f>
        <v/>
      </c>
    </row>
    <row r="1007" customFormat="false" ht="15" hidden="false" customHeight="false" outlineLevel="0" collapsed="false">
      <c r="A1007" s="27"/>
      <c r="B1007" s="17" t="str">
        <f aca="false">IF($A1007="","",COUNTIFS(Orders!$C$2:$C$20001,$A1007,Orders!$E$2:$E$20001,"COD",Orders!$F$2:$F$20001,"Delivered")+COUNTIFS(Orders!$C$2:$C$20001,$A1007,Orders!$E$2:$E$20001,"COD",Orders!$F$2:$F$20001,"RTO"))</f>
        <v/>
      </c>
      <c r="C1007" s="17" t="str">
        <f aca="false">IF($A1007="","",COUNTIFS(Orders!$C$2:$C$20001,$A1007,Orders!$E$2:$E$20001,"COD",Orders!$F$2:$F$20001,"RTO"))</f>
        <v/>
      </c>
      <c r="D1007" s="18" t="str">
        <f aca="false">IF($A1007="","",IFERROR(C1007/B1007,0))</f>
        <v/>
      </c>
      <c r="E1007" s="17" t="str">
        <f aca="false">IF($A1007="","",COUNTIFS(Orders!$C$2:$C$20001,$A1007,Orders!$E$2:$E$20001,"Prepaid",Orders!$F$2:$F$20001,"Delivered")+COUNTIFS(Orders!$C$2:$C$20001,$A1007,Orders!$E$2:$E$20001,"Prepaid",Orders!$F$2:$F$20001,"RTO"))</f>
        <v/>
      </c>
      <c r="F1007" s="17" t="str">
        <f aca="false">IF($A1007="","",COUNTIFS(Orders!$C$2:$C$20001,$A1007,Orders!$E$2:$E$20001,"Prepaid",Orders!$F$2:$F$20001,"RTO"))</f>
        <v/>
      </c>
      <c r="G1007" s="18" t="str">
        <f aca="false">IF($A1007="","",IFERROR(F1007/E1007,0))</f>
        <v/>
      </c>
      <c r="H1007" s="19" t="str">
        <f aca="false">IF($A1007="","",C1007*Settings!$B$11)</f>
        <v/>
      </c>
      <c r="I1007" s="20" t="str">
        <f aca="false">IF($A1007="","",IF(N(H1007)=0,"",RANK(H1007,$H$5:$H$2004)))</f>
        <v/>
      </c>
      <c r="J1007" s="21" t="str">
        <f aca="false">IF($A1007="","",IF(B1007=0,"No COD orders",IF(B1007&lt;Settings!$B$8,"Too few orders",IF(D1007&gt;=Settings!$B$9,"Restrict COD or verify","Keep COD"))))</f>
        <v/>
      </c>
    </row>
    <row r="1008" customFormat="false" ht="15" hidden="false" customHeight="false" outlineLevel="0" collapsed="false">
      <c r="A1008" s="27"/>
      <c r="B1008" s="17" t="str">
        <f aca="false">IF($A1008="","",COUNTIFS(Orders!$C$2:$C$20001,$A1008,Orders!$E$2:$E$20001,"COD",Orders!$F$2:$F$20001,"Delivered")+COUNTIFS(Orders!$C$2:$C$20001,$A1008,Orders!$E$2:$E$20001,"COD",Orders!$F$2:$F$20001,"RTO"))</f>
        <v/>
      </c>
      <c r="C1008" s="17" t="str">
        <f aca="false">IF($A1008="","",COUNTIFS(Orders!$C$2:$C$20001,$A1008,Orders!$E$2:$E$20001,"COD",Orders!$F$2:$F$20001,"RTO"))</f>
        <v/>
      </c>
      <c r="D1008" s="18" t="str">
        <f aca="false">IF($A1008="","",IFERROR(C1008/B1008,0))</f>
        <v/>
      </c>
      <c r="E1008" s="17" t="str">
        <f aca="false">IF($A1008="","",COUNTIFS(Orders!$C$2:$C$20001,$A1008,Orders!$E$2:$E$20001,"Prepaid",Orders!$F$2:$F$20001,"Delivered")+COUNTIFS(Orders!$C$2:$C$20001,$A1008,Orders!$E$2:$E$20001,"Prepaid",Orders!$F$2:$F$20001,"RTO"))</f>
        <v/>
      </c>
      <c r="F1008" s="17" t="str">
        <f aca="false">IF($A1008="","",COUNTIFS(Orders!$C$2:$C$20001,$A1008,Orders!$E$2:$E$20001,"Prepaid",Orders!$F$2:$F$20001,"RTO"))</f>
        <v/>
      </c>
      <c r="G1008" s="18" t="str">
        <f aca="false">IF($A1008="","",IFERROR(F1008/E1008,0))</f>
        <v/>
      </c>
      <c r="H1008" s="19" t="str">
        <f aca="false">IF($A1008="","",C1008*Settings!$B$11)</f>
        <v/>
      </c>
      <c r="I1008" s="20" t="str">
        <f aca="false">IF($A1008="","",IF(N(H1008)=0,"",RANK(H1008,$H$5:$H$2004)))</f>
        <v/>
      </c>
      <c r="J1008" s="21" t="str">
        <f aca="false">IF($A1008="","",IF(B1008=0,"No COD orders",IF(B1008&lt;Settings!$B$8,"Too few orders",IF(D1008&gt;=Settings!$B$9,"Restrict COD or verify","Keep COD"))))</f>
        <v/>
      </c>
    </row>
    <row r="1009" customFormat="false" ht="15" hidden="false" customHeight="false" outlineLevel="0" collapsed="false">
      <c r="A1009" s="27"/>
      <c r="B1009" s="17" t="str">
        <f aca="false">IF($A1009="","",COUNTIFS(Orders!$C$2:$C$20001,$A1009,Orders!$E$2:$E$20001,"COD",Orders!$F$2:$F$20001,"Delivered")+COUNTIFS(Orders!$C$2:$C$20001,$A1009,Orders!$E$2:$E$20001,"COD",Orders!$F$2:$F$20001,"RTO"))</f>
        <v/>
      </c>
      <c r="C1009" s="17" t="str">
        <f aca="false">IF($A1009="","",COUNTIFS(Orders!$C$2:$C$20001,$A1009,Orders!$E$2:$E$20001,"COD",Orders!$F$2:$F$20001,"RTO"))</f>
        <v/>
      </c>
      <c r="D1009" s="18" t="str">
        <f aca="false">IF($A1009="","",IFERROR(C1009/B1009,0))</f>
        <v/>
      </c>
      <c r="E1009" s="17" t="str">
        <f aca="false">IF($A1009="","",COUNTIFS(Orders!$C$2:$C$20001,$A1009,Orders!$E$2:$E$20001,"Prepaid",Orders!$F$2:$F$20001,"Delivered")+COUNTIFS(Orders!$C$2:$C$20001,$A1009,Orders!$E$2:$E$20001,"Prepaid",Orders!$F$2:$F$20001,"RTO"))</f>
        <v/>
      </c>
      <c r="F1009" s="17" t="str">
        <f aca="false">IF($A1009="","",COUNTIFS(Orders!$C$2:$C$20001,$A1009,Orders!$E$2:$E$20001,"Prepaid",Orders!$F$2:$F$20001,"RTO"))</f>
        <v/>
      </c>
      <c r="G1009" s="18" t="str">
        <f aca="false">IF($A1009="","",IFERROR(F1009/E1009,0))</f>
        <v/>
      </c>
      <c r="H1009" s="19" t="str">
        <f aca="false">IF($A1009="","",C1009*Settings!$B$11)</f>
        <v/>
      </c>
      <c r="I1009" s="20" t="str">
        <f aca="false">IF($A1009="","",IF(N(H1009)=0,"",RANK(H1009,$H$5:$H$2004)))</f>
        <v/>
      </c>
      <c r="J1009" s="21" t="str">
        <f aca="false">IF($A1009="","",IF(B1009=0,"No COD orders",IF(B1009&lt;Settings!$B$8,"Too few orders",IF(D1009&gt;=Settings!$B$9,"Restrict COD or verify","Keep COD"))))</f>
        <v/>
      </c>
    </row>
    <row r="1010" customFormat="false" ht="15" hidden="false" customHeight="false" outlineLevel="0" collapsed="false">
      <c r="A1010" s="27"/>
      <c r="B1010" s="17" t="str">
        <f aca="false">IF($A1010="","",COUNTIFS(Orders!$C$2:$C$20001,$A1010,Orders!$E$2:$E$20001,"COD",Orders!$F$2:$F$20001,"Delivered")+COUNTIFS(Orders!$C$2:$C$20001,$A1010,Orders!$E$2:$E$20001,"COD",Orders!$F$2:$F$20001,"RTO"))</f>
        <v/>
      </c>
      <c r="C1010" s="17" t="str">
        <f aca="false">IF($A1010="","",COUNTIFS(Orders!$C$2:$C$20001,$A1010,Orders!$E$2:$E$20001,"COD",Orders!$F$2:$F$20001,"RTO"))</f>
        <v/>
      </c>
      <c r="D1010" s="18" t="str">
        <f aca="false">IF($A1010="","",IFERROR(C1010/B1010,0))</f>
        <v/>
      </c>
      <c r="E1010" s="17" t="str">
        <f aca="false">IF($A1010="","",COUNTIFS(Orders!$C$2:$C$20001,$A1010,Orders!$E$2:$E$20001,"Prepaid",Orders!$F$2:$F$20001,"Delivered")+COUNTIFS(Orders!$C$2:$C$20001,$A1010,Orders!$E$2:$E$20001,"Prepaid",Orders!$F$2:$F$20001,"RTO"))</f>
        <v/>
      </c>
      <c r="F1010" s="17" t="str">
        <f aca="false">IF($A1010="","",COUNTIFS(Orders!$C$2:$C$20001,$A1010,Orders!$E$2:$E$20001,"Prepaid",Orders!$F$2:$F$20001,"RTO"))</f>
        <v/>
      </c>
      <c r="G1010" s="18" t="str">
        <f aca="false">IF($A1010="","",IFERROR(F1010/E1010,0))</f>
        <v/>
      </c>
      <c r="H1010" s="19" t="str">
        <f aca="false">IF($A1010="","",C1010*Settings!$B$11)</f>
        <v/>
      </c>
      <c r="I1010" s="20" t="str">
        <f aca="false">IF($A1010="","",IF(N(H1010)=0,"",RANK(H1010,$H$5:$H$2004)))</f>
        <v/>
      </c>
      <c r="J1010" s="21" t="str">
        <f aca="false">IF($A1010="","",IF(B1010=0,"No COD orders",IF(B1010&lt;Settings!$B$8,"Too few orders",IF(D1010&gt;=Settings!$B$9,"Restrict COD or verify","Keep COD"))))</f>
        <v/>
      </c>
    </row>
    <row r="1011" customFormat="false" ht="15" hidden="false" customHeight="false" outlineLevel="0" collapsed="false">
      <c r="A1011" s="27"/>
      <c r="B1011" s="17" t="str">
        <f aca="false">IF($A1011="","",COUNTIFS(Orders!$C$2:$C$20001,$A1011,Orders!$E$2:$E$20001,"COD",Orders!$F$2:$F$20001,"Delivered")+COUNTIFS(Orders!$C$2:$C$20001,$A1011,Orders!$E$2:$E$20001,"COD",Orders!$F$2:$F$20001,"RTO"))</f>
        <v/>
      </c>
      <c r="C1011" s="17" t="str">
        <f aca="false">IF($A1011="","",COUNTIFS(Orders!$C$2:$C$20001,$A1011,Orders!$E$2:$E$20001,"COD",Orders!$F$2:$F$20001,"RTO"))</f>
        <v/>
      </c>
      <c r="D1011" s="18" t="str">
        <f aca="false">IF($A1011="","",IFERROR(C1011/B1011,0))</f>
        <v/>
      </c>
      <c r="E1011" s="17" t="str">
        <f aca="false">IF($A1011="","",COUNTIFS(Orders!$C$2:$C$20001,$A1011,Orders!$E$2:$E$20001,"Prepaid",Orders!$F$2:$F$20001,"Delivered")+COUNTIFS(Orders!$C$2:$C$20001,$A1011,Orders!$E$2:$E$20001,"Prepaid",Orders!$F$2:$F$20001,"RTO"))</f>
        <v/>
      </c>
      <c r="F1011" s="17" t="str">
        <f aca="false">IF($A1011="","",COUNTIFS(Orders!$C$2:$C$20001,$A1011,Orders!$E$2:$E$20001,"Prepaid",Orders!$F$2:$F$20001,"RTO"))</f>
        <v/>
      </c>
      <c r="G1011" s="18" t="str">
        <f aca="false">IF($A1011="","",IFERROR(F1011/E1011,0))</f>
        <v/>
      </c>
      <c r="H1011" s="19" t="str">
        <f aca="false">IF($A1011="","",C1011*Settings!$B$11)</f>
        <v/>
      </c>
      <c r="I1011" s="20" t="str">
        <f aca="false">IF($A1011="","",IF(N(H1011)=0,"",RANK(H1011,$H$5:$H$2004)))</f>
        <v/>
      </c>
      <c r="J1011" s="21" t="str">
        <f aca="false">IF($A1011="","",IF(B1011=0,"No COD orders",IF(B1011&lt;Settings!$B$8,"Too few orders",IF(D1011&gt;=Settings!$B$9,"Restrict COD or verify","Keep COD"))))</f>
        <v/>
      </c>
    </row>
    <row r="1012" customFormat="false" ht="15" hidden="false" customHeight="false" outlineLevel="0" collapsed="false">
      <c r="A1012" s="27"/>
      <c r="B1012" s="17" t="str">
        <f aca="false">IF($A1012="","",COUNTIFS(Orders!$C$2:$C$20001,$A1012,Orders!$E$2:$E$20001,"COD",Orders!$F$2:$F$20001,"Delivered")+COUNTIFS(Orders!$C$2:$C$20001,$A1012,Orders!$E$2:$E$20001,"COD",Orders!$F$2:$F$20001,"RTO"))</f>
        <v/>
      </c>
      <c r="C1012" s="17" t="str">
        <f aca="false">IF($A1012="","",COUNTIFS(Orders!$C$2:$C$20001,$A1012,Orders!$E$2:$E$20001,"COD",Orders!$F$2:$F$20001,"RTO"))</f>
        <v/>
      </c>
      <c r="D1012" s="18" t="str">
        <f aca="false">IF($A1012="","",IFERROR(C1012/B1012,0))</f>
        <v/>
      </c>
      <c r="E1012" s="17" t="str">
        <f aca="false">IF($A1012="","",COUNTIFS(Orders!$C$2:$C$20001,$A1012,Orders!$E$2:$E$20001,"Prepaid",Orders!$F$2:$F$20001,"Delivered")+COUNTIFS(Orders!$C$2:$C$20001,$A1012,Orders!$E$2:$E$20001,"Prepaid",Orders!$F$2:$F$20001,"RTO"))</f>
        <v/>
      </c>
      <c r="F1012" s="17" t="str">
        <f aca="false">IF($A1012="","",COUNTIFS(Orders!$C$2:$C$20001,$A1012,Orders!$E$2:$E$20001,"Prepaid",Orders!$F$2:$F$20001,"RTO"))</f>
        <v/>
      </c>
      <c r="G1012" s="18" t="str">
        <f aca="false">IF($A1012="","",IFERROR(F1012/E1012,0))</f>
        <v/>
      </c>
      <c r="H1012" s="19" t="str">
        <f aca="false">IF($A1012="","",C1012*Settings!$B$11)</f>
        <v/>
      </c>
      <c r="I1012" s="20" t="str">
        <f aca="false">IF($A1012="","",IF(N(H1012)=0,"",RANK(H1012,$H$5:$H$2004)))</f>
        <v/>
      </c>
      <c r="J1012" s="21" t="str">
        <f aca="false">IF($A1012="","",IF(B1012=0,"No COD orders",IF(B1012&lt;Settings!$B$8,"Too few orders",IF(D1012&gt;=Settings!$B$9,"Restrict COD or verify","Keep COD"))))</f>
        <v/>
      </c>
    </row>
    <row r="1013" customFormat="false" ht="15" hidden="false" customHeight="false" outlineLevel="0" collapsed="false">
      <c r="A1013" s="27"/>
      <c r="B1013" s="17" t="str">
        <f aca="false">IF($A1013="","",COUNTIFS(Orders!$C$2:$C$20001,$A1013,Orders!$E$2:$E$20001,"COD",Orders!$F$2:$F$20001,"Delivered")+COUNTIFS(Orders!$C$2:$C$20001,$A1013,Orders!$E$2:$E$20001,"COD",Orders!$F$2:$F$20001,"RTO"))</f>
        <v/>
      </c>
      <c r="C1013" s="17" t="str">
        <f aca="false">IF($A1013="","",COUNTIFS(Orders!$C$2:$C$20001,$A1013,Orders!$E$2:$E$20001,"COD",Orders!$F$2:$F$20001,"RTO"))</f>
        <v/>
      </c>
      <c r="D1013" s="18" t="str">
        <f aca="false">IF($A1013="","",IFERROR(C1013/B1013,0))</f>
        <v/>
      </c>
      <c r="E1013" s="17" t="str">
        <f aca="false">IF($A1013="","",COUNTIFS(Orders!$C$2:$C$20001,$A1013,Orders!$E$2:$E$20001,"Prepaid",Orders!$F$2:$F$20001,"Delivered")+COUNTIFS(Orders!$C$2:$C$20001,$A1013,Orders!$E$2:$E$20001,"Prepaid",Orders!$F$2:$F$20001,"RTO"))</f>
        <v/>
      </c>
      <c r="F1013" s="17" t="str">
        <f aca="false">IF($A1013="","",COUNTIFS(Orders!$C$2:$C$20001,$A1013,Orders!$E$2:$E$20001,"Prepaid",Orders!$F$2:$F$20001,"RTO"))</f>
        <v/>
      </c>
      <c r="G1013" s="18" t="str">
        <f aca="false">IF($A1013="","",IFERROR(F1013/E1013,0))</f>
        <v/>
      </c>
      <c r="H1013" s="19" t="str">
        <f aca="false">IF($A1013="","",C1013*Settings!$B$11)</f>
        <v/>
      </c>
      <c r="I1013" s="20" t="str">
        <f aca="false">IF($A1013="","",IF(N(H1013)=0,"",RANK(H1013,$H$5:$H$2004)))</f>
        <v/>
      </c>
      <c r="J1013" s="21" t="str">
        <f aca="false">IF($A1013="","",IF(B1013=0,"No COD orders",IF(B1013&lt;Settings!$B$8,"Too few orders",IF(D1013&gt;=Settings!$B$9,"Restrict COD or verify","Keep COD"))))</f>
        <v/>
      </c>
    </row>
    <row r="1014" customFormat="false" ht="15" hidden="false" customHeight="false" outlineLevel="0" collapsed="false">
      <c r="A1014" s="27"/>
      <c r="B1014" s="17" t="str">
        <f aca="false">IF($A1014="","",COUNTIFS(Orders!$C$2:$C$20001,$A1014,Orders!$E$2:$E$20001,"COD",Orders!$F$2:$F$20001,"Delivered")+COUNTIFS(Orders!$C$2:$C$20001,$A1014,Orders!$E$2:$E$20001,"COD",Orders!$F$2:$F$20001,"RTO"))</f>
        <v/>
      </c>
      <c r="C1014" s="17" t="str">
        <f aca="false">IF($A1014="","",COUNTIFS(Orders!$C$2:$C$20001,$A1014,Orders!$E$2:$E$20001,"COD",Orders!$F$2:$F$20001,"RTO"))</f>
        <v/>
      </c>
      <c r="D1014" s="18" t="str">
        <f aca="false">IF($A1014="","",IFERROR(C1014/B1014,0))</f>
        <v/>
      </c>
      <c r="E1014" s="17" t="str">
        <f aca="false">IF($A1014="","",COUNTIFS(Orders!$C$2:$C$20001,$A1014,Orders!$E$2:$E$20001,"Prepaid",Orders!$F$2:$F$20001,"Delivered")+COUNTIFS(Orders!$C$2:$C$20001,$A1014,Orders!$E$2:$E$20001,"Prepaid",Orders!$F$2:$F$20001,"RTO"))</f>
        <v/>
      </c>
      <c r="F1014" s="17" t="str">
        <f aca="false">IF($A1014="","",COUNTIFS(Orders!$C$2:$C$20001,$A1014,Orders!$E$2:$E$20001,"Prepaid",Orders!$F$2:$F$20001,"RTO"))</f>
        <v/>
      </c>
      <c r="G1014" s="18" t="str">
        <f aca="false">IF($A1014="","",IFERROR(F1014/E1014,0))</f>
        <v/>
      </c>
      <c r="H1014" s="19" t="str">
        <f aca="false">IF($A1014="","",C1014*Settings!$B$11)</f>
        <v/>
      </c>
      <c r="I1014" s="20" t="str">
        <f aca="false">IF($A1014="","",IF(N(H1014)=0,"",RANK(H1014,$H$5:$H$2004)))</f>
        <v/>
      </c>
      <c r="J1014" s="21" t="str">
        <f aca="false">IF($A1014="","",IF(B1014=0,"No COD orders",IF(B1014&lt;Settings!$B$8,"Too few orders",IF(D1014&gt;=Settings!$B$9,"Restrict COD or verify","Keep COD"))))</f>
        <v/>
      </c>
    </row>
    <row r="1015" customFormat="false" ht="15" hidden="false" customHeight="false" outlineLevel="0" collapsed="false">
      <c r="A1015" s="27"/>
      <c r="B1015" s="17" t="str">
        <f aca="false">IF($A1015="","",COUNTIFS(Orders!$C$2:$C$20001,$A1015,Orders!$E$2:$E$20001,"COD",Orders!$F$2:$F$20001,"Delivered")+COUNTIFS(Orders!$C$2:$C$20001,$A1015,Orders!$E$2:$E$20001,"COD",Orders!$F$2:$F$20001,"RTO"))</f>
        <v/>
      </c>
      <c r="C1015" s="17" t="str">
        <f aca="false">IF($A1015="","",COUNTIFS(Orders!$C$2:$C$20001,$A1015,Orders!$E$2:$E$20001,"COD",Orders!$F$2:$F$20001,"RTO"))</f>
        <v/>
      </c>
      <c r="D1015" s="18" t="str">
        <f aca="false">IF($A1015="","",IFERROR(C1015/B1015,0))</f>
        <v/>
      </c>
      <c r="E1015" s="17" t="str">
        <f aca="false">IF($A1015="","",COUNTIFS(Orders!$C$2:$C$20001,$A1015,Orders!$E$2:$E$20001,"Prepaid",Orders!$F$2:$F$20001,"Delivered")+COUNTIFS(Orders!$C$2:$C$20001,$A1015,Orders!$E$2:$E$20001,"Prepaid",Orders!$F$2:$F$20001,"RTO"))</f>
        <v/>
      </c>
      <c r="F1015" s="17" t="str">
        <f aca="false">IF($A1015="","",COUNTIFS(Orders!$C$2:$C$20001,$A1015,Orders!$E$2:$E$20001,"Prepaid",Orders!$F$2:$F$20001,"RTO"))</f>
        <v/>
      </c>
      <c r="G1015" s="18" t="str">
        <f aca="false">IF($A1015="","",IFERROR(F1015/E1015,0))</f>
        <v/>
      </c>
      <c r="H1015" s="19" t="str">
        <f aca="false">IF($A1015="","",C1015*Settings!$B$11)</f>
        <v/>
      </c>
      <c r="I1015" s="20" t="str">
        <f aca="false">IF($A1015="","",IF(N(H1015)=0,"",RANK(H1015,$H$5:$H$2004)))</f>
        <v/>
      </c>
      <c r="J1015" s="21" t="str">
        <f aca="false">IF($A1015="","",IF(B1015=0,"No COD orders",IF(B1015&lt;Settings!$B$8,"Too few orders",IF(D1015&gt;=Settings!$B$9,"Restrict COD or verify","Keep COD"))))</f>
        <v/>
      </c>
    </row>
    <row r="1016" customFormat="false" ht="15" hidden="false" customHeight="false" outlineLevel="0" collapsed="false">
      <c r="A1016" s="27"/>
      <c r="B1016" s="17" t="str">
        <f aca="false">IF($A1016="","",COUNTIFS(Orders!$C$2:$C$20001,$A1016,Orders!$E$2:$E$20001,"COD",Orders!$F$2:$F$20001,"Delivered")+COUNTIFS(Orders!$C$2:$C$20001,$A1016,Orders!$E$2:$E$20001,"COD",Orders!$F$2:$F$20001,"RTO"))</f>
        <v/>
      </c>
      <c r="C1016" s="17" t="str">
        <f aca="false">IF($A1016="","",COUNTIFS(Orders!$C$2:$C$20001,$A1016,Orders!$E$2:$E$20001,"COD",Orders!$F$2:$F$20001,"RTO"))</f>
        <v/>
      </c>
      <c r="D1016" s="18" t="str">
        <f aca="false">IF($A1016="","",IFERROR(C1016/B1016,0))</f>
        <v/>
      </c>
      <c r="E1016" s="17" t="str">
        <f aca="false">IF($A1016="","",COUNTIFS(Orders!$C$2:$C$20001,$A1016,Orders!$E$2:$E$20001,"Prepaid",Orders!$F$2:$F$20001,"Delivered")+COUNTIFS(Orders!$C$2:$C$20001,$A1016,Orders!$E$2:$E$20001,"Prepaid",Orders!$F$2:$F$20001,"RTO"))</f>
        <v/>
      </c>
      <c r="F1016" s="17" t="str">
        <f aca="false">IF($A1016="","",COUNTIFS(Orders!$C$2:$C$20001,$A1016,Orders!$E$2:$E$20001,"Prepaid",Orders!$F$2:$F$20001,"RTO"))</f>
        <v/>
      </c>
      <c r="G1016" s="18" t="str">
        <f aca="false">IF($A1016="","",IFERROR(F1016/E1016,0))</f>
        <v/>
      </c>
      <c r="H1016" s="19" t="str">
        <f aca="false">IF($A1016="","",C1016*Settings!$B$11)</f>
        <v/>
      </c>
      <c r="I1016" s="20" t="str">
        <f aca="false">IF($A1016="","",IF(N(H1016)=0,"",RANK(H1016,$H$5:$H$2004)))</f>
        <v/>
      </c>
      <c r="J1016" s="21" t="str">
        <f aca="false">IF($A1016="","",IF(B1016=0,"No COD orders",IF(B1016&lt;Settings!$B$8,"Too few orders",IF(D1016&gt;=Settings!$B$9,"Restrict COD or verify","Keep COD"))))</f>
        <v/>
      </c>
    </row>
    <row r="1017" customFormat="false" ht="15" hidden="false" customHeight="false" outlineLevel="0" collapsed="false">
      <c r="A1017" s="27"/>
      <c r="B1017" s="17" t="str">
        <f aca="false">IF($A1017="","",COUNTIFS(Orders!$C$2:$C$20001,$A1017,Orders!$E$2:$E$20001,"COD",Orders!$F$2:$F$20001,"Delivered")+COUNTIFS(Orders!$C$2:$C$20001,$A1017,Orders!$E$2:$E$20001,"COD",Orders!$F$2:$F$20001,"RTO"))</f>
        <v/>
      </c>
      <c r="C1017" s="17" t="str">
        <f aca="false">IF($A1017="","",COUNTIFS(Orders!$C$2:$C$20001,$A1017,Orders!$E$2:$E$20001,"COD",Orders!$F$2:$F$20001,"RTO"))</f>
        <v/>
      </c>
      <c r="D1017" s="18" t="str">
        <f aca="false">IF($A1017="","",IFERROR(C1017/B1017,0))</f>
        <v/>
      </c>
      <c r="E1017" s="17" t="str">
        <f aca="false">IF($A1017="","",COUNTIFS(Orders!$C$2:$C$20001,$A1017,Orders!$E$2:$E$20001,"Prepaid",Orders!$F$2:$F$20001,"Delivered")+COUNTIFS(Orders!$C$2:$C$20001,$A1017,Orders!$E$2:$E$20001,"Prepaid",Orders!$F$2:$F$20001,"RTO"))</f>
        <v/>
      </c>
      <c r="F1017" s="17" t="str">
        <f aca="false">IF($A1017="","",COUNTIFS(Orders!$C$2:$C$20001,$A1017,Orders!$E$2:$E$20001,"Prepaid",Orders!$F$2:$F$20001,"RTO"))</f>
        <v/>
      </c>
      <c r="G1017" s="18" t="str">
        <f aca="false">IF($A1017="","",IFERROR(F1017/E1017,0))</f>
        <v/>
      </c>
      <c r="H1017" s="19" t="str">
        <f aca="false">IF($A1017="","",C1017*Settings!$B$11)</f>
        <v/>
      </c>
      <c r="I1017" s="20" t="str">
        <f aca="false">IF($A1017="","",IF(N(H1017)=0,"",RANK(H1017,$H$5:$H$2004)))</f>
        <v/>
      </c>
      <c r="J1017" s="21" t="str">
        <f aca="false">IF($A1017="","",IF(B1017=0,"No COD orders",IF(B1017&lt;Settings!$B$8,"Too few orders",IF(D1017&gt;=Settings!$B$9,"Restrict COD or verify","Keep COD"))))</f>
        <v/>
      </c>
    </row>
    <row r="1018" customFormat="false" ht="15" hidden="false" customHeight="false" outlineLevel="0" collapsed="false">
      <c r="A1018" s="27"/>
      <c r="B1018" s="17" t="str">
        <f aca="false">IF($A1018="","",COUNTIFS(Orders!$C$2:$C$20001,$A1018,Orders!$E$2:$E$20001,"COD",Orders!$F$2:$F$20001,"Delivered")+COUNTIFS(Orders!$C$2:$C$20001,$A1018,Orders!$E$2:$E$20001,"COD",Orders!$F$2:$F$20001,"RTO"))</f>
        <v/>
      </c>
      <c r="C1018" s="17" t="str">
        <f aca="false">IF($A1018="","",COUNTIFS(Orders!$C$2:$C$20001,$A1018,Orders!$E$2:$E$20001,"COD",Orders!$F$2:$F$20001,"RTO"))</f>
        <v/>
      </c>
      <c r="D1018" s="18" t="str">
        <f aca="false">IF($A1018="","",IFERROR(C1018/B1018,0))</f>
        <v/>
      </c>
      <c r="E1018" s="17" t="str">
        <f aca="false">IF($A1018="","",COUNTIFS(Orders!$C$2:$C$20001,$A1018,Orders!$E$2:$E$20001,"Prepaid",Orders!$F$2:$F$20001,"Delivered")+COUNTIFS(Orders!$C$2:$C$20001,$A1018,Orders!$E$2:$E$20001,"Prepaid",Orders!$F$2:$F$20001,"RTO"))</f>
        <v/>
      </c>
      <c r="F1018" s="17" t="str">
        <f aca="false">IF($A1018="","",COUNTIFS(Orders!$C$2:$C$20001,$A1018,Orders!$E$2:$E$20001,"Prepaid",Orders!$F$2:$F$20001,"RTO"))</f>
        <v/>
      </c>
      <c r="G1018" s="18" t="str">
        <f aca="false">IF($A1018="","",IFERROR(F1018/E1018,0))</f>
        <v/>
      </c>
      <c r="H1018" s="19" t="str">
        <f aca="false">IF($A1018="","",C1018*Settings!$B$11)</f>
        <v/>
      </c>
      <c r="I1018" s="20" t="str">
        <f aca="false">IF($A1018="","",IF(N(H1018)=0,"",RANK(H1018,$H$5:$H$2004)))</f>
        <v/>
      </c>
      <c r="J1018" s="21" t="str">
        <f aca="false">IF($A1018="","",IF(B1018=0,"No COD orders",IF(B1018&lt;Settings!$B$8,"Too few orders",IF(D1018&gt;=Settings!$B$9,"Restrict COD or verify","Keep COD"))))</f>
        <v/>
      </c>
    </row>
    <row r="1019" customFormat="false" ht="15" hidden="false" customHeight="false" outlineLevel="0" collapsed="false">
      <c r="A1019" s="27"/>
      <c r="B1019" s="17" t="str">
        <f aca="false">IF($A1019="","",COUNTIFS(Orders!$C$2:$C$20001,$A1019,Orders!$E$2:$E$20001,"COD",Orders!$F$2:$F$20001,"Delivered")+COUNTIFS(Orders!$C$2:$C$20001,$A1019,Orders!$E$2:$E$20001,"COD",Orders!$F$2:$F$20001,"RTO"))</f>
        <v/>
      </c>
      <c r="C1019" s="17" t="str">
        <f aca="false">IF($A1019="","",COUNTIFS(Orders!$C$2:$C$20001,$A1019,Orders!$E$2:$E$20001,"COD",Orders!$F$2:$F$20001,"RTO"))</f>
        <v/>
      </c>
      <c r="D1019" s="18" t="str">
        <f aca="false">IF($A1019="","",IFERROR(C1019/B1019,0))</f>
        <v/>
      </c>
      <c r="E1019" s="17" t="str">
        <f aca="false">IF($A1019="","",COUNTIFS(Orders!$C$2:$C$20001,$A1019,Orders!$E$2:$E$20001,"Prepaid",Orders!$F$2:$F$20001,"Delivered")+COUNTIFS(Orders!$C$2:$C$20001,$A1019,Orders!$E$2:$E$20001,"Prepaid",Orders!$F$2:$F$20001,"RTO"))</f>
        <v/>
      </c>
      <c r="F1019" s="17" t="str">
        <f aca="false">IF($A1019="","",COUNTIFS(Orders!$C$2:$C$20001,$A1019,Orders!$E$2:$E$20001,"Prepaid",Orders!$F$2:$F$20001,"RTO"))</f>
        <v/>
      </c>
      <c r="G1019" s="18" t="str">
        <f aca="false">IF($A1019="","",IFERROR(F1019/E1019,0))</f>
        <v/>
      </c>
      <c r="H1019" s="19" t="str">
        <f aca="false">IF($A1019="","",C1019*Settings!$B$11)</f>
        <v/>
      </c>
      <c r="I1019" s="20" t="str">
        <f aca="false">IF($A1019="","",IF(N(H1019)=0,"",RANK(H1019,$H$5:$H$2004)))</f>
        <v/>
      </c>
      <c r="J1019" s="21" t="str">
        <f aca="false">IF($A1019="","",IF(B1019=0,"No COD orders",IF(B1019&lt;Settings!$B$8,"Too few orders",IF(D1019&gt;=Settings!$B$9,"Restrict COD or verify","Keep COD"))))</f>
        <v/>
      </c>
    </row>
    <row r="1020" customFormat="false" ht="15" hidden="false" customHeight="false" outlineLevel="0" collapsed="false">
      <c r="A1020" s="27"/>
      <c r="B1020" s="17" t="str">
        <f aca="false">IF($A1020="","",COUNTIFS(Orders!$C$2:$C$20001,$A1020,Orders!$E$2:$E$20001,"COD",Orders!$F$2:$F$20001,"Delivered")+COUNTIFS(Orders!$C$2:$C$20001,$A1020,Orders!$E$2:$E$20001,"COD",Orders!$F$2:$F$20001,"RTO"))</f>
        <v/>
      </c>
      <c r="C1020" s="17" t="str">
        <f aca="false">IF($A1020="","",COUNTIFS(Orders!$C$2:$C$20001,$A1020,Orders!$E$2:$E$20001,"COD",Orders!$F$2:$F$20001,"RTO"))</f>
        <v/>
      </c>
      <c r="D1020" s="18" t="str">
        <f aca="false">IF($A1020="","",IFERROR(C1020/B1020,0))</f>
        <v/>
      </c>
      <c r="E1020" s="17" t="str">
        <f aca="false">IF($A1020="","",COUNTIFS(Orders!$C$2:$C$20001,$A1020,Orders!$E$2:$E$20001,"Prepaid",Orders!$F$2:$F$20001,"Delivered")+COUNTIFS(Orders!$C$2:$C$20001,$A1020,Orders!$E$2:$E$20001,"Prepaid",Orders!$F$2:$F$20001,"RTO"))</f>
        <v/>
      </c>
      <c r="F1020" s="17" t="str">
        <f aca="false">IF($A1020="","",COUNTIFS(Orders!$C$2:$C$20001,$A1020,Orders!$E$2:$E$20001,"Prepaid",Orders!$F$2:$F$20001,"RTO"))</f>
        <v/>
      </c>
      <c r="G1020" s="18" t="str">
        <f aca="false">IF($A1020="","",IFERROR(F1020/E1020,0))</f>
        <v/>
      </c>
      <c r="H1020" s="19" t="str">
        <f aca="false">IF($A1020="","",C1020*Settings!$B$11)</f>
        <v/>
      </c>
      <c r="I1020" s="20" t="str">
        <f aca="false">IF($A1020="","",IF(N(H1020)=0,"",RANK(H1020,$H$5:$H$2004)))</f>
        <v/>
      </c>
      <c r="J1020" s="21" t="str">
        <f aca="false">IF($A1020="","",IF(B1020=0,"No COD orders",IF(B1020&lt;Settings!$B$8,"Too few orders",IF(D1020&gt;=Settings!$B$9,"Restrict COD or verify","Keep COD"))))</f>
        <v/>
      </c>
    </row>
    <row r="1021" customFormat="false" ht="15" hidden="false" customHeight="false" outlineLevel="0" collapsed="false">
      <c r="A1021" s="27"/>
      <c r="B1021" s="17" t="str">
        <f aca="false">IF($A1021="","",COUNTIFS(Orders!$C$2:$C$20001,$A1021,Orders!$E$2:$E$20001,"COD",Orders!$F$2:$F$20001,"Delivered")+COUNTIFS(Orders!$C$2:$C$20001,$A1021,Orders!$E$2:$E$20001,"COD",Orders!$F$2:$F$20001,"RTO"))</f>
        <v/>
      </c>
      <c r="C1021" s="17" t="str">
        <f aca="false">IF($A1021="","",COUNTIFS(Orders!$C$2:$C$20001,$A1021,Orders!$E$2:$E$20001,"COD",Orders!$F$2:$F$20001,"RTO"))</f>
        <v/>
      </c>
      <c r="D1021" s="18" t="str">
        <f aca="false">IF($A1021="","",IFERROR(C1021/B1021,0))</f>
        <v/>
      </c>
      <c r="E1021" s="17" t="str">
        <f aca="false">IF($A1021="","",COUNTIFS(Orders!$C$2:$C$20001,$A1021,Orders!$E$2:$E$20001,"Prepaid",Orders!$F$2:$F$20001,"Delivered")+COUNTIFS(Orders!$C$2:$C$20001,$A1021,Orders!$E$2:$E$20001,"Prepaid",Orders!$F$2:$F$20001,"RTO"))</f>
        <v/>
      </c>
      <c r="F1021" s="17" t="str">
        <f aca="false">IF($A1021="","",COUNTIFS(Orders!$C$2:$C$20001,$A1021,Orders!$E$2:$E$20001,"Prepaid",Orders!$F$2:$F$20001,"RTO"))</f>
        <v/>
      </c>
      <c r="G1021" s="18" t="str">
        <f aca="false">IF($A1021="","",IFERROR(F1021/E1021,0))</f>
        <v/>
      </c>
      <c r="H1021" s="19" t="str">
        <f aca="false">IF($A1021="","",C1021*Settings!$B$11)</f>
        <v/>
      </c>
      <c r="I1021" s="20" t="str">
        <f aca="false">IF($A1021="","",IF(N(H1021)=0,"",RANK(H1021,$H$5:$H$2004)))</f>
        <v/>
      </c>
      <c r="J1021" s="21" t="str">
        <f aca="false">IF($A1021="","",IF(B1021=0,"No COD orders",IF(B1021&lt;Settings!$B$8,"Too few orders",IF(D1021&gt;=Settings!$B$9,"Restrict COD or verify","Keep COD"))))</f>
        <v/>
      </c>
    </row>
    <row r="1022" customFormat="false" ht="15" hidden="false" customHeight="false" outlineLevel="0" collapsed="false">
      <c r="A1022" s="27"/>
      <c r="B1022" s="17" t="str">
        <f aca="false">IF($A1022="","",COUNTIFS(Orders!$C$2:$C$20001,$A1022,Orders!$E$2:$E$20001,"COD",Orders!$F$2:$F$20001,"Delivered")+COUNTIFS(Orders!$C$2:$C$20001,$A1022,Orders!$E$2:$E$20001,"COD",Orders!$F$2:$F$20001,"RTO"))</f>
        <v/>
      </c>
      <c r="C1022" s="17" t="str">
        <f aca="false">IF($A1022="","",COUNTIFS(Orders!$C$2:$C$20001,$A1022,Orders!$E$2:$E$20001,"COD",Orders!$F$2:$F$20001,"RTO"))</f>
        <v/>
      </c>
      <c r="D1022" s="18" t="str">
        <f aca="false">IF($A1022="","",IFERROR(C1022/B1022,0))</f>
        <v/>
      </c>
      <c r="E1022" s="17" t="str">
        <f aca="false">IF($A1022="","",COUNTIFS(Orders!$C$2:$C$20001,$A1022,Orders!$E$2:$E$20001,"Prepaid",Orders!$F$2:$F$20001,"Delivered")+COUNTIFS(Orders!$C$2:$C$20001,$A1022,Orders!$E$2:$E$20001,"Prepaid",Orders!$F$2:$F$20001,"RTO"))</f>
        <v/>
      </c>
      <c r="F1022" s="17" t="str">
        <f aca="false">IF($A1022="","",COUNTIFS(Orders!$C$2:$C$20001,$A1022,Orders!$E$2:$E$20001,"Prepaid",Orders!$F$2:$F$20001,"RTO"))</f>
        <v/>
      </c>
      <c r="G1022" s="18" t="str">
        <f aca="false">IF($A1022="","",IFERROR(F1022/E1022,0))</f>
        <v/>
      </c>
      <c r="H1022" s="19" t="str">
        <f aca="false">IF($A1022="","",C1022*Settings!$B$11)</f>
        <v/>
      </c>
      <c r="I1022" s="20" t="str">
        <f aca="false">IF($A1022="","",IF(N(H1022)=0,"",RANK(H1022,$H$5:$H$2004)))</f>
        <v/>
      </c>
      <c r="J1022" s="21" t="str">
        <f aca="false">IF($A1022="","",IF(B1022=0,"No COD orders",IF(B1022&lt;Settings!$B$8,"Too few orders",IF(D1022&gt;=Settings!$B$9,"Restrict COD or verify","Keep COD"))))</f>
        <v/>
      </c>
    </row>
    <row r="1023" customFormat="false" ht="15" hidden="false" customHeight="false" outlineLevel="0" collapsed="false">
      <c r="A1023" s="27"/>
      <c r="B1023" s="17" t="str">
        <f aca="false">IF($A1023="","",COUNTIFS(Orders!$C$2:$C$20001,$A1023,Orders!$E$2:$E$20001,"COD",Orders!$F$2:$F$20001,"Delivered")+COUNTIFS(Orders!$C$2:$C$20001,$A1023,Orders!$E$2:$E$20001,"COD",Orders!$F$2:$F$20001,"RTO"))</f>
        <v/>
      </c>
      <c r="C1023" s="17" t="str">
        <f aca="false">IF($A1023="","",COUNTIFS(Orders!$C$2:$C$20001,$A1023,Orders!$E$2:$E$20001,"COD",Orders!$F$2:$F$20001,"RTO"))</f>
        <v/>
      </c>
      <c r="D1023" s="18" t="str">
        <f aca="false">IF($A1023="","",IFERROR(C1023/B1023,0))</f>
        <v/>
      </c>
      <c r="E1023" s="17" t="str">
        <f aca="false">IF($A1023="","",COUNTIFS(Orders!$C$2:$C$20001,$A1023,Orders!$E$2:$E$20001,"Prepaid",Orders!$F$2:$F$20001,"Delivered")+COUNTIFS(Orders!$C$2:$C$20001,$A1023,Orders!$E$2:$E$20001,"Prepaid",Orders!$F$2:$F$20001,"RTO"))</f>
        <v/>
      </c>
      <c r="F1023" s="17" t="str">
        <f aca="false">IF($A1023="","",COUNTIFS(Orders!$C$2:$C$20001,$A1023,Orders!$E$2:$E$20001,"Prepaid",Orders!$F$2:$F$20001,"RTO"))</f>
        <v/>
      </c>
      <c r="G1023" s="18" t="str">
        <f aca="false">IF($A1023="","",IFERROR(F1023/E1023,0))</f>
        <v/>
      </c>
      <c r="H1023" s="19" t="str">
        <f aca="false">IF($A1023="","",C1023*Settings!$B$11)</f>
        <v/>
      </c>
      <c r="I1023" s="20" t="str">
        <f aca="false">IF($A1023="","",IF(N(H1023)=0,"",RANK(H1023,$H$5:$H$2004)))</f>
        <v/>
      </c>
      <c r="J1023" s="21" t="str">
        <f aca="false">IF($A1023="","",IF(B1023=0,"No COD orders",IF(B1023&lt;Settings!$B$8,"Too few orders",IF(D1023&gt;=Settings!$B$9,"Restrict COD or verify","Keep COD"))))</f>
        <v/>
      </c>
    </row>
    <row r="1024" customFormat="false" ht="15" hidden="false" customHeight="false" outlineLevel="0" collapsed="false">
      <c r="A1024" s="27"/>
      <c r="B1024" s="17" t="str">
        <f aca="false">IF($A1024="","",COUNTIFS(Orders!$C$2:$C$20001,$A1024,Orders!$E$2:$E$20001,"COD",Orders!$F$2:$F$20001,"Delivered")+COUNTIFS(Orders!$C$2:$C$20001,$A1024,Orders!$E$2:$E$20001,"COD",Orders!$F$2:$F$20001,"RTO"))</f>
        <v/>
      </c>
      <c r="C1024" s="17" t="str">
        <f aca="false">IF($A1024="","",COUNTIFS(Orders!$C$2:$C$20001,$A1024,Orders!$E$2:$E$20001,"COD",Orders!$F$2:$F$20001,"RTO"))</f>
        <v/>
      </c>
      <c r="D1024" s="18" t="str">
        <f aca="false">IF($A1024="","",IFERROR(C1024/B1024,0))</f>
        <v/>
      </c>
      <c r="E1024" s="17" t="str">
        <f aca="false">IF($A1024="","",COUNTIFS(Orders!$C$2:$C$20001,$A1024,Orders!$E$2:$E$20001,"Prepaid",Orders!$F$2:$F$20001,"Delivered")+COUNTIFS(Orders!$C$2:$C$20001,$A1024,Orders!$E$2:$E$20001,"Prepaid",Orders!$F$2:$F$20001,"RTO"))</f>
        <v/>
      </c>
      <c r="F1024" s="17" t="str">
        <f aca="false">IF($A1024="","",COUNTIFS(Orders!$C$2:$C$20001,$A1024,Orders!$E$2:$E$20001,"Prepaid",Orders!$F$2:$F$20001,"RTO"))</f>
        <v/>
      </c>
      <c r="G1024" s="18" t="str">
        <f aca="false">IF($A1024="","",IFERROR(F1024/E1024,0))</f>
        <v/>
      </c>
      <c r="H1024" s="19" t="str">
        <f aca="false">IF($A1024="","",C1024*Settings!$B$11)</f>
        <v/>
      </c>
      <c r="I1024" s="20" t="str">
        <f aca="false">IF($A1024="","",IF(N(H1024)=0,"",RANK(H1024,$H$5:$H$2004)))</f>
        <v/>
      </c>
      <c r="J1024" s="21" t="str">
        <f aca="false">IF($A1024="","",IF(B1024=0,"No COD orders",IF(B1024&lt;Settings!$B$8,"Too few orders",IF(D1024&gt;=Settings!$B$9,"Restrict COD or verify","Keep COD"))))</f>
        <v/>
      </c>
    </row>
    <row r="1025" customFormat="false" ht="15" hidden="false" customHeight="false" outlineLevel="0" collapsed="false">
      <c r="A1025" s="27"/>
      <c r="B1025" s="17" t="str">
        <f aca="false">IF($A1025="","",COUNTIFS(Orders!$C$2:$C$20001,$A1025,Orders!$E$2:$E$20001,"COD",Orders!$F$2:$F$20001,"Delivered")+COUNTIFS(Orders!$C$2:$C$20001,$A1025,Orders!$E$2:$E$20001,"COD",Orders!$F$2:$F$20001,"RTO"))</f>
        <v/>
      </c>
      <c r="C1025" s="17" t="str">
        <f aca="false">IF($A1025="","",COUNTIFS(Orders!$C$2:$C$20001,$A1025,Orders!$E$2:$E$20001,"COD",Orders!$F$2:$F$20001,"RTO"))</f>
        <v/>
      </c>
      <c r="D1025" s="18" t="str">
        <f aca="false">IF($A1025="","",IFERROR(C1025/B1025,0))</f>
        <v/>
      </c>
      <c r="E1025" s="17" t="str">
        <f aca="false">IF($A1025="","",COUNTIFS(Orders!$C$2:$C$20001,$A1025,Orders!$E$2:$E$20001,"Prepaid",Orders!$F$2:$F$20001,"Delivered")+COUNTIFS(Orders!$C$2:$C$20001,$A1025,Orders!$E$2:$E$20001,"Prepaid",Orders!$F$2:$F$20001,"RTO"))</f>
        <v/>
      </c>
      <c r="F1025" s="17" t="str">
        <f aca="false">IF($A1025="","",COUNTIFS(Orders!$C$2:$C$20001,$A1025,Orders!$E$2:$E$20001,"Prepaid",Orders!$F$2:$F$20001,"RTO"))</f>
        <v/>
      </c>
      <c r="G1025" s="18" t="str">
        <f aca="false">IF($A1025="","",IFERROR(F1025/E1025,0))</f>
        <v/>
      </c>
      <c r="H1025" s="19" t="str">
        <f aca="false">IF($A1025="","",C1025*Settings!$B$11)</f>
        <v/>
      </c>
      <c r="I1025" s="20" t="str">
        <f aca="false">IF($A1025="","",IF(N(H1025)=0,"",RANK(H1025,$H$5:$H$2004)))</f>
        <v/>
      </c>
      <c r="J1025" s="21" t="str">
        <f aca="false">IF($A1025="","",IF(B1025=0,"No COD orders",IF(B1025&lt;Settings!$B$8,"Too few orders",IF(D1025&gt;=Settings!$B$9,"Restrict COD or verify","Keep COD"))))</f>
        <v/>
      </c>
    </row>
    <row r="1026" customFormat="false" ht="15" hidden="false" customHeight="false" outlineLevel="0" collapsed="false">
      <c r="A1026" s="27"/>
      <c r="B1026" s="17" t="str">
        <f aca="false">IF($A1026="","",COUNTIFS(Orders!$C$2:$C$20001,$A1026,Orders!$E$2:$E$20001,"COD",Orders!$F$2:$F$20001,"Delivered")+COUNTIFS(Orders!$C$2:$C$20001,$A1026,Orders!$E$2:$E$20001,"COD",Orders!$F$2:$F$20001,"RTO"))</f>
        <v/>
      </c>
      <c r="C1026" s="17" t="str">
        <f aca="false">IF($A1026="","",COUNTIFS(Orders!$C$2:$C$20001,$A1026,Orders!$E$2:$E$20001,"COD",Orders!$F$2:$F$20001,"RTO"))</f>
        <v/>
      </c>
      <c r="D1026" s="18" t="str">
        <f aca="false">IF($A1026="","",IFERROR(C1026/B1026,0))</f>
        <v/>
      </c>
      <c r="E1026" s="17" t="str">
        <f aca="false">IF($A1026="","",COUNTIFS(Orders!$C$2:$C$20001,$A1026,Orders!$E$2:$E$20001,"Prepaid",Orders!$F$2:$F$20001,"Delivered")+COUNTIFS(Orders!$C$2:$C$20001,$A1026,Orders!$E$2:$E$20001,"Prepaid",Orders!$F$2:$F$20001,"RTO"))</f>
        <v/>
      </c>
      <c r="F1026" s="17" t="str">
        <f aca="false">IF($A1026="","",COUNTIFS(Orders!$C$2:$C$20001,$A1026,Orders!$E$2:$E$20001,"Prepaid",Orders!$F$2:$F$20001,"RTO"))</f>
        <v/>
      </c>
      <c r="G1026" s="18" t="str">
        <f aca="false">IF($A1026="","",IFERROR(F1026/E1026,0))</f>
        <v/>
      </c>
      <c r="H1026" s="19" t="str">
        <f aca="false">IF($A1026="","",C1026*Settings!$B$11)</f>
        <v/>
      </c>
      <c r="I1026" s="20" t="str">
        <f aca="false">IF($A1026="","",IF(N(H1026)=0,"",RANK(H1026,$H$5:$H$2004)))</f>
        <v/>
      </c>
      <c r="J1026" s="21" t="str">
        <f aca="false">IF($A1026="","",IF(B1026=0,"No COD orders",IF(B1026&lt;Settings!$B$8,"Too few orders",IF(D1026&gt;=Settings!$B$9,"Restrict COD or verify","Keep COD"))))</f>
        <v/>
      </c>
    </row>
    <row r="1027" customFormat="false" ht="15" hidden="false" customHeight="false" outlineLevel="0" collapsed="false">
      <c r="A1027" s="27"/>
      <c r="B1027" s="17" t="str">
        <f aca="false">IF($A1027="","",COUNTIFS(Orders!$C$2:$C$20001,$A1027,Orders!$E$2:$E$20001,"COD",Orders!$F$2:$F$20001,"Delivered")+COUNTIFS(Orders!$C$2:$C$20001,$A1027,Orders!$E$2:$E$20001,"COD",Orders!$F$2:$F$20001,"RTO"))</f>
        <v/>
      </c>
      <c r="C1027" s="17" t="str">
        <f aca="false">IF($A1027="","",COUNTIFS(Orders!$C$2:$C$20001,$A1027,Orders!$E$2:$E$20001,"COD",Orders!$F$2:$F$20001,"RTO"))</f>
        <v/>
      </c>
      <c r="D1027" s="18" t="str">
        <f aca="false">IF($A1027="","",IFERROR(C1027/B1027,0))</f>
        <v/>
      </c>
      <c r="E1027" s="17" t="str">
        <f aca="false">IF($A1027="","",COUNTIFS(Orders!$C$2:$C$20001,$A1027,Orders!$E$2:$E$20001,"Prepaid",Orders!$F$2:$F$20001,"Delivered")+COUNTIFS(Orders!$C$2:$C$20001,$A1027,Orders!$E$2:$E$20001,"Prepaid",Orders!$F$2:$F$20001,"RTO"))</f>
        <v/>
      </c>
      <c r="F1027" s="17" t="str">
        <f aca="false">IF($A1027="","",COUNTIFS(Orders!$C$2:$C$20001,$A1027,Orders!$E$2:$E$20001,"Prepaid",Orders!$F$2:$F$20001,"RTO"))</f>
        <v/>
      </c>
      <c r="G1027" s="18" t="str">
        <f aca="false">IF($A1027="","",IFERROR(F1027/E1027,0))</f>
        <v/>
      </c>
      <c r="H1027" s="19" t="str">
        <f aca="false">IF($A1027="","",C1027*Settings!$B$11)</f>
        <v/>
      </c>
      <c r="I1027" s="20" t="str">
        <f aca="false">IF($A1027="","",IF(N(H1027)=0,"",RANK(H1027,$H$5:$H$2004)))</f>
        <v/>
      </c>
      <c r="J1027" s="21" t="str">
        <f aca="false">IF($A1027="","",IF(B1027=0,"No COD orders",IF(B1027&lt;Settings!$B$8,"Too few orders",IF(D1027&gt;=Settings!$B$9,"Restrict COD or verify","Keep COD"))))</f>
        <v/>
      </c>
    </row>
    <row r="1028" customFormat="false" ht="15" hidden="false" customHeight="false" outlineLevel="0" collapsed="false">
      <c r="A1028" s="27"/>
      <c r="B1028" s="17" t="str">
        <f aca="false">IF($A1028="","",COUNTIFS(Orders!$C$2:$C$20001,$A1028,Orders!$E$2:$E$20001,"COD",Orders!$F$2:$F$20001,"Delivered")+COUNTIFS(Orders!$C$2:$C$20001,$A1028,Orders!$E$2:$E$20001,"COD",Orders!$F$2:$F$20001,"RTO"))</f>
        <v/>
      </c>
      <c r="C1028" s="17" t="str">
        <f aca="false">IF($A1028="","",COUNTIFS(Orders!$C$2:$C$20001,$A1028,Orders!$E$2:$E$20001,"COD",Orders!$F$2:$F$20001,"RTO"))</f>
        <v/>
      </c>
      <c r="D1028" s="18" t="str">
        <f aca="false">IF($A1028="","",IFERROR(C1028/B1028,0))</f>
        <v/>
      </c>
      <c r="E1028" s="17" t="str">
        <f aca="false">IF($A1028="","",COUNTIFS(Orders!$C$2:$C$20001,$A1028,Orders!$E$2:$E$20001,"Prepaid",Orders!$F$2:$F$20001,"Delivered")+COUNTIFS(Orders!$C$2:$C$20001,$A1028,Orders!$E$2:$E$20001,"Prepaid",Orders!$F$2:$F$20001,"RTO"))</f>
        <v/>
      </c>
      <c r="F1028" s="17" t="str">
        <f aca="false">IF($A1028="","",COUNTIFS(Orders!$C$2:$C$20001,$A1028,Orders!$E$2:$E$20001,"Prepaid",Orders!$F$2:$F$20001,"RTO"))</f>
        <v/>
      </c>
      <c r="G1028" s="18" t="str">
        <f aca="false">IF($A1028="","",IFERROR(F1028/E1028,0))</f>
        <v/>
      </c>
      <c r="H1028" s="19" t="str">
        <f aca="false">IF($A1028="","",C1028*Settings!$B$11)</f>
        <v/>
      </c>
      <c r="I1028" s="20" t="str">
        <f aca="false">IF($A1028="","",IF(N(H1028)=0,"",RANK(H1028,$H$5:$H$2004)))</f>
        <v/>
      </c>
      <c r="J1028" s="21" t="str">
        <f aca="false">IF($A1028="","",IF(B1028=0,"No COD orders",IF(B1028&lt;Settings!$B$8,"Too few orders",IF(D1028&gt;=Settings!$B$9,"Restrict COD or verify","Keep COD"))))</f>
        <v/>
      </c>
    </row>
    <row r="1029" customFormat="false" ht="15" hidden="false" customHeight="false" outlineLevel="0" collapsed="false">
      <c r="A1029" s="27"/>
      <c r="B1029" s="17" t="str">
        <f aca="false">IF($A1029="","",COUNTIFS(Orders!$C$2:$C$20001,$A1029,Orders!$E$2:$E$20001,"COD",Orders!$F$2:$F$20001,"Delivered")+COUNTIFS(Orders!$C$2:$C$20001,$A1029,Orders!$E$2:$E$20001,"COD",Orders!$F$2:$F$20001,"RTO"))</f>
        <v/>
      </c>
      <c r="C1029" s="17" t="str">
        <f aca="false">IF($A1029="","",COUNTIFS(Orders!$C$2:$C$20001,$A1029,Orders!$E$2:$E$20001,"COD",Orders!$F$2:$F$20001,"RTO"))</f>
        <v/>
      </c>
      <c r="D1029" s="18" t="str">
        <f aca="false">IF($A1029="","",IFERROR(C1029/B1029,0))</f>
        <v/>
      </c>
      <c r="E1029" s="17" t="str">
        <f aca="false">IF($A1029="","",COUNTIFS(Orders!$C$2:$C$20001,$A1029,Orders!$E$2:$E$20001,"Prepaid",Orders!$F$2:$F$20001,"Delivered")+COUNTIFS(Orders!$C$2:$C$20001,$A1029,Orders!$E$2:$E$20001,"Prepaid",Orders!$F$2:$F$20001,"RTO"))</f>
        <v/>
      </c>
      <c r="F1029" s="17" t="str">
        <f aca="false">IF($A1029="","",COUNTIFS(Orders!$C$2:$C$20001,$A1029,Orders!$E$2:$E$20001,"Prepaid",Orders!$F$2:$F$20001,"RTO"))</f>
        <v/>
      </c>
      <c r="G1029" s="18" t="str">
        <f aca="false">IF($A1029="","",IFERROR(F1029/E1029,0))</f>
        <v/>
      </c>
      <c r="H1029" s="19" t="str">
        <f aca="false">IF($A1029="","",C1029*Settings!$B$11)</f>
        <v/>
      </c>
      <c r="I1029" s="20" t="str">
        <f aca="false">IF($A1029="","",IF(N(H1029)=0,"",RANK(H1029,$H$5:$H$2004)))</f>
        <v/>
      </c>
      <c r="J1029" s="21" t="str">
        <f aca="false">IF($A1029="","",IF(B1029=0,"No COD orders",IF(B1029&lt;Settings!$B$8,"Too few orders",IF(D1029&gt;=Settings!$B$9,"Restrict COD or verify","Keep COD"))))</f>
        <v/>
      </c>
    </row>
    <row r="1030" customFormat="false" ht="15" hidden="false" customHeight="false" outlineLevel="0" collapsed="false">
      <c r="A1030" s="27"/>
      <c r="B1030" s="17" t="str">
        <f aca="false">IF($A1030="","",COUNTIFS(Orders!$C$2:$C$20001,$A1030,Orders!$E$2:$E$20001,"COD",Orders!$F$2:$F$20001,"Delivered")+COUNTIFS(Orders!$C$2:$C$20001,$A1030,Orders!$E$2:$E$20001,"COD",Orders!$F$2:$F$20001,"RTO"))</f>
        <v/>
      </c>
      <c r="C1030" s="17" t="str">
        <f aca="false">IF($A1030="","",COUNTIFS(Orders!$C$2:$C$20001,$A1030,Orders!$E$2:$E$20001,"COD",Orders!$F$2:$F$20001,"RTO"))</f>
        <v/>
      </c>
      <c r="D1030" s="18" t="str">
        <f aca="false">IF($A1030="","",IFERROR(C1030/B1030,0))</f>
        <v/>
      </c>
      <c r="E1030" s="17" t="str">
        <f aca="false">IF($A1030="","",COUNTIFS(Orders!$C$2:$C$20001,$A1030,Orders!$E$2:$E$20001,"Prepaid",Orders!$F$2:$F$20001,"Delivered")+COUNTIFS(Orders!$C$2:$C$20001,$A1030,Orders!$E$2:$E$20001,"Prepaid",Orders!$F$2:$F$20001,"RTO"))</f>
        <v/>
      </c>
      <c r="F1030" s="17" t="str">
        <f aca="false">IF($A1030="","",COUNTIFS(Orders!$C$2:$C$20001,$A1030,Orders!$E$2:$E$20001,"Prepaid",Orders!$F$2:$F$20001,"RTO"))</f>
        <v/>
      </c>
      <c r="G1030" s="18" t="str">
        <f aca="false">IF($A1030="","",IFERROR(F1030/E1030,0))</f>
        <v/>
      </c>
      <c r="H1030" s="19" t="str">
        <f aca="false">IF($A1030="","",C1030*Settings!$B$11)</f>
        <v/>
      </c>
      <c r="I1030" s="20" t="str">
        <f aca="false">IF($A1030="","",IF(N(H1030)=0,"",RANK(H1030,$H$5:$H$2004)))</f>
        <v/>
      </c>
      <c r="J1030" s="21" t="str">
        <f aca="false">IF($A1030="","",IF(B1030=0,"No COD orders",IF(B1030&lt;Settings!$B$8,"Too few orders",IF(D1030&gt;=Settings!$B$9,"Restrict COD or verify","Keep COD"))))</f>
        <v/>
      </c>
    </row>
    <row r="1031" customFormat="false" ht="15" hidden="false" customHeight="false" outlineLevel="0" collapsed="false">
      <c r="A1031" s="27"/>
      <c r="B1031" s="17" t="str">
        <f aca="false">IF($A1031="","",COUNTIFS(Orders!$C$2:$C$20001,$A1031,Orders!$E$2:$E$20001,"COD",Orders!$F$2:$F$20001,"Delivered")+COUNTIFS(Orders!$C$2:$C$20001,$A1031,Orders!$E$2:$E$20001,"COD",Orders!$F$2:$F$20001,"RTO"))</f>
        <v/>
      </c>
      <c r="C1031" s="17" t="str">
        <f aca="false">IF($A1031="","",COUNTIFS(Orders!$C$2:$C$20001,$A1031,Orders!$E$2:$E$20001,"COD",Orders!$F$2:$F$20001,"RTO"))</f>
        <v/>
      </c>
      <c r="D1031" s="18" t="str">
        <f aca="false">IF($A1031="","",IFERROR(C1031/B1031,0))</f>
        <v/>
      </c>
      <c r="E1031" s="17" t="str">
        <f aca="false">IF($A1031="","",COUNTIFS(Orders!$C$2:$C$20001,$A1031,Orders!$E$2:$E$20001,"Prepaid",Orders!$F$2:$F$20001,"Delivered")+COUNTIFS(Orders!$C$2:$C$20001,$A1031,Orders!$E$2:$E$20001,"Prepaid",Orders!$F$2:$F$20001,"RTO"))</f>
        <v/>
      </c>
      <c r="F1031" s="17" t="str">
        <f aca="false">IF($A1031="","",COUNTIFS(Orders!$C$2:$C$20001,$A1031,Orders!$E$2:$E$20001,"Prepaid",Orders!$F$2:$F$20001,"RTO"))</f>
        <v/>
      </c>
      <c r="G1031" s="18" t="str">
        <f aca="false">IF($A1031="","",IFERROR(F1031/E1031,0))</f>
        <v/>
      </c>
      <c r="H1031" s="19" t="str">
        <f aca="false">IF($A1031="","",C1031*Settings!$B$11)</f>
        <v/>
      </c>
      <c r="I1031" s="20" t="str">
        <f aca="false">IF($A1031="","",IF(N(H1031)=0,"",RANK(H1031,$H$5:$H$2004)))</f>
        <v/>
      </c>
      <c r="J1031" s="21" t="str">
        <f aca="false">IF($A1031="","",IF(B1031=0,"No COD orders",IF(B1031&lt;Settings!$B$8,"Too few orders",IF(D1031&gt;=Settings!$B$9,"Restrict COD or verify","Keep COD"))))</f>
        <v/>
      </c>
    </row>
    <row r="1032" customFormat="false" ht="15" hidden="false" customHeight="false" outlineLevel="0" collapsed="false">
      <c r="A1032" s="27"/>
      <c r="B1032" s="17" t="str">
        <f aca="false">IF($A1032="","",COUNTIFS(Orders!$C$2:$C$20001,$A1032,Orders!$E$2:$E$20001,"COD",Orders!$F$2:$F$20001,"Delivered")+COUNTIFS(Orders!$C$2:$C$20001,$A1032,Orders!$E$2:$E$20001,"COD",Orders!$F$2:$F$20001,"RTO"))</f>
        <v/>
      </c>
      <c r="C1032" s="17" t="str">
        <f aca="false">IF($A1032="","",COUNTIFS(Orders!$C$2:$C$20001,$A1032,Orders!$E$2:$E$20001,"COD",Orders!$F$2:$F$20001,"RTO"))</f>
        <v/>
      </c>
      <c r="D1032" s="18" t="str">
        <f aca="false">IF($A1032="","",IFERROR(C1032/B1032,0))</f>
        <v/>
      </c>
      <c r="E1032" s="17" t="str">
        <f aca="false">IF($A1032="","",COUNTIFS(Orders!$C$2:$C$20001,$A1032,Orders!$E$2:$E$20001,"Prepaid",Orders!$F$2:$F$20001,"Delivered")+COUNTIFS(Orders!$C$2:$C$20001,$A1032,Orders!$E$2:$E$20001,"Prepaid",Orders!$F$2:$F$20001,"RTO"))</f>
        <v/>
      </c>
      <c r="F1032" s="17" t="str">
        <f aca="false">IF($A1032="","",COUNTIFS(Orders!$C$2:$C$20001,$A1032,Orders!$E$2:$E$20001,"Prepaid",Orders!$F$2:$F$20001,"RTO"))</f>
        <v/>
      </c>
      <c r="G1032" s="18" t="str">
        <f aca="false">IF($A1032="","",IFERROR(F1032/E1032,0))</f>
        <v/>
      </c>
      <c r="H1032" s="19" t="str">
        <f aca="false">IF($A1032="","",C1032*Settings!$B$11)</f>
        <v/>
      </c>
      <c r="I1032" s="20" t="str">
        <f aca="false">IF($A1032="","",IF(N(H1032)=0,"",RANK(H1032,$H$5:$H$2004)))</f>
        <v/>
      </c>
      <c r="J1032" s="21" t="str">
        <f aca="false">IF($A1032="","",IF(B1032=0,"No COD orders",IF(B1032&lt;Settings!$B$8,"Too few orders",IF(D1032&gt;=Settings!$B$9,"Restrict COD or verify","Keep COD"))))</f>
        <v/>
      </c>
    </row>
    <row r="1033" customFormat="false" ht="15" hidden="false" customHeight="false" outlineLevel="0" collapsed="false">
      <c r="A1033" s="27"/>
      <c r="B1033" s="17" t="str">
        <f aca="false">IF($A1033="","",COUNTIFS(Orders!$C$2:$C$20001,$A1033,Orders!$E$2:$E$20001,"COD",Orders!$F$2:$F$20001,"Delivered")+COUNTIFS(Orders!$C$2:$C$20001,$A1033,Orders!$E$2:$E$20001,"COD",Orders!$F$2:$F$20001,"RTO"))</f>
        <v/>
      </c>
      <c r="C1033" s="17" t="str">
        <f aca="false">IF($A1033="","",COUNTIFS(Orders!$C$2:$C$20001,$A1033,Orders!$E$2:$E$20001,"COD",Orders!$F$2:$F$20001,"RTO"))</f>
        <v/>
      </c>
      <c r="D1033" s="18" t="str">
        <f aca="false">IF($A1033="","",IFERROR(C1033/B1033,0))</f>
        <v/>
      </c>
      <c r="E1033" s="17" t="str">
        <f aca="false">IF($A1033="","",COUNTIFS(Orders!$C$2:$C$20001,$A1033,Orders!$E$2:$E$20001,"Prepaid",Orders!$F$2:$F$20001,"Delivered")+COUNTIFS(Orders!$C$2:$C$20001,$A1033,Orders!$E$2:$E$20001,"Prepaid",Orders!$F$2:$F$20001,"RTO"))</f>
        <v/>
      </c>
      <c r="F1033" s="17" t="str">
        <f aca="false">IF($A1033="","",COUNTIFS(Orders!$C$2:$C$20001,$A1033,Orders!$E$2:$E$20001,"Prepaid",Orders!$F$2:$F$20001,"RTO"))</f>
        <v/>
      </c>
      <c r="G1033" s="18" t="str">
        <f aca="false">IF($A1033="","",IFERROR(F1033/E1033,0))</f>
        <v/>
      </c>
      <c r="H1033" s="19" t="str">
        <f aca="false">IF($A1033="","",C1033*Settings!$B$11)</f>
        <v/>
      </c>
      <c r="I1033" s="20" t="str">
        <f aca="false">IF($A1033="","",IF(N(H1033)=0,"",RANK(H1033,$H$5:$H$2004)))</f>
        <v/>
      </c>
      <c r="J1033" s="21" t="str">
        <f aca="false">IF($A1033="","",IF(B1033=0,"No COD orders",IF(B1033&lt;Settings!$B$8,"Too few orders",IF(D1033&gt;=Settings!$B$9,"Restrict COD or verify","Keep COD"))))</f>
        <v/>
      </c>
    </row>
    <row r="1034" customFormat="false" ht="15" hidden="false" customHeight="false" outlineLevel="0" collapsed="false">
      <c r="A1034" s="27"/>
      <c r="B1034" s="17" t="str">
        <f aca="false">IF($A1034="","",COUNTIFS(Orders!$C$2:$C$20001,$A1034,Orders!$E$2:$E$20001,"COD",Orders!$F$2:$F$20001,"Delivered")+COUNTIFS(Orders!$C$2:$C$20001,$A1034,Orders!$E$2:$E$20001,"COD",Orders!$F$2:$F$20001,"RTO"))</f>
        <v/>
      </c>
      <c r="C1034" s="17" t="str">
        <f aca="false">IF($A1034="","",COUNTIFS(Orders!$C$2:$C$20001,$A1034,Orders!$E$2:$E$20001,"COD",Orders!$F$2:$F$20001,"RTO"))</f>
        <v/>
      </c>
      <c r="D1034" s="18" t="str">
        <f aca="false">IF($A1034="","",IFERROR(C1034/B1034,0))</f>
        <v/>
      </c>
      <c r="E1034" s="17" t="str">
        <f aca="false">IF($A1034="","",COUNTIFS(Orders!$C$2:$C$20001,$A1034,Orders!$E$2:$E$20001,"Prepaid",Orders!$F$2:$F$20001,"Delivered")+COUNTIFS(Orders!$C$2:$C$20001,$A1034,Orders!$E$2:$E$20001,"Prepaid",Orders!$F$2:$F$20001,"RTO"))</f>
        <v/>
      </c>
      <c r="F1034" s="17" t="str">
        <f aca="false">IF($A1034="","",COUNTIFS(Orders!$C$2:$C$20001,$A1034,Orders!$E$2:$E$20001,"Prepaid",Orders!$F$2:$F$20001,"RTO"))</f>
        <v/>
      </c>
      <c r="G1034" s="18" t="str">
        <f aca="false">IF($A1034="","",IFERROR(F1034/E1034,0))</f>
        <v/>
      </c>
      <c r="H1034" s="19" t="str">
        <f aca="false">IF($A1034="","",C1034*Settings!$B$11)</f>
        <v/>
      </c>
      <c r="I1034" s="20" t="str">
        <f aca="false">IF($A1034="","",IF(N(H1034)=0,"",RANK(H1034,$H$5:$H$2004)))</f>
        <v/>
      </c>
      <c r="J1034" s="21" t="str">
        <f aca="false">IF($A1034="","",IF(B1034=0,"No COD orders",IF(B1034&lt;Settings!$B$8,"Too few orders",IF(D1034&gt;=Settings!$B$9,"Restrict COD or verify","Keep COD"))))</f>
        <v/>
      </c>
    </row>
    <row r="1035" customFormat="false" ht="15" hidden="false" customHeight="false" outlineLevel="0" collapsed="false">
      <c r="A1035" s="27"/>
      <c r="B1035" s="17" t="str">
        <f aca="false">IF($A1035="","",COUNTIFS(Orders!$C$2:$C$20001,$A1035,Orders!$E$2:$E$20001,"COD",Orders!$F$2:$F$20001,"Delivered")+COUNTIFS(Orders!$C$2:$C$20001,$A1035,Orders!$E$2:$E$20001,"COD",Orders!$F$2:$F$20001,"RTO"))</f>
        <v/>
      </c>
      <c r="C1035" s="17" t="str">
        <f aca="false">IF($A1035="","",COUNTIFS(Orders!$C$2:$C$20001,$A1035,Orders!$E$2:$E$20001,"COD",Orders!$F$2:$F$20001,"RTO"))</f>
        <v/>
      </c>
      <c r="D1035" s="18" t="str">
        <f aca="false">IF($A1035="","",IFERROR(C1035/B1035,0))</f>
        <v/>
      </c>
      <c r="E1035" s="17" t="str">
        <f aca="false">IF($A1035="","",COUNTIFS(Orders!$C$2:$C$20001,$A1035,Orders!$E$2:$E$20001,"Prepaid",Orders!$F$2:$F$20001,"Delivered")+COUNTIFS(Orders!$C$2:$C$20001,$A1035,Orders!$E$2:$E$20001,"Prepaid",Orders!$F$2:$F$20001,"RTO"))</f>
        <v/>
      </c>
      <c r="F1035" s="17" t="str">
        <f aca="false">IF($A1035="","",COUNTIFS(Orders!$C$2:$C$20001,$A1035,Orders!$E$2:$E$20001,"Prepaid",Orders!$F$2:$F$20001,"RTO"))</f>
        <v/>
      </c>
      <c r="G1035" s="18" t="str">
        <f aca="false">IF($A1035="","",IFERROR(F1035/E1035,0))</f>
        <v/>
      </c>
      <c r="H1035" s="19" t="str">
        <f aca="false">IF($A1035="","",C1035*Settings!$B$11)</f>
        <v/>
      </c>
      <c r="I1035" s="20" t="str">
        <f aca="false">IF($A1035="","",IF(N(H1035)=0,"",RANK(H1035,$H$5:$H$2004)))</f>
        <v/>
      </c>
      <c r="J1035" s="21" t="str">
        <f aca="false">IF($A1035="","",IF(B1035=0,"No COD orders",IF(B1035&lt;Settings!$B$8,"Too few orders",IF(D1035&gt;=Settings!$B$9,"Restrict COD or verify","Keep COD"))))</f>
        <v/>
      </c>
    </row>
    <row r="1036" customFormat="false" ht="15" hidden="false" customHeight="false" outlineLevel="0" collapsed="false">
      <c r="A1036" s="27"/>
      <c r="B1036" s="17" t="str">
        <f aca="false">IF($A1036="","",COUNTIFS(Orders!$C$2:$C$20001,$A1036,Orders!$E$2:$E$20001,"COD",Orders!$F$2:$F$20001,"Delivered")+COUNTIFS(Orders!$C$2:$C$20001,$A1036,Orders!$E$2:$E$20001,"COD",Orders!$F$2:$F$20001,"RTO"))</f>
        <v/>
      </c>
      <c r="C1036" s="17" t="str">
        <f aca="false">IF($A1036="","",COUNTIFS(Orders!$C$2:$C$20001,$A1036,Orders!$E$2:$E$20001,"COD",Orders!$F$2:$F$20001,"RTO"))</f>
        <v/>
      </c>
      <c r="D1036" s="18" t="str">
        <f aca="false">IF($A1036="","",IFERROR(C1036/B1036,0))</f>
        <v/>
      </c>
      <c r="E1036" s="17" t="str">
        <f aca="false">IF($A1036="","",COUNTIFS(Orders!$C$2:$C$20001,$A1036,Orders!$E$2:$E$20001,"Prepaid",Orders!$F$2:$F$20001,"Delivered")+COUNTIFS(Orders!$C$2:$C$20001,$A1036,Orders!$E$2:$E$20001,"Prepaid",Orders!$F$2:$F$20001,"RTO"))</f>
        <v/>
      </c>
      <c r="F1036" s="17" t="str">
        <f aca="false">IF($A1036="","",COUNTIFS(Orders!$C$2:$C$20001,$A1036,Orders!$E$2:$E$20001,"Prepaid",Orders!$F$2:$F$20001,"RTO"))</f>
        <v/>
      </c>
      <c r="G1036" s="18" t="str">
        <f aca="false">IF($A1036="","",IFERROR(F1036/E1036,0))</f>
        <v/>
      </c>
      <c r="H1036" s="19" t="str">
        <f aca="false">IF($A1036="","",C1036*Settings!$B$11)</f>
        <v/>
      </c>
      <c r="I1036" s="20" t="str">
        <f aca="false">IF($A1036="","",IF(N(H1036)=0,"",RANK(H1036,$H$5:$H$2004)))</f>
        <v/>
      </c>
      <c r="J1036" s="21" t="str">
        <f aca="false">IF($A1036="","",IF(B1036=0,"No COD orders",IF(B1036&lt;Settings!$B$8,"Too few orders",IF(D1036&gt;=Settings!$B$9,"Restrict COD or verify","Keep COD"))))</f>
        <v/>
      </c>
    </row>
    <row r="1037" customFormat="false" ht="15" hidden="false" customHeight="false" outlineLevel="0" collapsed="false">
      <c r="A1037" s="27"/>
      <c r="B1037" s="17" t="str">
        <f aca="false">IF($A1037="","",COUNTIFS(Orders!$C$2:$C$20001,$A1037,Orders!$E$2:$E$20001,"COD",Orders!$F$2:$F$20001,"Delivered")+COUNTIFS(Orders!$C$2:$C$20001,$A1037,Orders!$E$2:$E$20001,"COD",Orders!$F$2:$F$20001,"RTO"))</f>
        <v/>
      </c>
      <c r="C1037" s="17" t="str">
        <f aca="false">IF($A1037="","",COUNTIFS(Orders!$C$2:$C$20001,$A1037,Orders!$E$2:$E$20001,"COD",Orders!$F$2:$F$20001,"RTO"))</f>
        <v/>
      </c>
      <c r="D1037" s="18" t="str">
        <f aca="false">IF($A1037="","",IFERROR(C1037/B1037,0))</f>
        <v/>
      </c>
      <c r="E1037" s="17" t="str">
        <f aca="false">IF($A1037="","",COUNTIFS(Orders!$C$2:$C$20001,$A1037,Orders!$E$2:$E$20001,"Prepaid",Orders!$F$2:$F$20001,"Delivered")+COUNTIFS(Orders!$C$2:$C$20001,$A1037,Orders!$E$2:$E$20001,"Prepaid",Orders!$F$2:$F$20001,"RTO"))</f>
        <v/>
      </c>
      <c r="F1037" s="17" t="str">
        <f aca="false">IF($A1037="","",COUNTIFS(Orders!$C$2:$C$20001,$A1037,Orders!$E$2:$E$20001,"Prepaid",Orders!$F$2:$F$20001,"RTO"))</f>
        <v/>
      </c>
      <c r="G1037" s="18" t="str">
        <f aca="false">IF($A1037="","",IFERROR(F1037/E1037,0))</f>
        <v/>
      </c>
      <c r="H1037" s="19" t="str">
        <f aca="false">IF($A1037="","",C1037*Settings!$B$11)</f>
        <v/>
      </c>
      <c r="I1037" s="20" t="str">
        <f aca="false">IF($A1037="","",IF(N(H1037)=0,"",RANK(H1037,$H$5:$H$2004)))</f>
        <v/>
      </c>
      <c r="J1037" s="21" t="str">
        <f aca="false">IF($A1037="","",IF(B1037=0,"No COD orders",IF(B1037&lt;Settings!$B$8,"Too few orders",IF(D1037&gt;=Settings!$B$9,"Restrict COD or verify","Keep COD"))))</f>
        <v/>
      </c>
    </row>
    <row r="1038" customFormat="false" ht="15" hidden="false" customHeight="false" outlineLevel="0" collapsed="false">
      <c r="A1038" s="27"/>
      <c r="B1038" s="17" t="str">
        <f aca="false">IF($A1038="","",COUNTIFS(Orders!$C$2:$C$20001,$A1038,Orders!$E$2:$E$20001,"COD",Orders!$F$2:$F$20001,"Delivered")+COUNTIFS(Orders!$C$2:$C$20001,$A1038,Orders!$E$2:$E$20001,"COD",Orders!$F$2:$F$20001,"RTO"))</f>
        <v/>
      </c>
      <c r="C1038" s="17" t="str">
        <f aca="false">IF($A1038="","",COUNTIFS(Orders!$C$2:$C$20001,$A1038,Orders!$E$2:$E$20001,"COD",Orders!$F$2:$F$20001,"RTO"))</f>
        <v/>
      </c>
      <c r="D1038" s="18" t="str">
        <f aca="false">IF($A1038="","",IFERROR(C1038/B1038,0))</f>
        <v/>
      </c>
      <c r="E1038" s="17" t="str">
        <f aca="false">IF($A1038="","",COUNTIFS(Orders!$C$2:$C$20001,$A1038,Orders!$E$2:$E$20001,"Prepaid",Orders!$F$2:$F$20001,"Delivered")+COUNTIFS(Orders!$C$2:$C$20001,$A1038,Orders!$E$2:$E$20001,"Prepaid",Orders!$F$2:$F$20001,"RTO"))</f>
        <v/>
      </c>
      <c r="F1038" s="17" t="str">
        <f aca="false">IF($A1038="","",COUNTIFS(Orders!$C$2:$C$20001,$A1038,Orders!$E$2:$E$20001,"Prepaid",Orders!$F$2:$F$20001,"RTO"))</f>
        <v/>
      </c>
      <c r="G1038" s="18" t="str">
        <f aca="false">IF($A1038="","",IFERROR(F1038/E1038,0))</f>
        <v/>
      </c>
      <c r="H1038" s="19" t="str">
        <f aca="false">IF($A1038="","",C1038*Settings!$B$11)</f>
        <v/>
      </c>
      <c r="I1038" s="20" t="str">
        <f aca="false">IF($A1038="","",IF(N(H1038)=0,"",RANK(H1038,$H$5:$H$2004)))</f>
        <v/>
      </c>
      <c r="J1038" s="21" t="str">
        <f aca="false">IF($A1038="","",IF(B1038=0,"No COD orders",IF(B1038&lt;Settings!$B$8,"Too few orders",IF(D1038&gt;=Settings!$B$9,"Restrict COD or verify","Keep COD"))))</f>
        <v/>
      </c>
    </row>
    <row r="1039" customFormat="false" ht="15" hidden="false" customHeight="false" outlineLevel="0" collapsed="false">
      <c r="A1039" s="27"/>
      <c r="B1039" s="17" t="str">
        <f aca="false">IF($A1039="","",COUNTIFS(Orders!$C$2:$C$20001,$A1039,Orders!$E$2:$E$20001,"COD",Orders!$F$2:$F$20001,"Delivered")+COUNTIFS(Orders!$C$2:$C$20001,$A1039,Orders!$E$2:$E$20001,"COD",Orders!$F$2:$F$20001,"RTO"))</f>
        <v/>
      </c>
      <c r="C1039" s="17" t="str">
        <f aca="false">IF($A1039="","",COUNTIFS(Orders!$C$2:$C$20001,$A1039,Orders!$E$2:$E$20001,"COD",Orders!$F$2:$F$20001,"RTO"))</f>
        <v/>
      </c>
      <c r="D1039" s="18" t="str">
        <f aca="false">IF($A1039="","",IFERROR(C1039/B1039,0))</f>
        <v/>
      </c>
      <c r="E1039" s="17" t="str">
        <f aca="false">IF($A1039="","",COUNTIFS(Orders!$C$2:$C$20001,$A1039,Orders!$E$2:$E$20001,"Prepaid",Orders!$F$2:$F$20001,"Delivered")+COUNTIFS(Orders!$C$2:$C$20001,$A1039,Orders!$E$2:$E$20001,"Prepaid",Orders!$F$2:$F$20001,"RTO"))</f>
        <v/>
      </c>
      <c r="F1039" s="17" t="str">
        <f aca="false">IF($A1039="","",COUNTIFS(Orders!$C$2:$C$20001,$A1039,Orders!$E$2:$E$20001,"Prepaid",Orders!$F$2:$F$20001,"RTO"))</f>
        <v/>
      </c>
      <c r="G1039" s="18" t="str">
        <f aca="false">IF($A1039="","",IFERROR(F1039/E1039,0))</f>
        <v/>
      </c>
      <c r="H1039" s="19" t="str">
        <f aca="false">IF($A1039="","",C1039*Settings!$B$11)</f>
        <v/>
      </c>
      <c r="I1039" s="20" t="str">
        <f aca="false">IF($A1039="","",IF(N(H1039)=0,"",RANK(H1039,$H$5:$H$2004)))</f>
        <v/>
      </c>
      <c r="J1039" s="21" t="str">
        <f aca="false">IF($A1039="","",IF(B1039=0,"No COD orders",IF(B1039&lt;Settings!$B$8,"Too few orders",IF(D1039&gt;=Settings!$B$9,"Restrict COD or verify","Keep COD"))))</f>
        <v/>
      </c>
    </row>
    <row r="1040" customFormat="false" ht="15" hidden="false" customHeight="false" outlineLevel="0" collapsed="false">
      <c r="A1040" s="27"/>
      <c r="B1040" s="17" t="str">
        <f aca="false">IF($A1040="","",COUNTIFS(Orders!$C$2:$C$20001,$A1040,Orders!$E$2:$E$20001,"COD",Orders!$F$2:$F$20001,"Delivered")+COUNTIFS(Orders!$C$2:$C$20001,$A1040,Orders!$E$2:$E$20001,"COD",Orders!$F$2:$F$20001,"RTO"))</f>
        <v/>
      </c>
      <c r="C1040" s="17" t="str">
        <f aca="false">IF($A1040="","",COUNTIFS(Orders!$C$2:$C$20001,$A1040,Orders!$E$2:$E$20001,"COD",Orders!$F$2:$F$20001,"RTO"))</f>
        <v/>
      </c>
      <c r="D1040" s="18" t="str">
        <f aca="false">IF($A1040="","",IFERROR(C1040/B1040,0))</f>
        <v/>
      </c>
      <c r="E1040" s="17" t="str">
        <f aca="false">IF($A1040="","",COUNTIFS(Orders!$C$2:$C$20001,$A1040,Orders!$E$2:$E$20001,"Prepaid",Orders!$F$2:$F$20001,"Delivered")+COUNTIFS(Orders!$C$2:$C$20001,$A1040,Orders!$E$2:$E$20001,"Prepaid",Orders!$F$2:$F$20001,"RTO"))</f>
        <v/>
      </c>
      <c r="F1040" s="17" t="str">
        <f aca="false">IF($A1040="","",COUNTIFS(Orders!$C$2:$C$20001,$A1040,Orders!$E$2:$E$20001,"Prepaid",Orders!$F$2:$F$20001,"RTO"))</f>
        <v/>
      </c>
      <c r="G1040" s="18" t="str">
        <f aca="false">IF($A1040="","",IFERROR(F1040/E1040,0))</f>
        <v/>
      </c>
      <c r="H1040" s="19" t="str">
        <f aca="false">IF($A1040="","",C1040*Settings!$B$11)</f>
        <v/>
      </c>
      <c r="I1040" s="20" t="str">
        <f aca="false">IF($A1040="","",IF(N(H1040)=0,"",RANK(H1040,$H$5:$H$2004)))</f>
        <v/>
      </c>
      <c r="J1040" s="21" t="str">
        <f aca="false">IF($A1040="","",IF(B1040=0,"No COD orders",IF(B1040&lt;Settings!$B$8,"Too few orders",IF(D1040&gt;=Settings!$B$9,"Restrict COD or verify","Keep COD"))))</f>
        <v/>
      </c>
    </row>
    <row r="1041" customFormat="false" ht="15" hidden="false" customHeight="false" outlineLevel="0" collapsed="false">
      <c r="A1041" s="27"/>
      <c r="B1041" s="17" t="str">
        <f aca="false">IF($A1041="","",COUNTIFS(Orders!$C$2:$C$20001,$A1041,Orders!$E$2:$E$20001,"COD",Orders!$F$2:$F$20001,"Delivered")+COUNTIFS(Orders!$C$2:$C$20001,$A1041,Orders!$E$2:$E$20001,"COD",Orders!$F$2:$F$20001,"RTO"))</f>
        <v/>
      </c>
      <c r="C1041" s="17" t="str">
        <f aca="false">IF($A1041="","",COUNTIFS(Orders!$C$2:$C$20001,$A1041,Orders!$E$2:$E$20001,"COD",Orders!$F$2:$F$20001,"RTO"))</f>
        <v/>
      </c>
      <c r="D1041" s="18" t="str">
        <f aca="false">IF($A1041="","",IFERROR(C1041/B1041,0))</f>
        <v/>
      </c>
      <c r="E1041" s="17" t="str">
        <f aca="false">IF($A1041="","",COUNTIFS(Orders!$C$2:$C$20001,$A1041,Orders!$E$2:$E$20001,"Prepaid",Orders!$F$2:$F$20001,"Delivered")+COUNTIFS(Orders!$C$2:$C$20001,$A1041,Orders!$E$2:$E$20001,"Prepaid",Orders!$F$2:$F$20001,"RTO"))</f>
        <v/>
      </c>
      <c r="F1041" s="17" t="str">
        <f aca="false">IF($A1041="","",COUNTIFS(Orders!$C$2:$C$20001,$A1041,Orders!$E$2:$E$20001,"Prepaid",Orders!$F$2:$F$20001,"RTO"))</f>
        <v/>
      </c>
      <c r="G1041" s="18" t="str">
        <f aca="false">IF($A1041="","",IFERROR(F1041/E1041,0))</f>
        <v/>
      </c>
      <c r="H1041" s="19" t="str">
        <f aca="false">IF($A1041="","",C1041*Settings!$B$11)</f>
        <v/>
      </c>
      <c r="I1041" s="20" t="str">
        <f aca="false">IF($A1041="","",IF(N(H1041)=0,"",RANK(H1041,$H$5:$H$2004)))</f>
        <v/>
      </c>
      <c r="J1041" s="21" t="str">
        <f aca="false">IF($A1041="","",IF(B1041=0,"No COD orders",IF(B1041&lt;Settings!$B$8,"Too few orders",IF(D1041&gt;=Settings!$B$9,"Restrict COD or verify","Keep COD"))))</f>
        <v/>
      </c>
    </row>
    <row r="1042" customFormat="false" ht="15" hidden="false" customHeight="false" outlineLevel="0" collapsed="false">
      <c r="A1042" s="27"/>
      <c r="B1042" s="17" t="str">
        <f aca="false">IF($A1042="","",COUNTIFS(Orders!$C$2:$C$20001,$A1042,Orders!$E$2:$E$20001,"COD",Orders!$F$2:$F$20001,"Delivered")+COUNTIFS(Orders!$C$2:$C$20001,$A1042,Orders!$E$2:$E$20001,"COD",Orders!$F$2:$F$20001,"RTO"))</f>
        <v/>
      </c>
      <c r="C1042" s="17" t="str">
        <f aca="false">IF($A1042="","",COUNTIFS(Orders!$C$2:$C$20001,$A1042,Orders!$E$2:$E$20001,"COD",Orders!$F$2:$F$20001,"RTO"))</f>
        <v/>
      </c>
      <c r="D1042" s="18" t="str">
        <f aca="false">IF($A1042="","",IFERROR(C1042/B1042,0))</f>
        <v/>
      </c>
      <c r="E1042" s="17" t="str">
        <f aca="false">IF($A1042="","",COUNTIFS(Orders!$C$2:$C$20001,$A1042,Orders!$E$2:$E$20001,"Prepaid",Orders!$F$2:$F$20001,"Delivered")+COUNTIFS(Orders!$C$2:$C$20001,$A1042,Orders!$E$2:$E$20001,"Prepaid",Orders!$F$2:$F$20001,"RTO"))</f>
        <v/>
      </c>
      <c r="F1042" s="17" t="str">
        <f aca="false">IF($A1042="","",COUNTIFS(Orders!$C$2:$C$20001,$A1042,Orders!$E$2:$E$20001,"Prepaid",Orders!$F$2:$F$20001,"RTO"))</f>
        <v/>
      </c>
      <c r="G1042" s="18" t="str">
        <f aca="false">IF($A1042="","",IFERROR(F1042/E1042,0))</f>
        <v/>
      </c>
      <c r="H1042" s="19" t="str">
        <f aca="false">IF($A1042="","",C1042*Settings!$B$11)</f>
        <v/>
      </c>
      <c r="I1042" s="20" t="str">
        <f aca="false">IF($A1042="","",IF(N(H1042)=0,"",RANK(H1042,$H$5:$H$2004)))</f>
        <v/>
      </c>
      <c r="J1042" s="21" t="str">
        <f aca="false">IF($A1042="","",IF(B1042=0,"No COD orders",IF(B1042&lt;Settings!$B$8,"Too few orders",IF(D1042&gt;=Settings!$B$9,"Restrict COD or verify","Keep COD"))))</f>
        <v/>
      </c>
    </row>
    <row r="1043" customFormat="false" ht="15" hidden="false" customHeight="false" outlineLevel="0" collapsed="false">
      <c r="A1043" s="27"/>
      <c r="B1043" s="17" t="str">
        <f aca="false">IF($A1043="","",COUNTIFS(Orders!$C$2:$C$20001,$A1043,Orders!$E$2:$E$20001,"COD",Orders!$F$2:$F$20001,"Delivered")+COUNTIFS(Orders!$C$2:$C$20001,$A1043,Orders!$E$2:$E$20001,"COD",Orders!$F$2:$F$20001,"RTO"))</f>
        <v/>
      </c>
      <c r="C1043" s="17" t="str">
        <f aca="false">IF($A1043="","",COUNTIFS(Orders!$C$2:$C$20001,$A1043,Orders!$E$2:$E$20001,"COD",Orders!$F$2:$F$20001,"RTO"))</f>
        <v/>
      </c>
      <c r="D1043" s="18" t="str">
        <f aca="false">IF($A1043="","",IFERROR(C1043/B1043,0))</f>
        <v/>
      </c>
      <c r="E1043" s="17" t="str">
        <f aca="false">IF($A1043="","",COUNTIFS(Orders!$C$2:$C$20001,$A1043,Orders!$E$2:$E$20001,"Prepaid",Orders!$F$2:$F$20001,"Delivered")+COUNTIFS(Orders!$C$2:$C$20001,$A1043,Orders!$E$2:$E$20001,"Prepaid",Orders!$F$2:$F$20001,"RTO"))</f>
        <v/>
      </c>
      <c r="F1043" s="17" t="str">
        <f aca="false">IF($A1043="","",COUNTIFS(Orders!$C$2:$C$20001,$A1043,Orders!$E$2:$E$20001,"Prepaid",Orders!$F$2:$F$20001,"RTO"))</f>
        <v/>
      </c>
      <c r="G1043" s="18" t="str">
        <f aca="false">IF($A1043="","",IFERROR(F1043/E1043,0))</f>
        <v/>
      </c>
      <c r="H1043" s="19" t="str">
        <f aca="false">IF($A1043="","",C1043*Settings!$B$11)</f>
        <v/>
      </c>
      <c r="I1043" s="20" t="str">
        <f aca="false">IF($A1043="","",IF(N(H1043)=0,"",RANK(H1043,$H$5:$H$2004)))</f>
        <v/>
      </c>
      <c r="J1043" s="21" t="str">
        <f aca="false">IF($A1043="","",IF(B1043=0,"No COD orders",IF(B1043&lt;Settings!$B$8,"Too few orders",IF(D1043&gt;=Settings!$B$9,"Restrict COD or verify","Keep COD"))))</f>
        <v/>
      </c>
    </row>
    <row r="1044" customFormat="false" ht="15" hidden="false" customHeight="false" outlineLevel="0" collapsed="false">
      <c r="A1044" s="27"/>
      <c r="B1044" s="17" t="str">
        <f aca="false">IF($A1044="","",COUNTIFS(Orders!$C$2:$C$20001,$A1044,Orders!$E$2:$E$20001,"COD",Orders!$F$2:$F$20001,"Delivered")+COUNTIFS(Orders!$C$2:$C$20001,$A1044,Orders!$E$2:$E$20001,"COD",Orders!$F$2:$F$20001,"RTO"))</f>
        <v/>
      </c>
      <c r="C1044" s="17" t="str">
        <f aca="false">IF($A1044="","",COUNTIFS(Orders!$C$2:$C$20001,$A1044,Orders!$E$2:$E$20001,"COD",Orders!$F$2:$F$20001,"RTO"))</f>
        <v/>
      </c>
      <c r="D1044" s="18" t="str">
        <f aca="false">IF($A1044="","",IFERROR(C1044/B1044,0))</f>
        <v/>
      </c>
      <c r="E1044" s="17" t="str">
        <f aca="false">IF($A1044="","",COUNTIFS(Orders!$C$2:$C$20001,$A1044,Orders!$E$2:$E$20001,"Prepaid",Orders!$F$2:$F$20001,"Delivered")+COUNTIFS(Orders!$C$2:$C$20001,$A1044,Orders!$E$2:$E$20001,"Prepaid",Orders!$F$2:$F$20001,"RTO"))</f>
        <v/>
      </c>
      <c r="F1044" s="17" t="str">
        <f aca="false">IF($A1044="","",COUNTIFS(Orders!$C$2:$C$20001,$A1044,Orders!$E$2:$E$20001,"Prepaid",Orders!$F$2:$F$20001,"RTO"))</f>
        <v/>
      </c>
      <c r="G1044" s="18" t="str">
        <f aca="false">IF($A1044="","",IFERROR(F1044/E1044,0))</f>
        <v/>
      </c>
      <c r="H1044" s="19" t="str">
        <f aca="false">IF($A1044="","",C1044*Settings!$B$11)</f>
        <v/>
      </c>
      <c r="I1044" s="20" t="str">
        <f aca="false">IF($A1044="","",IF(N(H1044)=0,"",RANK(H1044,$H$5:$H$2004)))</f>
        <v/>
      </c>
      <c r="J1044" s="21" t="str">
        <f aca="false">IF($A1044="","",IF(B1044=0,"No COD orders",IF(B1044&lt;Settings!$B$8,"Too few orders",IF(D1044&gt;=Settings!$B$9,"Restrict COD or verify","Keep COD"))))</f>
        <v/>
      </c>
    </row>
    <row r="1045" customFormat="false" ht="15" hidden="false" customHeight="false" outlineLevel="0" collapsed="false">
      <c r="A1045" s="27"/>
      <c r="B1045" s="17" t="str">
        <f aca="false">IF($A1045="","",COUNTIFS(Orders!$C$2:$C$20001,$A1045,Orders!$E$2:$E$20001,"COD",Orders!$F$2:$F$20001,"Delivered")+COUNTIFS(Orders!$C$2:$C$20001,$A1045,Orders!$E$2:$E$20001,"COD",Orders!$F$2:$F$20001,"RTO"))</f>
        <v/>
      </c>
      <c r="C1045" s="17" t="str">
        <f aca="false">IF($A1045="","",COUNTIFS(Orders!$C$2:$C$20001,$A1045,Orders!$E$2:$E$20001,"COD",Orders!$F$2:$F$20001,"RTO"))</f>
        <v/>
      </c>
      <c r="D1045" s="18" t="str">
        <f aca="false">IF($A1045="","",IFERROR(C1045/B1045,0))</f>
        <v/>
      </c>
      <c r="E1045" s="17" t="str">
        <f aca="false">IF($A1045="","",COUNTIFS(Orders!$C$2:$C$20001,$A1045,Orders!$E$2:$E$20001,"Prepaid",Orders!$F$2:$F$20001,"Delivered")+COUNTIFS(Orders!$C$2:$C$20001,$A1045,Orders!$E$2:$E$20001,"Prepaid",Orders!$F$2:$F$20001,"RTO"))</f>
        <v/>
      </c>
      <c r="F1045" s="17" t="str">
        <f aca="false">IF($A1045="","",COUNTIFS(Orders!$C$2:$C$20001,$A1045,Orders!$E$2:$E$20001,"Prepaid",Orders!$F$2:$F$20001,"RTO"))</f>
        <v/>
      </c>
      <c r="G1045" s="18" t="str">
        <f aca="false">IF($A1045="","",IFERROR(F1045/E1045,0))</f>
        <v/>
      </c>
      <c r="H1045" s="19" t="str">
        <f aca="false">IF($A1045="","",C1045*Settings!$B$11)</f>
        <v/>
      </c>
      <c r="I1045" s="20" t="str">
        <f aca="false">IF($A1045="","",IF(N(H1045)=0,"",RANK(H1045,$H$5:$H$2004)))</f>
        <v/>
      </c>
      <c r="J1045" s="21" t="str">
        <f aca="false">IF($A1045="","",IF(B1045=0,"No COD orders",IF(B1045&lt;Settings!$B$8,"Too few orders",IF(D1045&gt;=Settings!$B$9,"Restrict COD or verify","Keep COD"))))</f>
        <v/>
      </c>
    </row>
    <row r="1046" customFormat="false" ht="15" hidden="false" customHeight="false" outlineLevel="0" collapsed="false">
      <c r="A1046" s="27"/>
      <c r="B1046" s="17" t="str">
        <f aca="false">IF($A1046="","",COUNTIFS(Orders!$C$2:$C$20001,$A1046,Orders!$E$2:$E$20001,"COD",Orders!$F$2:$F$20001,"Delivered")+COUNTIFS(Orders!$C$2:$C$20001,$A1046,Orders!$E$2:$E$20001,"COD",Orders!$F$2:$F$20001,"RTO"))</f>
        <v/>
      </c>
      <c r="C1046" s="17" t="str">
        <f aca="false">IF($A1046="","",COUNTIFS(Orders!$C$2:$C$20001,$A1046,Orders!$E$2:$E$20001,"COD",Orders!$F$2:$F$20001,"RTO"))</f>
        <v/>
      </c>
      <c r="D1046" s="18" t="str">
        <f aca="false">IF($A1046="","",IFERROR(C1046/B1046,0))</f>
        <v/>
      </c>
      <c r="E1046" s="17" t="str">
        <f aca="false">IF($A1046="","",COUNTIFS(Orders!$C$2:$C$20001,$A1046,Orders!$E$2:$E$20001,"Prepaid",Orders!$F$2:$F$20001,"Delivered")+COUNTIFS(Orders!$C$2:$C$20001,$A1046,Orders!$E$2:$E$20001,"Prepaid",Orders!$F$2:$F$20001,"RTO"))</f>
        <v/>
      </c>
      <c r="F1046" s="17" t="str">
        <f aca="false">IF($A1046="","",COUNTIFS(Orders!$C$2:$C$20001,$A1046,Orders!$E$2:$E$20001,"Prepaid",Orders!$F$2:$F$20001,"RTO"))</f>
        <v/>
      </c>
      <c r="G1046" s="18" t="str">
        <f aca="false">IF($A1046="","",IFERROR(F1046/E1046,0))</f>
        <v/>
      </c>
      <c r="H1046" s="19" t="str">
        <f aca="false">IF($A1046="","",C1046*Settings!$B$11)</f>
        <v/>
      </c>
      <c r="I1046" s="20" t="str">
        <f aca="false">IF($A1046="","",IF(N(H1046)=0,"",RANK(H1046,$H$5:$H$2004)))</f>
        <v/>
      </c>
      <c r="J1046" s="21" t="str">
        <f aca="false">IF($A1046="","",IF(B1046=0,"No COD orders",IF(B1046&lt;Settings!$B$8,"Too few orders",IF(D1046&gt;=Settings!$B$9,"Restrict COD or verify","Keep COD"))))</f>
        <v/>
      </c>
    </row>
    <row r="1047" customFormat="false" ht="15" hidden="false" customHeight="false" outlineLevel="0" collapsed="false">
      <c r="A1047" s="27"/>
      <c r="B1047" s="17" t="str">
        <f aca="false">IF($A1047="","",COUNTIFS(Orders!$C$2:$C$20001,$A1047,Orders!$E$2:$E$20001,"COD",Orders!$F$2:$F$20001,"Delivered")+COUNTIFS(Orders!$C$2:$C$20001,$A1047,Orders!$E$2:$E$20001,"COD",Orders!$F$2:$F$20001,"RTO"))</f>
        <v/>
      </c>
      <c r="C1047" s="17" t="str">
        <f aca="false">IF($A1047="","",COUNTIFS(Orders!$C$2:$C$20001,$A1047,Orders!$E$2:$E$20001,"COD",Orders!$F$2:$F$20001,"RTO"))</f>
        <v/>
      </c>
      <c r="D1047" s="18" t="str">
        <f aca="false">IF($A1047="","",IFERROR(C1047/B1047,0))</f>
        <v/>
      </c>
      <c r="E1047" s="17" t="str">
        <f aca="false">IF($A1047="","",COUNTIFS(Orders!$C$2:$C$20001,$A1047,Orders!$E$2:$E$20001,"Prepaid",Orders!$F$2:$F$20001,"Delivered")+COUNTIFS(Orders!$C$2:$C$20001,$A1047,Orders!$E$2:$E$20001,"Prepaid",Orders!$F$2:$F$20001,"RTO"))</f>
        <v/>
      </c>
      <c r="F1047" s="17" t="str">
        <f aca="false">IF($A1047="","",COUNTIFS(Orders!$C$2:$C$20001,$A1047,Orders!$E$2:$E$20001,"Prepaid",Orders!$F$2:$F$20001,"RTO"))</f>
        <v/>
      </c>
      <c r="G1047" s="18" t="str">
        <f aca="false">IF($A1047="","",IFERROR(F1047/E1047,0))</f>
        <v/>
      </c>
      <c r="H1047" s="19" t="str">
        <f aca="false">IF($A1047="","",C1047*Settings!$B$11)</f>
        <v/>
      </c>
      <c r="I1047" s="20" t="str">
        <f aca="false">IF($A1047="","",IF(N(H1047)=0,"",RANK(H1047,$H$5:$H$2004)))</f>
        <v/>
      </c>
      <c r="J1047" s="21" t="str">
        <f aca="false">IF($A1047="","",IF(B1047=0,"No COD orders",IF(B1047&lt;Settings!$B$8,"Too few orders",IF(D1047&gt;=Settings!$B$9,"Restrict COD or verify","Keep COD"))))</f>
        <v/>
      </c>
    </row>
    <row r="1048" customFormat="false" ht="15" hidden="false" customHeight="false" outlineLevel="0" collapsed="false">
      <c r="A1048" s="27"/>
      <c r="B1048" s="17" t="str">
        <f aca="false">IF($A1048="","",COUNTIFS(Orders!$C$2:$C$20001,$A1048,Orders!$E$2:$E$20001,"COD",Orders!$F$2:$F$20001,"Delivered")+COUNTIFS(Orders!$C$2:$C$20001,$A1048,Orders!$E$2:$E$20001,"COD",Orders!$F$2:$F$20001,"RTO"))</f>
        <v/>
      </c>
      <c r="C1048" s="17" t="str">
        <f aca="false">IF($A1048="","",COUNTIFS(Orders!$C$2:$C$20001,$A1048,Orders!$E$2:$E$20001,"COD",Orders!$F$2:$F$20001,"RTO"))</f>
        <v/>
      </c>
      <c r="D1048" s="18" t="str">
        <f aca="false">IF($A1048="","",IFERROR(C1048/B1048,0))</f>
        <v/>
      </c>
      <c r="E1048" s="17" t="str">
        <f aca="false">IF($A1048="","",COUNTIFS(Orders!$C$2:$C$20001,$A1048,Orders!$E$2:$E$20001,"Prepaid",Orders!$F$2:$F$20001,"Delivered")+COUNTIFS(Orders!$C$2:$C$20001,$A1048,Orders!$E$2:$E$20001,"Prepaid",Orders!$F$2:$F$20001,"RTO"))</f>
        <v/>
      </c>
      <c r="F1048" s="17" t="str">
        <f aca="false">IF($A1048="","",COUNTIFS(Orders!$C$2:$C$20001,$A1048,Orders!$E$2:$E$20001,"Prepaid",Orders!$F$2:$F$20001,"RTO"))</f>
        <v/>
      </c>
      <c r="G1048" s="18" t="str">
        <f aca="false">IF($A1048="","",IFERROR(F1048/E1048,0))</f>
        <v/>
      </c>
      <c r="H1048" s="19" t="str">
        <f aca="false">IF($A1048="","",C1048*Settings!$B$11)</f>
        <v/>
      </c>
      <c r="I1048" s="20" t="str">
        <f aca="false">IF($A1048="","",IF(N(H1048)=0,"",RANK(H1048,$H$5:$H$2004)))</f>
        <v/>
      </c>
      <c r="J1048" s="21" t="str">
        <f aca="false">IF($A1048="","",IF(B1048=0,"No COD orders",IF(B1048&lt;Settings!$B$8,"Too few orders",IF(D1048&gt;=Settings!$B$9,"Restrict COD or verify","Keep COD"))))</f>
        <v/>
      </c>
    </row>
    <row r="1049" customFormat="false" ht="15" hidden="false" customHeight="false" outlineLevel="0" collapsed="false">
      <c r="A1049" s="27"/>
      <c r="B1049" s="17" t="str">
        <f aca="false">IF($A1049="","",COUNTIFS(Orders!$C$2:$C$20001,$A1049,Orders!$E$2:$E$20001,"COD",Orders!$F$2:$F$20001,"Delivered")+COUNTIFS(Orders!$C$2:$C$20001,$A1049,Orders!$E$2:$E$20001,"COD",Orders!$F$2:$F$20001,"RTO"))</f>
        <v/>
      </c>
      <c r="C1049" s="17" t="str">
        <f aca="false">IF($A1049="","",COUNTIFS(Orders!$C$2:$C$20001,$A1049,Orders!$E$2:$E$20001,"COD",Orders!$F$2:$F$20001,"RTO"))</f>
        <v/>
      </c>
      <c r="D1049" s="18" t="str">
        <f aca="false">IF($A1049="","",IFERROR(C1049/B1049,0))</f>
        <v/>
      </c>
      <c r="E1049" s="17" t="str">
        <f aca="false">IF($A1049="","",COUNTIFS(Orders!$C$2:$C$20001,$A1049,Orders!$E$2:$E$20001,"Prepaid",Orders!$F$2:$F$20001,"Delivered")+COUNTIFS(Orders!$C$2:$C$20001,$A1049,Orders!$E$2:$E$20001,"Prepaid",Orders!$F$2:$F$20001,"RTO"))</f>
        <v/>
      </c>
      <c r="F1049" s="17" t="str">
        <f aca="false">IF($A1049="","",COUNTIFS(Orders!$C$2:$C$20001,$A1049,Orders!$E$2:$E$20001,"Prepaid",Orders!$F$2:$F$20001,"RTO"))</f>
        <v/>
      </c>
      <c r="G1049" s="18" t="str">
        <f aca="false">IF($A1049="","",IFERROR(F1049/E1049,0))</f>
        <v/>
      </c>
      <c r="H1049" s="19" t="str">
        <f aca="false">IF($A1049="","",C1049*Settings!$B$11)</f>
        <v/>
      </c>
      <c r="I1049" s="20" t="str">
        <f aca="false">IF($A1049="","",IF(N(H1049)=0,"",RANK(H1049,$H$5:$H$2004)))</f>
        <v/>
      </c>
      <c r="J1049" s="21" t="str">
        <f aca="false">IF($A1049="","",IF(B1049=0,"No COD orders",IF(B1049&lt;Settings!$B$8,"Too few orders",IF(D1049&gt;=Settings!$B$9,"Restrict COD or verify","Keep COD"))))</f>
        <v/>
      </c>
    </row>
    <row r="1050" customFormat="false" ht="15" hidden="false" customHeight="false" outlineLevel="0" collapsed="false">
      <c r="A1050" s="27"/>
      <c r="B1050" s="17" t="str">
        <f aca="false">IF($A1050="","",COUNTIFS(Orders!$C$2:$C$20001,$A1050,Orders!$E$2:$E$20001,"COD",Orders!$F$2:$F$20001,"Delivered")+COUNTIFS(Orders!$C$2:$C$20001,$A1050,Orders!$E$2:$E$20001,"COD",Orders!$F$2:$F$20001,"RTO"))</f>
        <v/>
      </c>
      <c r="C1050" s="17" t="str">
        <f aca="false">IF($A1050="","",COUNTIFS(Orders!$C$2:$C$20001,$A1050,Orders!$E$2:$E$20001,"COD",Orders!$F$2:$F$20001,"RTO"))</f>
        <v/>
      </c>
      <c r="D1050" s="18" t="str">
        <f aca="false">IF($A1050="","",IFERROR(C1050/B1050,0))</f>
        <v/>
      </c>
      <c r="E1050" s="17" t="str">
        <f aca="false">IF($A1050="","",COUNTIFS(Orders!$C$2:$C$20001,$A1050,Orders!$E$2:$E$20001,"Prepaid",Orders!$F$2:$F$20001,"Delivered")+COUNTIFS(Orders!$C$2:$C$20001,$A1050,Orders!$E$2:$E$20001,"Prepaid",Orders!$F$2:$F$20001,"RTO"))</f>
        <v/>
      </c>
      <c r="F1050" s="17" t="str">
        <f aca="false">IF($A1050="","",COUNTIFS(Orders!$C$2:$C$20001,$A1050,Orders!$E$2:$E$20001,"Prepaid",Orders!$F$2:$F$20001,"RTO"))</f>
        <v/>
      </c>
      <c r="G1050" s="18" t="str">
        <f aca="false">IF($A1050="","",IFERROR(F1050/E1050,0))</f>
        <v/>
      </c>
      <c r="H1050" s="19" t="str">
        <f aca="false">IF($A1050="","",C1050*Settings!$B$11)</f>
        <v/>
      </c>
      <c r="I1050" s="20" t="str">
        <f aca="false">IF($A1050="","",IF(N(H1050)=0,"",RANK(H1050,$H$5:$H$2004)))</f>
        <v/>
      </c>
      <c r="J1050" s="21" t="str">
        <f aca="false">IF($A1050="","",IF(B1050=0,"No COD orders",IF(B1050&lt;Settings!$B$8,"Too few orders",IF(D1050&gt;=Settings!$B$9,"Restrict COD or verify","Keep COD"))))</f>
        <v/>
      </c>
    </row>
    <row r="1051" customFormat="false" ht="15" hidden="false" customHeight="false" outlineLevel="0" collapsed="false">
      <c r="A1051" s="27"/>
      <c r="B1051" s="17" t="str">
        <f aca="false">IF($A1051="","",COUNTIFS(Orders!$C$2:$C$20001,$A1051,Orders!$E$2:$E$20001,"COD",Orders!$F$2:$F$20001,"Delivered")+COUNTIFS(Orders!$C$2:$C$20001,$A1051,Orders!$E$2:$E$20001,"COD",Orders!$F$2:$F$20001,"RTO"))</f>
        <v/>
      </c>
      <c r="C1051" s="17" t="str">
        <f aca="false">IF($A1051="","",COUNTIFS(Orders!$C$2:$C$20001,$A1051,Orders!$E$2:$E$20001,"COD",Orders!$F$2:$F$20001,"RTO"))</f>
        <v/>
      </c>
      <c r="D1051" s="18" t="str">
        <f aca="false">IF($A1051="","",IFERROR(C1051/B1051,0))</f>
        <v/>
      </c>
      <c r="E1051" s="17" t="str">
        <f aca="false">IF($A1051="","",COUNTIFS(Orders!$C$2:$C$20001,$A1051,Orders!$E$2:$E$20001,"Prepaid",Orders!$F$2:$F$20001,"Delivered")+COUNTIFS(Orders!$C$2:$C$20001,$A1051,Orders!$E$2:$E$20001,"Prepaid",Orders!$F$2:$F$20001,"RTO"))</f>
        <v/>
      </c>
      <c r="F1051" s="17" t="str">
        <f aca="false">IF($A1051="","",COUNTIFS(Orders!$C$2:$C$20001,$A1051,Orders!$E$2:$E$20001,"Prepaid",Orders!$F$2:$F$20001,"RTO"))</f>
        <v/>
      </c>
      <c r="G1051" s="18" t="str">
        <f aca="false">IF($A1051="","",IFERROR(F1051/E1051,0))</f>
        <v/>
      </c>
      <c r="H1051" s="19" t="str">
        <f aca="false">IF($A1051="","",C1051*Settings!$B$11)</f>
        <v/>
      </c>
      <c r="I1051" s="20" t="str">
        <f aca="false">IF($A1051="","",IF(N(H1051)=0,"",RANK(H1051,$H$5:$H$2004)))</f>
        <v/>
      </c>
      <c r="J1051" s="21" t="str">
        <f aca="false">IF($A1051="","",IF(B1051=0,"No COD orders",IF(B1051&lt;Settings!$B$8,"Too few orders",IF(D1051&gt;=Settings!$B$9,"Restrict COD or verify","Keep COD"))))</f>
        <v/>
      </c>
    </row>
    <row r="1052" customFormat="false" ht="15" hidden="false" customHeight="false" outlineLevel="0" collapsed="false">
      <c r="A1052" s="27"/>
      <c r="B1052" s="17" t="str">
        <f aca="false">IF($A1052="","",COUNTIFS(Orders!$C$2:$C$20001,$A1052,Orders!$E$2:$E$20001,"COD",Orders!$F$2:$F$20001,"Delivered")+COUNTIFS(Orders!$C$2:$C$20001,$A1052,Orders!$E$2:$E$20001,"COD",Orders!$F$2:$F$20001,"RTO"))</f>
        <v/>
      </c>
      <c r="C1052" s="17" t="str">
        <f aca="false">IF($A1052="","",COUNTIFS(Orders!$C$2:$C$20001,$A1052,Orders!$E$2:$E$20001,"COD",Orders!$F$2:$F$20001,"RTO"))</f>
        <v/>
      </c>
      <c r="D1052" s="18" t="str">
        <f aca="false">IF($A1052="","",IFERROR(C1052/B1052,0))</f>
        <v/>
      </c>
      <c r="E1052" s="17" t="str">
        <f aca="false">IF($A1052="","",COUNTIFS(Orders!$C$2:$C$20001,$A1052,Orders!$E$2:$E$20001,"Prepaid",Orders!$F$2:$F$20001,"Delivered")+COUNTIFS(Orders!$C$2:$C$20001,$A1052,Orders!$E$2:$E$20001,"Prepaid",Orders!$F$2:$F$20001,"RTO"))</f>
        <v/>
      </c>
      <c r="F1052" s="17" t="str">
        <f aca="false">IF($A1052="","",COUNTIFS(Orders!$C$2:$C$20001,$A1052,Orders!$E$2:$E$20001,"Prepaid",Orders!$F$2:$F$20001,"RTO"))</f>
        <v/>
      </c>
      <c r="G1052" s="18" t="str">
        <f aca="false">IF($A1052="","",IFERROR(F1052/E1052,0))</f>
        <v/>
      </c>
      <c r="H1052" s="19" t="str">
        <f aca="false">IF($A1052="","",C1052*Settings!$B$11)</f>
        <v/>
      </c>
      <c r="I1052" s="20" t="str">
        <f aca="false">IF($A1052="","",IF(N(H1052)=0,"",RANK(H1052,$H$5:$H$2004)))</f>
        <v/>
      </c>
      <c r="J1052" s="21" t="str">
        <f aca="false">IF($A1052="","",IF(B1052=0,"No COD orders",IF(B1052&lt;Settings!$B$8,"Too few orders",IF(D1052&gt;=Settings!$B$9,"Restrict COD or verify","Keep COD"))))</f>
        <v/>
      </c>
    </row>
    <row r="1053" customFormat="false" ht="15" hidden="false" customHeight="false" outlineLevel="0" collapsed="false">
      <c r="A1053" s="27"/>
      <c r="B1053" s="17" t="str">
        <f aca="false">IF($A1053="","",COUNTIFS(Orders!$C$2:$C$20001,$A1053,Orders!$E$2:$E$20001,"COD",Orders!$F$2:$F$20001,"Delivered")+COUNTIFS(Orders!$C$2:$C$20001,$A1053,Orders!$E$2:$E$20001,"COD",Orders!$F$2:$F$20001,"RTO"))</f>
        <v/>
      </c>
      <c r="C1053" s="17" t="str">
        <f aca="false">IF($A1053="","",COUNTIFS(Orders!$C$2:$C$20001,$A1053,Orders!$E$2:$E$20001,"COD",Orders!$F$2:$F$20001,"RTO"))</f>
        <v/>
      </c>
      <c r="D1053" s="18" t="str">
        <f aca="false">IF($A1053="","",IFERROR(C1053/B1053,0))</f>
        <v/>
      </c>
      <c r="E1053" s="17" t="str">
        <f aca="false">IF($A1053="","",COUNTIFS(Orders!$C$2:$C$20001,$A1053,Orders!$E$2:$E$20001,"Prepaid",Orders!$F$2:$F$20001,"Delivered")+COUNTIFS(Orders!$C$2:$C$20001,$A1053,Orders!$E$2:$E$20001,"Prepaid",Orders!$F$2:$F$20001,"RTO"))</f>
        <v/>
      </c>
      <c r="F1053" s="17" t="str">
        <f aca="false">IF($A1053="","",COUNTIFS(Orders!$C$2:$C$20001,$A1053,Orders!$E$2:$E$20001,"Prepaid",Orders!$F$2:$F$20001,"RTO"))</f>
        <v/>
      </c>
      <c r="G1053" s="18" t="str">
        <f aca="false">IF($A1053="","",IFERROR(F1053/E1053,0))</f>
        <v/>
      </c>
      <c r="H1053" s="19" t="str">
        <f aca="false">IF($A1053="","",C1053*Settings!$B$11)</f>
        <v/>
      </c>
      <c r="I1053" s="20" t="str">
        <f aca="false">IF($A1053="","",IF(N(H1053)=0,"",RANK(H1053,$H$5:$H$2004)))</f>
        <v/>
      </c>
      <c r="J1053" s="21" t="str">
        <f aca="false">IF($A1053="","",IF(B1053=0,"No COD orders",IF(B1053&lt;Settings!$B$8,"Too few orders",IF(D1053&gt;=Settings!$B$9,"Restrict COD or verify","Keep COD"))))</f>
        <v/>
      </c>
    </row>
    <row r="1054" customFormat="false" ht="15" hidden="false" customHeight="false" outlineLevel="0" collapsed="false">
      <c r="A1054" s="27"/>
      <c r="B1054" s="17" t="str">
        <f aca="false">IF($A1054="","",COUNTIFS(Orders!$C$2:$C$20001,$A1054,Orders!$E$2:$E$20001,"COD",Orders!$F$2:$F$20001,"Delivered")+COUNTIFS(Orders!$C$2:$C$20001,$A1054,Orders!$E$2:$E$20001,"COD",Orders!$F$2:$F$20001,"RTO"))</f>
        <v/>
      </c>
      <c r="C1054" s="17" t="str">
        <f aca="false">IF($A1054="","",COUNTIFS(Orders!$C$2:$C$20001,$A1054,Orders!$E$2:$E$20001,"COD",Orders!$F$2:$F$20001,"RTO"))</f>
        <v/>
      </c>
      <c r="D1054" s="18" t="str">
        <f aca="false">IF($A1054="","",IFERROR(C1054/B1054,0))</f>
        <v/>
      </c>
      <c r="E1054" s="17" t="str">
        <f aca="false">IF($A1054="","",COUNTIFS(Orders!$C$2:$C$20001,$A1054,Orders!$E$2:$E$20001,"Prepaid",Orders!$F$2:$F$20001,"Delivered")+COUNTIFS(Orders!$C$2:$C$20001,$A1054,Orders!$E$2:$E$20001,"Prepaid",Orders!$F$2:$F$20001,"RTO"))</f>
        <v/>
      </c>
      <c r="F1054" s="17" t="str">
        <f aca="false">IF($A1054="","",COUNTIFS(Orders!$C$2:$C$20001,$A1054,Orders!$E$2:$E$20001,"Prepaid",Orders!$F$2:$F$20001,"RTO"))</f>
        <v/>
      </c>
      <c r="G1054" s="18" t="str">
        <f aca="false">IF($A1054="","",IFERROR(F1054/E1054,0))</f>
        <v/>
      </c>
      <c r="H1054" s="19" t="str">
        <f aca="false">IF($A1054="","",C1054*Settings!$B$11)</f>
        <v/>
      </c>
      <c r="I1054" s="20" t="str">
        <f aca="false">IF($A1054="","",IF(N(H1054)=0,"",RANK(H1054,$H$5:$H$2004)))</f>
        <v/>
      </c>
      <c r="J1054" s="21" t="str">
        <f aca="false">IF($A1054="","",IF(B1054=0,"No COD orders",IF(B1054&lt;Settings!$B$8,"Too few orders",IF(D1054&gt;=Settings!$B$9,"Restrict COD or verify","Keep COD"))))</f>
        <v/>
      </c>
    </row>
    <row r="1055" customFormat="false" ht="15" hidden="false" customHeight="false" outlineLevel="0" collapsed="false">
      <c r="A1055" s="27"/>
      <c r="B1055" s="17" t="str">
        <f aca="false">IF($A1055="","",COUNTIFS(Orders!$C$2:$C$20001,$A1055,Orders!$E$2:$E$20001,"COD",Orders!$F$2:$F$20001,"Delivered")+COUNTIFS(Orders!$C$2:$C$20001,$A1055,Orders!$E$2:$E$20001,"COD",Orders!$F$2:$F$20001,"RTO"))</f>
        <v/>
      </c>
      <c r="C1055" s="17" t="str">
        <f aca="false">IF($A1055="","",COUNTIFS(Orders!$C$2:$C$20001,$A1055,Orders!$E$2:$E$20001,"COD",Orders!$F$2:$F$20001,"RTO"))</f>
        <v/>
      </c>
      <c r="D1055" s="18" t="str">
        <f aca="false">IF($A1055="","",IFERROR(C1055/B1055,0))</f>
        <v/>
      </c>
      <c r="E1055" s="17" t="str">
        <f aca="false">IF($A1055="","",COUNTIFS(Orders!$C$2:$C$20001,$A1055,Orders!$E$2:$E$20001,"Prepaid",Orders!$F$2:$F$20001,"Delivered")+COUNTIFS(Orders!$C$2:$C$20001,$A1055,Orders!$E$2:$E$20001,"Prepaid",Orders!$F$2:$F$20001,"RTO"))</f>
        <v/>
      </c>
      <c r="F1055" s="17" t="str">
        <f aca="false">IF($A1055="","",COUNTIFS(Orders!$C$2:$C$20001,$A1055,Orders!$E$2:$E$20001,"Prepaid",Orders!$F$2:$F$20001,"RTO"))</f>
        <v/>
      </c>
      <c r="G1055" s="18" t="str">
        <f aca="false">IF($A1055="","",IFERROR(F1055/E1055,0))</f>
        <v/>
      </c>
      <c r="H1055" s="19" t="str">
        <f aca="false">IF($A1055="","",C1055*Settings!$B$11)</f>
        <v/>
      </c>
      <c r="I1055" s="20" t="str">
        <f aca="false">IF($A1055="","",IF(N(H1055)=0,"",RANK(H1055,$H$5:$H$2004)))</f>
        <v/>
      </c>
      <c r="J1055" s="21" t="str">
        <f aca="false">IF($A1055="","",IF(B1055=0,"No COD orders",IF(B1055&lt;Settings!$B$8,"Too few orders",IF(D1055&gt;=Settings!$B$9,"Restrict COD or verify","Keep COD"))))</f>
        <v/>
      </c>
    </row>
    <row r="1056" customFormat="false" ht="15" hidden="false" customHeight="false" outlineLevel="0" collapsed="false">
      <c r="A1056" s="27"/>
      <c r="B1056" s="17" t="str">
        <f aca="false">IF($A1056="","",COUNTIFS(Orders!$C$2:$C$20001,$A1056,Orders!$E$2:$E$20001,"COD",Orders!$F$2:$F$20001,"Delivered")+COUNTIFS(Orders!$C$2:$C$20001,$A1056,Orders!$E$2:$E$20001,"COD",Orders!$F$2:$F$20001,"RTO"))</f>
        <v/>
      </c>
      <c r="C1056" s="17" t="str">
        <f aca="false">IF($A1056="","",COUNTIFS(Orders!$C$2:$C$20001,$A1056,Orders!$E$2:$E$20001,"COD",Orders!$F$2:$F$20001,"RTO"))</f>
        <v/>
      </c>
      <c r="D1056" s="18" t="str">
        <f aca="false">IF($A1056="","",IFERROR(C1056/B1056,0))</f>
        <v/>
      </c>
      <c r="E1056" s="17" t="str">
        <f aca="false">IF($A1056="","",COUNTIFS(Orders!$C$2:$C$20001,$A1056,Orders!$E$2:$E$20001,"Prepaid",Orders!$F$2:$F$20001,"Delivered")+COUNTIFS(Orders!$C$2:$C$20001,$A1056,Orders!$E$2:$E$20001,"Prepaid",Orders!$F$2:$F$20001,"RTO"))</f>
        <v/>
      </c>
      <c r="F1056" s="17" t="str">
        <f aca="false">IF($A1056="","",COUNTIFS(Orders!$C$2:$C$20001,$A1056,Orders!$E$2:$E$20001,"Prepaid",Orders!$F$2:$F$20001,"RTO"))</f>
        <v/>
      </c>
      <c r="G1056" s="18" t="str">
        <f aca="false">IF($A1056="","",IFERROR(F1056/E1056,0))</f>
        <v/>
      </c>
      <c r="H1056" s="19" t="str">
        <f aca="false">IF($A1056="","",C1056*Settings!$B$11)</f>
        <v/>
      </c>
      <c r="I1056" s="20" t="str">
        <f aca="false">IF($A1056="","",IF(N(H1056)=0,"",RANK(H1056,$H$5:$H$2004)))</f>
        <v/>
      </c>
      <c r="J1056" s="21" t="str">
        <f aca="false">IF($A1056="","",IF(B1056=0,"No COD orders",IF(B1056&lt;Settings!$B$8,"Too few orders",IF(D1056&gt;=Settings!$B$9,"Restrict COD or verify","Keep COD"))))</f>
        <v/>
      </c>
    </row>
    <row r="1057" customFormat="false" ht="15" hidden="false" customHeight="false" outlineLevel="0" collapsed="false">
      <c r="A1057" s="27"/>
      <c r="B1057" s="17" t="str">
        <f aca="false">IF($A1057="","",COUNTIFS(Orders!$C$2:$C$20001,$A1057,Orders!$E$2:$E$20001,"COD",Orders!$F$2:$F$20001,"Delivered")+COUNTIFS(Orders!$C$2:$C$20001,$A1057,Orders!$E$2:$E$20001,"COD",Orders!$F$2:$F$20001,"RTO"))</f>
        <v/>
      </c>
      <c r="C1057" s="17" t="str">
        <f aca="false">IF($A1057="","",COUNTIFS(Orders!$C$2:$C$20001,$A1057,Orders!$E$2:$E$20001,"COD",Orders!$F$2:$F$20001,"RTO"))</f>
        <v/>
      </c>
      <c r="D1057" s="18" t="str">
        <f aca="false">IF($A1057="","",IFERROR(C1057/B1057,0))</f>
        <v/>
      </c>
      <c r="E1057" s="17" t="str">
        <f aca="false">IF($A1057="","",COUNTIFS(Orders!$C$2:$C$20001,$A1057,Orders!$E$2:$E$20001,"Prepaid",Orders!$F$2:$F$20001,"Delivered")+COUNTIFS(Orders!$C$2:$C$20001,$A1057,Orders!$E$2:$E$20001,"Prepaid",Orders!$F$2:$F$20001,"RTO"))</f>
        <v/>
      </c>
      <c r="F1057" s="17" t="str">
        <f aca="false">IF($A1057="","",COUNTIFS(Orders!$C$2:$C$20001,$A1057,Orders!$E$2:$E$20001,"Prepaid",Orders!$F$2:$F$20001,"RTO"))</f>
        <v/>
      </c>
      <c r="G1057" s="18" t="str">
        <f aca="false">IF($A1057="","",IFERROR(F1057/E1057,0))</f>
        <v/>
      </c>
      <c r="H1057" s="19" t="str">
        <f aca="false">IF($A1057="","",C1057*Settings!$B$11)</f>
        <v/>
      </c>
      <c r="I1057" s="20" t="str">
        <f aca="false">IF($A1057="","",IF(N(H1057)=0,"",RANK(H1057,$H$5:$H$2004)))</f>
        <v/>
      </c>
      <c r="J1057" s="21" t="str">
        <f aca="false">IF($A1057="","",IF(B1057=0,"No COD orders",IF(B1057&lt;Settings!$B$8,"Too few orders",IF(D1057&gt;=Settings!$B$9,"Restrict COD or verify","Keep COD"))))</f>
        <v/>
      </c>
    </row>
    <row r="1058" customFormat="false" ht="15" hidden="false" customHeight="false" outlineLevel="0" collapsed="false">
      <c r="A1058" s="27"/>
      <c r="B1058" s="17" t="str">
        <f aca="false">IF($A1058="","",COUNTIFS(Orders!$C$2:$C$20001,$A1058,Orders!$E$2:$E$20001,"COD",Orders!$F$2:$F$20001,"Delivered")+COUNTIFS(Orders!$C$2:$C$20001,$A1058,Orders!$E$2:$E$20001,"COD",Orders!$F$2:$F$20001,"RTO"))</f>
        <v/>
      </c>
      <c r="C1058" s="17" t="str">
        <f aca="false">IF($A1058="","",COUNTIFS(Orders!$C$2:$C$20001,$A1058,Orders!$E$2:$E$20001,"COD",Orders!$F$2:$F$20001,"RTO"))</f>
        <v/>
      </c>
      <c r="D1058" s="18" t="str">
        <f aca="false">IF($A1058="","",IFERROR(C1058/B1058,0))</f>
        <v/>
      </c>
      <c r="E1058" s="17" t="str">
        <f aca="false">IF($A1058="","",COUNTIFS(Orders!$C$2:$C$20001,$A1058,Orders!$E$2:$E$20001,"Prepaid",Orders!$F$2:$F$20001,"Delivered")+COUNTIFS(Orders!$C$2:$C$20001,$A1058,Orders!$E$2:$E$20001,"Prepaid",Orders!$F$2:$F$20001,"RTO"))</f>
        <v/>
      </c>
      <c r="F1058" s="17" t="str">
        <f aca="false">IF($A1058="","",COUNTIFS(Orders!$C$2:$C$20001,$A1058,Orders!$E$2:$E$20001,"Prepaid",Orders!$F$2:$F$20001,"RTO"))</f>
        <v/>
      </c>
      <c r="G1058" s="18" t="str">
        <f aca="false">IF($A1058="","",IFERROR(F1058/E1058,0))</f>
        <v/>
      </c>
      <c r="H1058" s="19" t="str">
        <f aca="false">IF($A1058="","",C1058*Settings!$B$11)</f>
        <v/>
      </c>
      <c r="I1058" s="20" t="str">
        <f aca="false">IF($A1058="","",IF(N(H1058)=0,"",RANK(H1058,$H$5:$H$2004)))</f>
        <v/>
      </c>
      <c r="J1058" s="21" t="str">
        <f aca="false">IF($A1058="","",IF(B1058=0,"No COD orders",IF(B1058&lt;Settings!$B$8,"Too few orders",IF(D1058&gt;=Settings!$B$9,"Restrict COD or verify","Keep COD"))))</f>
        <v/>
      </c>
    </row>
    <row r="1059" customFormat="false" ht="15" hidden="false" customHeight="false" outlineLevel="0" collapsed="false">
      <c r="A1059" s="27"/>
      <c r="B1059" s="17" t="str">
        <f aca="false">IF($A1059="","",COUNTIFS(Orders!$C$2:$C$20001,$A1059,Orders!$E$2:$E$20001,"COD",Orders!$F$2:$F$20001,"Delivered")+COUNTIFS(Orders!$C$2:$C$20001,$A1059,Orders!$E$2:$E$20001,"COD",Orders!$F$2:$F$20001,"RTO"))</f>
        <v/>
      </c>
      <c r="C1059" s="17" t="str">
        <f aca="false">IF($A1059="","",COUNTIFS(Orders!$C$2:$C$20001,$A1059,Orders!$E$2:$E$20001,"COD",Orders!$F$2:$F$20001,"RTO"))</f>
        <v/>
      </c>
      <c r="D1059" s="18" t="str">
        <f aca="false">IF($A1059="","",IFERROR(C1059/B1059,0))</f>
        <v/>
      </c>
      <c r="E1059" s="17" t="str">
        <f aca="false">IF($A1059="","",COUNTIFS(Orders!$C$2:$C$20001,$A1059,Orders!$E$2:$E$20001,"Prepaid",Orders!$F$2:$F$20001,"Delivered")+COUNTIFS(Orders!$C$2:$C$20001,$A1059,Orders!$E$2:$E$20001,"Prepaid",Orders!$F$2:$F$20001,"RTO"))</f>
        <v/>
      </c>
      <c r="F1059" s="17" t="str">
        <f aca="false">IF($A1059="","",COUNTIFS(Orders!$C$2:$C$20001,$A1059,Orders!$E$2:$E$20001,"Prepaid",Orders!$F$2:$F$20001,"RTO"))</f>
        <v/>
      </c>
      <c r="G1059" s="18" t="str">
        <f aca="false">IF($A1059="","",IFERROR(F1059/E1059,0))</f>
        <v/>
      </c>
      <c r="H1059" s="19" t="str">
        <f aca="false">IF($A1059="","",C1059*Settings!$B$11)</f>
        <v/>
      </c>
      <c r="I1059" s="20" t="str">
        <f aca="false">IF($A1059="","",IF(N(H1059)=0,"",RANK(H1059,$H$5:$H$2004)))</f>
        <v/>
      </c>
      <c r="J1059" s="21" t="str">
        <f aca="false">IF($A1059="","",IF(B1059=0,"No COD orders",IF(B1059&lt;Settings!$B$8,"Too few orders",IF(D1059&gt;=Settings!$B$9,"Restrict COD or verify","Keep COD"))))</f>
        <v/>
      </c>
    </row>
    <row r="1060" customFormat="false" ht="15" hidden="false" customHeight="false" outlineLevel="0" collapsed="false">
      <c r="A1060" s="27"/>
      <c r="B1060" s="17" t="str">
        <f aca="false">IF($A1060="","",COUNTIFS(Orders!$C$2:$C$20001,$A1060,Orders!$E$2:$E$20001,"COD",Orders!$F$2:$F$20001,"Delivered")+COUNTIFS(Orders!$C$2:$C$20001,$A1060,Orders!$E$2:$E$20001,"COD",Orders!$F$2:$F$20001,"RTO"))</f>
        <v/>
      </c>
      <c r="C1060" s="17" t="str">
        <f aca="false">IF($A1060="","",COUNTIFS(Orders!$C$2:$C$20001,$A1060,Orders!$E$2:$E$20001,"COD",Orders!$F$2:$F$20001,"RTO"))</f>
        <v/>
      </c>
      <c r="D1060" s="18" t="str">
        <f aca="false">IF($A1060="","",IFERROR(C1060/B1060,0))</f>
        <v/>
      </c>
      <c r="E1060" s="17" t="str">
        <f aca="false">IF($A1060="","",COUNTIFS(Orders!$C$2:$C$20001,$A1060,Orders!$E$2:$E$20001,"Prepaid",Orders!$F$2:$F$20001,"Delivered")+COUNTIFS(Orders!$C$2:$C$20001,$A1060,Orders!$E$2:$E$20001,"Prepaid",Orders!$F$2:$F$20001,"RTO"))</f>
        <v/>
      </c>
      <c r="F1060" s="17" t="str">
        <f aca="false">IF($A1060="","",COUNTIFS(Orders!$C$2:$C$20001,$A1060,Orders!$E$2:$E$20001,"Prepaid",Orders!$F$2:$F$20001,"RTO"))</f>
        <v/>
      </c>
      <c r="G1060" s="18" t="str">
        <f aca="false">IF($A1060="","",IFERROR(F1060/E1060,0))</f>
        <v/>
      </c>
      <c r="H1060" s="19" t="str">
        <f aca="false">IF($A1060="","",C1060*Settings!$B$11)</f>
        <v/>
      </c>
      <c r="I1060" s="20" t="str">
        <f aca="false">IF($A1060="","",IF(N(H1060)=0,"",RANK(H1060,$H$5:$H$2004)))</f>
        <v/>
      </c>
      <c r="J1060" s="21" t="str">
        <f aca="false">IF($A1060="","",IF(B1060=0,"No COD orders",IF(B1060&lt;Settings!$B$8,"Too few orders",IF(D1060&gt;=Settings!$B$9,"Restrict COD or verify","Keep COD"))))</f>
        <v/>
      </c>
    </row>
    <row r="1061" customFormat="false" ht="15" hidden="false" customHeight="false" outlineLevel="0" collapsed="false">
      <c r="A1061" s="27"/>
      <c r="B1061" s="17" t="str">
        <f aca="false">IF($A1061="","",COUNTIFS(Orders!$C$2:$C$20001,$A1061,Orders!$E$2:$E$20001,"COD",Orders!$F$2:$F$20001,"Delivered")+COUNTIFS(Orders!$C$2:$C$20001,$A1061,Orders!$E$2:$E$20001,"COD",Orders!$F$2:$F$20001,"RTO"))</f>
        <v/>
      </c>
      <c r="C1061" s="17" t="str">
        <f aca="false">IF($A1061="","",COUNTIFS(Orders!$C$2:$C$20001,$A1061,Orders!$E$2:$E$20001,"COD",Orders!$F$2:$F$20001,"RTO"))</f>
        <v/>
      </c>
      <c r="D1061" s="18" t="str">
        <f aca="false">IF($A1061="","",IFERROR(C1061/B1061,0))</f>
        <v/>
      </c>
      <c r="E1061" s="17" t="str">
        <f aca="false">IF($A1061="","",COUNTIFS(Orders!$C$2:$C$20001,$A1061,Orders!$E$2:$E$20001,"Prepaid",Orders!$F$2:$F$20001,"Delivered")+COUNTIFS(Orders!$C$2:$C$20001,$A1061,Orders!$E$2:$E$20001,"Prepaid",Orders!$F$2:$F$20001,"RTO"))</f>
        <v/>
      </c>
      <c r="F1061" s="17" t="str">
        <f aca="false">IF($A1061="","",COUNTIFS(Orders!$C$2:$C$20001,$A1061,Orders!$E$2:$E$20001,"Prepaid",Orders!$F$2:$F$20001,"RTO"))</f>
        <v/>
      </c>
      <c r="G1061" s="18" t="str">
        <f aca="false">IF($A1061="","",IFERROR(F1061/E1061,0))</f>
        <v/>
      </c>
      <c r="H1061" s="19" t="str">
        <f aca="false">IF($A1061="","",C1061*Settings!$B$11)</f>
        <v/>
      </c>
      <c r="I1061" s="20" t="str">
        <f aca="false">IF($A1061="","",IF(N(H1061)=0,"",RANK(H1061,$H$5:$H$2004)))</f>
        <v/>
      </c>
      <c r="J1061" s="21" t="str">
        <f aca="false">IF($A1061="","",IF(B1061=0,"No COD orders",IF(B1061&lt;Settings!$B$8,"Too few orders",IF(D1061&gt;=Settings!$B$9,"Restrict COD or verify","Keep COD"))))</f>
        <v/>
      </c>
    </row>
    <row r="1062" customFormat="false" ht="15" hidden="false" customHeight="false" outlineLevel="0" collapsed="false">
      <c r="A1062" s="27"/>
      <c r="B1062" s="17" t="str">
        <f aca="false">IF($A1062="","",COUNTIFS(Orders!$C$2:$C$20001,$A1062,Orders!$E$2:$E$20001,"COD",Orders!$F$2:$F$20001,"Delivered")+COUNTIFS(Orders!$C$2:$C$20001,$A1062,Orders!$E$2:$E$20001,"COD",Orders!$F$2:$F$20001,"RTO"))</f>
        <v/>
      </c>
      <c r="C1062" s="17" t="str">
        <f aca="false">IF($A1062="","",COUNTIFS(Orders!$C$2:$C$20001,$A1062,Orders!$E$2:$E$20001,"COD",Orders!$F$2:$F$20001,"RTO"))</f>
        <v/>
      </c>
      <c r="D1062" s="18" t="str">
        <f aca="false">IF($A1062="","",IFERROR(C1062/B1062,0))</f>
        <v/>
      </c>
      <c r="E1062" s="17" t="str">
        <f aca="false">IF($A1062="","",COUNTIFS(Orders!$C$2:$C$20001,$A1062,Orders!$E$2:$E$20001,"Prepaid",Orders!$F$2:$F$20001,"Delivered")+COUNTIFS(Orders!$C$2:$C$20001,$A1062,Orders!$E$2:$E$20001,"Prepaid",Orders!$F$2:$F$20001,"RTO"))</f>
        <v/>
      </c>
      <c r="F1062" s="17" t="str">
        <f aca="false">IF($A1062="","",COUNTIFS(Orders!$C$2:$C$20001,$A1062,Orders!$E$2:$E$20001,"Prepaid",Orders!$F$2:$F$20001,"RTO"))</f>
        <v/>
      </c>
      <c r="G1062" s="18" t="str">
        <f aca="false">IF($A1062="","",IFERROR(F1062/E1062,0))</f>
        <v/>
      </c>
      <c r="H1062" s="19" t="str">
        <f aca="false">IF($A1062="","",C1062*Settings!$B$11)</f>
        <v/>
      </c>
      <c r="I1062" s="20" t="str">
        <f aca="false">IF($A1062="","",IF(N(H1062)=0,"",RANK(H1062,$H$5:$H$2004)))</f>
        <v/>
      </c>
      <c r="J1062" s="21" t="str">
        <f aca="false">IF($A1062="","",IF(B1062=0,"No COD orders",IF(B1062&lt;Settings!$B$8,"Too few orders",IF(D1062&gt;=Settings!$B$9,"Restrict COD or verify","Keep COD"))))</f>
        <v/>
      </c>
    </row>
    <row r="1063" customFormat="false" ht="15" hidden="false" customHeight="false" outlineLevel="0" collapsed="false">
      <c r="A1063" s="27"/>
      <c r="B1063" s="17" t="str">
        <f aca="false">IF($A1063="","",COUNTIFS(Orders!$C$2:$C$20001,$A1063,Orders!$E$2:$E$20001,"COD",Orders!$F$2:$F$20001,"Delivered")+COUNTIFS(Orders!$C$2:$C$20001,$A1063,Orders!$E$2:$E$20001,"COD",Orders!$F$2:$F$20001,"RTO"))</f>
        <v/>
      </c>
      <c r="C1063" s="17" t="str">
        <f aca="false">IF($A1063="","",COUNTIFS(Orders!$C$2:$C$20001,$A1063,Orders!$E$2:$E$20001,"COD",Orders!$F$2:$F$20001,"RTO"))</f>
        <v/>
      </c>
      <c r="D1063" s="18" t="str">
        <f aca="false">IF($A1063="","",IFERROR(C1063/B1063,0))</f>
        <v/>
      </c>
      <c r="E1063" s="17" t="str">
        <f aca="false">IF($A1063="","",COUNTIFS(Orders!$C$2:$C$20001,$A1063,Orders!$E$2:$E$20001,"Prepaid",Orders!$F$2:$F$20001,"Delivered")+COUNTIFS(Orders!$C$2:$C$20001,$A1063,Orders!$E$2:$E$20001,"Prepaid",Orders!$F$2:$F$20001,"RTO"))</f>
        <v/>
      </c>
      <c r="F1063" s="17" t="str">
        <f aca="false">IF($A1063="","",COUNTIFS(Orders!$C$2:$C$20001,$A1063,Orders!$E$2:$E$20001,"Prepaid",Orders!$F$2:$F$20001,"RTO"))</f>
        <v/>
      </c>
      <c r="G1063" s="18" t="str">
        <f aca="false">IF($A1063="","",IFERROR(F1063/E1063,0))</f>
        <v/>
      </c>
      <c r="H1063" s="19" t="str">
        <f aca="false">IF($A1063="","",C1063*Settings!$B$11)</f>
        <v/>
      </c>
      <c r="I1063" s="20" t="str">
        <f aca="false">IF($A1063="","",IF(N(H1063)=0,"",RANK(H1063,$H$5:$H$2004)))</f>
        <v/>
      </c>
      <c r="J1063" s="21" t="str">
        <f aca="false">IF($A1063="","",IF(B1063=0,"No COD orders",IF(B1063&lt;Settings!$B$8,"Too few orders",IF(D1063&gt;=Settings!$B$9,"Restrict COD or verify","Keep COD"))))</f>
        <v/>
      </c>
    </row>
    <row r="1064" customFormat="false" ht="15" hidden="false" customHeight="false" outlineLevel="0" collapsed="false">
      <c r="A1064" s="27"/>
      <c r="B1064" s="17" t="str">
        <f aca="false">IF($A1064="","",COUNTIFS(Orders!$C$2:$C$20001,$A1064,Orders!$E$2:$E$20001,"COD",Orders!$F$2:$F$20001,"Delivered")+COUNTIFS(Orders!$C$2:$C$20001,$A1064,Orders!$E$2:$E$20001,"COD",Orders!$F$2:$F$20001,"RTO"))</f>
        <v/>
      </c>
      <c r="C1064" s="17" t="str">
        <f aca="false">IF($A1064="","",COUNTIFS(Orders!$C$2:$C$20001,$A1064,Orders!$E$2:$E$20001,"COD",Orders!$F$2:$F$20001,"RTO"))</f>
        <v/>
      </c>
      <c r="D1064" s="18" t="str">
        <f aca="false">IF($A1064="","",IFERROR(C1064/B1064,0))</f>
        <v/>
      </c>
      <c r="E1064" s="17" t="str">
        <f aca="false">IF($A1064="","",COUNTIFS(Orders!$C$2:$C$20001,$A1064,Orders!$E$2:$E$20001,"Prepaid",Orders!$F$2:$F$20001,"Delivered")+COUNTIFS(Orders!$C$2:$C$20001,$A1064,Orders!$E$2:$E$20001,"Prepaid",Orders!$F$2:$F$20001,"RTO"))</f>
        <v/>
      </c>
      <c r="F1064" s="17" t="str">
        <f aca="false">IF($A1064="","",COUNTIFS(Orders!$C$2:$C$20001,$A1064,Orders!$E$2:$E$20001,"Prepaid",Orders!$F$2:$F$20001,"RTO"))</f>
        <v/>
      </c>
      <c r="G1064" s="18" t="str">
        <f aca="false">IF($A1064="","",IFERROR(F1064/E1064,0))</f>
        <v/>
      </c>
      <c r="H1064" s="19" t="str">
        <f aca="false">IF($A1064="","",C1064*Settings!$B$11)</f>
        <v/>
      </c>
      <c r="I1064" s="20" t="str">
        <f aca="false">IF($A1064="","",IF(N(H1064)=0,"",RANK(H1064,$H$5:$H$2004)))</f>
        <v/>
      </c>
      <c r="J1064" s="21" t="str">
        <f aca="false">IF($A1064="","",IF(B1064=0,"No COD orders",IF(B1064&lt;Settings!$B$8,"Too few orders",IF(D1064&gt;=Settings!$B$9,"Restrict COD or verify","Keep COD"))))</f>
        <v/>
      </c>
    </row>
    <row r="1065" customFormat="false" ht="15" hidden="false" customHeight="false" outlineLevel="0" collapsed="false">
      <c r="A1065" s="27"/>
      <c r="B1065" s="17" t="str">
        <f aca="false">IF($A1065="","",COUNTIFS(Orders!$C$2:$C$20001,$A1065,Orders!$E$2:$E$20001,"COD",Orders!$F$2:$F$20001,"Delivered")+COUNTIFS(Orders!$C$2:$C$20001,$A1065,Orders!$E$2:$E$20001,"COD",Orders!$F$2:$F$20001,"RTO"))</f>
        <v/>
      </c>
      <c r="C1065" s="17" t="str">
        <f aca="false">IF($A1065="","",COUNTIFS(Orders!$C$2:$C$20001,$A1065,Orders!$E$2:$E$20001,"COD",Orders!$F$2:$F$20001,"RTO"))</f>
        <v/>
      </c>
      <c r="D1065" s="18" t="str">
        <f aca="false">IF($A1065="","",IFERROR(C1065/B1065,0))</f>
        <v/>
      </c>
      <c r="E1065" s="17" t="str">
        <f aca="false">IF($A1065="","",COUNTIFS(Orders!$C$2:$C$20001,$A1065,Orders!$E$2:$E$20001,"Prepaid",Orders!$F$2:$F$20001,"Delivered")+COUNTIFS(Orders!$C$2:$C$20001,$A1065,Orders!$E$2:$E$20001,"Prepaid",Orders!$F$2:$F$20001,"RTO"))</f>
        <v/>
      </c>
      <c r="F1065" s="17" t="str">
        <f aca="false">IF($A1065="","",COUNTIFS(Orders!$C$2:$C$20001,$A1065,Orders!$E$2:$E$20001,"Prepaid",Orders!$F$2:$F$20001,"RTO"))</f>
        <v/>
      </c>
      <c r="G1065" s="18" t="str">
        <f aca="false">IF($A1065="","",IFERROR(F1065/E1065,0))</f>
        <v/>
      </c>
      <c r="H1065" s="19" t="str">
        <f aca="false">IF($A1065="","",C1065*Settings!$B$11)</f>
        <v/>
      </c>
      <c r="I1065" s="20" t="str">
        <f aca="false">IF($A1065="","",IF(N(H1065)=0,"",RANK(H1065,$H$5:$H$2004)))</f>
        <v/>
      </c>
      <c r="J1065" s="21" t="str">
        <f aca="false">IF($A1065="","",IF(B1065=0,"No COD orders",IF(B1065&lt;Settings!$B$8,"Too few orders",IF(D1065&gt;=Settings!$B$9,"Restrict COD or verify","Keep COD"))))</f>
        <v/>
      </c>
    </row>
    <row r="1066" customFormat="false" ht="15" hidden="false" customHeight="false" outlineLevel="0" collapsed="false">
      <c r="A1066" s="27"/>
      <c r="B1066" s="17" t="str">
        <f aca="false">IF($A1066="","",COUNTIFS(Orders!$C$2:$C$20001,$A1066,Orders!$E$2:$E$20001,"COD",Orders!$F$2:$F$20001,"Delivered")+COUNTIFS(Orders!$C$2:$C$20001,$A1066,Orders!$E$2:$E$20001,"COD",Orders!$F$2:$F$20001,"RTO"))</f>
        <v/>
      </c>
      <c r="C1066" s="17" t="str">
        <f aca="false">IF($A1066="","",COUNTIFS(Orders!$C$2:$C$20001,$A1066,Orders!$E$2:$E$20001,"COD",Orders!$F$2:$F$20001,"RTO"))</f>
        <v/>
      </c>
      <c r="D1066" s="18" t="str">
        <f aca="false">IF($A1066="","",IFERROR(C1066/B1066,0))</f>
        <v/>
      </c>
      <c r="E1066" s="17" t="str">
        <f aca="false">IF($A1066="","",COUNTIFS(Orders!$C$2:$C$20001,$A1066,Orders!$E$2:$E$20001,"Prepaid",Orders!$F$2:$F$20001,"Delivered")+COUNTIFS(Orders!$C$2:$C$20001,$A1066,Orders!$E$2:$E$20001,"Prepaid",Orders!$F$2:$F$20001,"RTO"))</f>
        <v/>
      </c>
      <c r="F1066" s="17" t="str">
        <f aca="false">IF($A1066="","",COUNTIFS(Orders!$C$2:$C$20001,$A1066,Orders!$E$2:$E$20001,"Prepaid",Orders!$F$2:$F$20001,"RTO"))</f>
        <v/>
      </c>
      <c r="G1066" s="18" t="str">
        <f aca="false">IF($A1066="","",IFERROR(F1066/E1066,0))</f>
        <v/>
      </c>
      <c r="H1066" s="19" t="str">
        <f aca="false">IF($A1066="","",C1066*Settings!$B$11)</f>
        <v/>
      </c>
      <c r="I1066" s="20" t="str">
        <f aca="false">IF($A1066="","",IF(N(H1066)=0,"",RANK(H1066,$H$5:$H$2004)))</f>
        <v/>
      </c>
      <c r="J1066" s="21" t="str">
        <f aca="false">IF($A1066="","",IF(B1066=0,"No COD orders",IF(B1066&lt;Settings!$B$8,"Too few orders",IF(D1066&gt;=Settings!$B$9,"Restrict COD or verify","Keep COD"))))</f>
        <v/>
      </c>
    </row>
    <row r="1067" customFormat="false" ht="15" hidden="false" customHeight="false" outlineLevel="0" collapsed="false">
      <c r="A1067" s="27"/>
      <c r="B1067" s="17" t="str">
        <f aca="false">IF($A1067="","",COUNTIFS(Orders!$C$2:$C$20001,$A1067,Orders!$E$2:$E$20001,"COD",Orders!$F$2:$F$20001,"Delivered")+COUNTIFS(Orders!$C$2:$C$20001,$A1067,Orders!$E$2:$E$20001,"COD",Orders!$F$2:$F$20001,"RTO"))</f>
        <v/>
      </c>
      <c r="C1067" s="17" t="str">
        <f aca="false">IF($A1067="","",COUNTIFS(Orders!$C$2:$C$20001,$A1067,Orders!$E$2:$E$20001,"COD",Orders!$F$2:$F$20001,"RTO"))</f>
        <v/>
      </c>
      <c r="D1067" s="18" t="str">
        <f aca="false">IF($A1067="","",IFERROR(C1067/B1067,0))</f>
        <v/>
      </c>
      <c r="E1067" s="17" t="str">
        <f aca="false">IF($A1067="","",COUNTIFS(Orders!$C$2:$C$20001,$A1067,Orders!$E$2:$E$20001,"Prepaid",Orders!$F$2:$F$20001,"Delivered")+COUNTIFS(Orders!$C$2:$C$20001,$A1067,Orders!$E$2:$E$20001,"Prepaid",Orders!$F$2:$F$20001,"RTO"))</f>
        <v/>
      </c>
      <c r="F1067" s="17" t="str">
        <f aca="false">IF($A1067="","",COUNTIFS(Orders!$C$2:$C$20001,$A1067,Orders!$E$2:$E$20001,"Prepaid",Orders!$F$2:$F$20001,"RTO"))</f>
        <v/>
      </c>
      <c r="G1067" s="18" t="str">
        <f aca="false">IF($A1067="","",IFERROR(F1067/E1067,0))</f>
        <v/>
      </c>
      <c r="H1067" s="19" t="str">
        <f aca="false">IF($A1067="","",C1067*Settings!$B$11)</f>
        <v/>
      </c>
      <c r="I1067" s="20" t="str">
        <f aca="false">IF($A1067="","",IF(N(H1067)=0,"",RANK(H1067,$H$5:$H$2004)))</f>
        <v/>
      </c>
      <c r="J1067" s="21" t="str">
        <f aca="false">IF($A1067="","",IF(B1067=0,"No COD orders",IF(B1067&lt;Settings!$B$8,"Too few orders",IF(D1067&gt;=Settings!$B$9,"Restrict COD or verify","Keep COD"))))</f>
        <v/>
      </c>
    </row>
    <row r="1068" customFormat="false" ht="15" hidden="false" customHeight="false" outlineLevel="0" collapsed="false">
      <c r="A1068" s="27"/>
      <c r="B1068" s="17" t="str">
        <f aca="false">IF($A1068="","",COUNTIFS(Orders!$C$2:$C$20001,$A1068,Orders!$E$2:$E$20001,"COD",Orders!$F$2:$F$20001,"Delivered")+COUNTIFS(Orders!$C$2:$C$20001,$A1068,Orders!$E$2:$E$20001,"COD",Orders!$F$2:$F$20001,"RTO"))</f>
        <v/>
      </c>
      <c r="C1068" s="17" t="str">
        <f aca="false">IF($A1068="","",COUNTIFS(Orders!$C$2:$C$20001,$A1068,Orders!$E$2:$E$20001,"COD",Orders!$F$2:$F$20001,"RTO"))</f>
        <v/>
      </c>
      <c r="D1068" s="18" t="str">
        <f aca="false">IF($A1068="","",IFERROR(C1068/B1068,0))</f>
        <v/>
      </c>
      <c r="E1068" s="17" t="str">
        <f aca="false">IF($A1068="","",COUNTIFS(Orders!$C$2:$C$20001,$A1068,Orders!$E$2:$E$20001,"Prepaid",Orders!$F$2:$F$20001,"Delivered")+COUNTIFS(Orders!$C$2:$C$20001,$A1068,Orders!$E$2:$E$20001,"Prepaid",Orders!$F$2:$F$20001,"RTO"))</f>
        <v/>
      </c>
      <c r="F1068" s="17" t="str">
        <f aca="false">IF($A1068="","",COUNTIFS(Orders!$C$2:$C$20001,$A1068,Orders!$E$2:$E$20001,"Prepaid",Orders!$F$2:$F$20001,"RTO"))</f>
        <v/>
      </c>
      <c r="G1068" s="18" t="str">
        <f aca="false">IF($A1068="","",IFERROR(F1068/E1068,0))</f>
        <v/>
      </c>
      <c r="H1068" s="19" t="str">
        <f aca="false">IF($A1068="","",C1068*Settings!$B$11)</f>
        <v/>
      </c>
      <c r="I1068" s="20" t="str">
        <f aca="false">IF($A1068="","",IF(N(H1068)=0,"",RANK(H1068,$H$5:$H$2004)))</f>
        <v/>
      </c>
      <c r="J1068" s="21" t="str">
        <f aca="false">IF($A1068="","",IF(B1068=0,"No COD orders",IF(B1068&lt;Settings!$B$8,"Too few orders",IF(D1068&gt;=Settings!$B$9,"Restrict COD or verify","Keep COD"))))</f>
        <v/>
      </c>
    </row>
    <row r="1069" customFormat="false" ht="15" hidden="false" customHeight="false" outlineLevel="0" collapsed="false">
      <c r="A1069" s="27"/>
      <c r="B1069" s="17" t="str">
        <f aca="false">IF($A1069="","",COUNTIFS(Orders!$C$2:$C$20001,$A1069,Orders!$E$2:$E$20001,"COD",Orders!$F$2:$F$20001,"Delivered")+COUNTIFS(Orders!$C$2:$C$20001,$A1069,Orders!$E$2:$E$20001,"COD",Orders!$F$2:$F$20001,"RTO"))</f>
        <v/>
      </c>
      <c r="C1069" s="17" t="str">
        <f aca="false">IF($A1069="","",COUNTIFS(Orders!$C$2:$C$20001,$A1069,Orders!$E$2:$E$20001,"COD",Orders!$F$2:$F$20001,"RTO"))</f>
        <v/>
      </c>
      <c r="D1069" s="18" t="str">
        <f aca="false">IF($A1069="","",IFERROR(C1069/B1069,0))</f>
        <v/>
      </c>
      <c r="E1069" s="17" t="str">
        <f aca="false">IF($A1069="","",COUNTIFS(Orders!$C$2:$C$20001,$A1069,Orders!$E$2:$E$20001,"Prepaid",Orders!$F$2:$F$20001,"Delivered")+COUNTIFS(Orders!$C$2:$C$20001,$A1069,Orders!$E$2:$E$20001,"Prepaid",Orders!$F$2:$F$20001,"RTO"))</f>
        <v/>
      </c>
      <c r="F1069" s="17" t="str">
        <f aca="false">IF($A1069="","",COUNTIFS(Orders!$C$2:$C$20001,$A1069,Orders!$E$2:$E$20001,"Prepaid",Orders!$F$2:$F$20001,"RTO"))</f>
        <v/>
      </c>
      <c r="G1069" s="18" t="str">
        <f aca="false">IF($A1069="","",IFERROR(F1069/E1069,0))</f>
        <v/>
      </c>
      <c r="H1069" s="19" t="str">
        <f aca="false">IF($A1069="","",C1069*Settings!$B$11)</f>
        <v/>
      </c>
      <c r="I1069" s="20" t="str">
        <f aca="false">IF($A1069="","",IF(N(H1069)=0,"",RANK(H1069,$H$5:$H$2004)))</f>
        <v/>
      </c>
      <c r="J1069" s="21" t="str">
        <f aca="false">IF($A1069="","",IF(B1069=0,"No COD orders",IF(B1069&lt;Settings!$B$8,"Too few orders",IF(D1069&gt;=Settings!$B$9,"Restrict COD or verify","Keep COD"))))</f>
        <v/>
      </c>
    </row>
    <row r="1070" customFormat="false" ht="15" hidden="false" customHeight="false" outlineLevel="0" collapsed="false">
      <c r="A1070" s="27"/>
      <c r="B1070" s="17" t="str">
        <f aca="false">IF($A1070="","",COUNTIFS(Orders!$C$2:$C$20001,$A1070,Orders!$E$2:$E$20001,"COD",Orders!$F$2:$F$20001,"Delivered")+COUNTIFS(Orders!$C$2:$C$20001,$A1070,Orders!$E$2:$E$20001,"COD",Orders!$F$2:$F$20001,"RTO"))</f>
        <v/>
      </c>
      <c r="C1070" s="17" t="str">
        <f aca="false">IF($A1070="","",COUNTIFS(Orders!$C$2:$C$20001,$A1070,Orders!$E$2:$E$20001,"COD",Orders!$F$2:$F$20001,"RTO"))</f>
        <v/>
      </c>
      <c r="D1070" s="18" t="str">
        <f aca="false">IF($A1070="","",IFERROR(C1070/B1070,0))</f>
        <v/>
      </c>
      <c r="E1070" s="17" t="str">
        <f aca="false">IF($A1070="","",COUNTIFS(Orders!$C$2:$C$20001,$A1070,Orders!$E$2:$E$20001,"Prepaid",Orders!$F$2:$F$20001,"Delivered")+COUNTIFS(Orders!$C$2:$C$20001,$A1070,Orders!$E$2:$E$20001,"Prepaid",Orders!$F$2:$F$20001,"RTO"))</f>
        <v/>
      </c>
      <c r="F1070" s="17" t="str">
        <f aca="false">IF($A1070="","",COUNTIFS(Orders!$C$2:$C$20001,$A1070,Orders!$E$2:$E$20001,"Prepaid",Orders!$F$2:$F$20001,"RTO"))</f>
        <v/>
      </c>
      <c r="G1070" s="18" t="str">
        <f aca="false">IF($A1070="","",IFERROR(F1070/E1070,0))</f>
        <v/>
      </c>
      <c r="H1070" s="19" t="str">
        <f aca="false">IF($A1070="","",C1070*Settings!$B$11)</f>
        <v/>
      </c>
      <c r="I1070" s="20" t="str">
        <f aca="false">IF($A1070="","",IF(N(H1070)=0,"",RANK(H1070,$H$5:$H$2004)))</f>
        <v/>
      </c>
      <c r="J1070" s="21" t="str">
        <f aca="false">IF($A1070="","",IF(B1070=0,"No COD orders",IF(B1070&lt;Settings!$B$8,"Too few orders",IF(D1070&gt;=Settings!$B$9,"Restrict COD or verify","Keep COD"))))</f>
        <v/>
      </c>
    </row>
    <row r="1071" customFormat="false" ht="15" hidden="false" customHeight="false" outlineLevel="0" collapsed="false">
      <c r="A1071" s="27"/>
      <c r="B1071" s="17" t="str">
        <f aca="false">IF($A1071="","",COUNTIFS(Orders!$C$2:$C$20001,$A1071,Orders!$E$2:$E$20001,"COD",Orders!$F$2:$F$20001,"Delivered")+COUNTIFS(Orders!$C$2:$C$20001,$A1071,Orders!$E$2:$E$20001,"COD",Orders!$F$2:$F$20001,"RTO"))</f>
        <v/>
      </c>
      <c r="C1071" s="17" t="str">
        <f aca="false">IF($A1071="","",COUNTIFS(Orders!$C$2:$C$20001,$A1071,Orders!$E$2:$E$20001,"COD",Orders!$F$2:$F$20001,"RTO"))</f>
        <v/>
      </c>
      <c r="D1071" s="18" t="str">
        <f aca="false">IF($A1071="","",IFERROR(C1071/B1071,0))</f>
        <v/>
      </c>
      <c r="E1071" s="17" t="str">
        <f aca="false">IF($A1071="","",COUNTIFS(Orders!$C$2:$C$20001,$A1071,Orders!$E$2:$E$20001,"Prepaid",Orders!$F$2:$F$20001,"Delivered")+COUNTIFS(Orders!$C$2:$C$20001,$A1071,Orders!$E$2:$E$20001,"Prepaid",Orders!$F$2:$F$20001,"RTO"))</f>
        <v/>
      </c>
      <c r="F1071" s="17" t="str">
        <f aca="false">IF($A1071="","",COUNTIFS(Orders!$C$2:$C$20001,$A1071,Orders!$E$2:$E$20001,"Prepaid",Orders!$F$2:$F$20001,"RTO"))</f>
        <v/>
      </c>
      <c r="G1071" s="18" t="str">
        <f aca="false">IF($A1071="","",IFERROR(F1071/E1071,0))</f>
        <v/>
      </c>
      <c r="H1071" s="19" t="str">
        <f aca="false">IF($A1071="","",C1071*Settings!$B$11)</f>
        <v/>
      </c>
      <c r="I1071" s="20" t="str">
        <f aca="false">IF($A1071="","",IF(N(H1071)=0,"",RANK(H1071,$H$5:$H$2004)))</f>
        <v/>
      </c>
      <c r="J1071" s="21" t="str">
        <f aca="false">IF($A1071="","",IF(B1071=0,"No COD orders",IF(B1071&lt;Settings!$B$8,"Too few orders",IF(D1071&gt;=Settings!$B$9,"Restrict COD or verify","Keep COD"))))</f>
        <v/>
      </c>
    </row>
    <row r="1072" customFormat="false" ht="15" hidden="false" customHeight="false" outlineLevel="0" collapsed="false">
      <c r="A1072" s="27"/>
      <c r="B1072" s="17" t="str">
        <f aca="false">IF($A1072="","",COUNTIFS(Orders!$C$2:$C$20001,$A1072,Orders!$E$2:$E$20001,"COD",Orders!$F$2:$F$20001,"Delivered")+COUNTIFS(Orders!$C$2:$C$20001,$A1072,Orders!$E$2:$E$20001,"COD",Orders!$F$2:$F$20001,"RTO"))</f>
        <v/>
      </c>
      <c r="C1072" s="17" t="str">
        <f aca="false">IF($A1072="","",COUNTIFS(Orders!$C$2:$C$20001,$A1072,Orders!$E$2:$E$20001,"COD",Orders!$F$2:$F$20001,"RTO"))</f>
        <v/>
      </c>
      <c r="D1072" s="18" t="str">
        <f aca="false">IF($A1072="","",IFERROR(C1072/B1072,0))</f>
        <v/>
      </c>
      <c r="E1072" s="17" t="str">
        <f aca="false">IF($A1072="","",COUNTIFS(Orders!$C$2:$C$20001,$A1072,Orders!$E$2:$E$20001,"Prepaid",Orders!$F$2:$F$20001,"Delivered")+COUNTIFS(Orders!$C$2:$C$20001,$A1072,Orders!$E$2:$E$20001,"Prepaid",Orders!$F$2:$F$20001,"RTO"))</f>
        <v/>
      </c>
      <c r="F1072" s="17" t="str">
        <f aca="false">IF($A1072="","",COUNTIFS(Orders!$C$2:$C$20001,$A1072,Orders!$E$2:$E$20001,"Prepaid",Orders!$F$2:$F$20001,"RTO"))</f>
        <v/>
      </c>
      <c r="G1072" s="18" t="str">
        <f aca="false">IF($A1072="","",IFERROR(F1072/E1072,0))</f>
        <v/>
      </c>
      <c r="H1072" s="19" t="str">
        <f aca="false">IF($A1072="","",C1072*Settings!$B$11)</f>
        <v/>
      </c>
      <c r="I1072" s="20" t="str">
        <f aca="false">IF($A1072="","",IF(N(H1072)=0,"",RANK(H1072,$H$5:$H$2004)))</f>
        <v/>
      </c>
      <c r="J1072" s="21" t="str">
        <f aca="false">IF($A1072="","",IF(B1072=0,"No COD orders",IF(B1072&lt;Settings!$B$8,"Too few orders",IF(D1072&gt;=Settings!$B$9,"Restrict COD or verify","Keep COD"))))</f>
        <v/>
      </c>
    </row>
    <row r="1073" customFormat="false" ht="15" hidden="false" customHeight="false" outlineLevel="0" collapsed="false">
      <c r="A1073" s="27"/>
      <c r="B1073" s="17" t="str">
        <f aca="false">IF($A1073="","",COUNTIFS(Orders!$C$2:$C$20001,$A1073,Orders!$E$2:$E$20001,"COD",Orders!$F$2:$F$20001,"Delivered")+COUNTIFS(Orders!$C$2:$C$20001,$A1073,Orders!$E$2:$E$20001,"COD",Orders!$F$2:$F$20001,"RTO"))</f>
        <v/>
      </c>
      <c r="C1073" s="17" t="str">
        <f aca="false">IF($A1073="","",COUNTIFS(Orders!$C$2:$C$20001,$A1073,Orders!$E$2:$E$20001,"COD",Orders!$F$2:$F$20001,"RTO"))</f>
        <v/>
      </c>
      <c r="D1073" s="18" t="str">
        <f aca="false">IF($A1073="","",IFERROR(C1073/B1073,0))</f>
        <v/>
      </c>
      <c r="E1073" s="17" t="str">
        <f aca="false">IF($A1073="","",COUNTIFS(Orders!$C$2:$C$20001,$A1073,Orders!$E$2:$E$20001,"Prepaid",Orders!$F$2:$F$20001,"Delivered")+COUNTIFS(Orders!$C$2:$C$20001,$A1073,Orders!$E$2:$E$20001,"Prepaid",Orders!$F$2:$F$20001,"RTO"))</f>
        <v/>
      </c>
      <c r="F1073" s="17" t="str">
        <f aca="false">IF($A1073="","",COUNTIFS(Orders!$C$2:$C$20001,$A1073,Orders!$E$2:$E$20001,"Prepaid",Orders!$F$2:$F$20001,"RTO"))</f>
        <v/>
      </c>
      <c r="G1073" s="18" t="str">
        <f aca="false">IF($A1073="","",IFERROR(F1073/E1073,0))</f>
        <v/>
      </c>
      <c r="H1073" s="19" t="str">
        <f aca="false">IF($A1073="","",C1073*Settings!$B$11)</f>
        <v/>
      </c>
      <c r="I1073" s="20" t="str">
        <f aca="false">IF($A1073="","",IF(N(H1073)=0,"",RANK(H1073,$H$5:$H$2004)))</f>
        <v/>
      </c>
      <c r="J1073" s="21" t="str">
        <f aca="false">IF($A1073="","",IF(B1073=0,"No COD orders",IF(B1073&lt;Settings!$B$8,"Too few orders",IF(D1073&gt;=Settings!$B$9,"Restrict COD or verify","Keep COD"))))</f>
        <v/>
      </c>
    </row>
    <row r="1074" customFormat="false" ht="15" hidden="false" customHeight="false" outlineLevel="0" collapsed="false">
      <c r="A1074" s="27"/>
      <c r="B1074" s="17" t="str">
        <f aca="false">IF($A1074="","",COUNTIFS(Orders!$C$2:$C$20001,$A1074,Orders!$E$2:$E$20001,"COD",Orders!$F$2:$F$20001,"Delivered")+COUNTIFS(Orders!$C$2:$C$20001,$A1074,Orders!$E$2:$E$20001,"COD",Orders!$F$2:$F$20001,"RTO"))</f>
        <v/>
      </c>
      <c r="C1074" s="17" t="str">
        <f aca="false">IF($A1074="","",COUNTIFS(Orders!$C$2:$C$20001,$A1074,Orders!$E$2:$E$20001,"COD",Orders!$F$2:$F$20001,"RTO"))</f>
        <v/>
      </c>
      <c r="D1074" s="18" t="str">
        <f aca="false">IF($A1074="","",IFERROR(C1074/B1074,0))</f>
        <v/>
      </c>
      <c r="E1074" s="17" t="str">
        <f aca="false">IF($A1074="","",COUNTIFS(Orders!$C$2:$C$20001,$A1074,Orders!$E$2:$E$20001,"Prepaid",Orders!$F$2:$F$20001,"Delivered")+COUNTIFS(Orders!$C$2:$C$20001,$A1074,Orders!$E$2:$E$20001,"Prepaid",Orders!$F$2:$F$20001,"RTO"))</f>
        <v/>
      </c>
      <c r="F1074" s="17" t="str">
        <f aca="false">IF($A1074="","",COUNTIFS(Orders!$C$2:$C$20001,$A1074,Orders!$E$2:$E$20001,"Prepaid",Orders!$F$2:$F$20001,"RTO"))</f>
        <v/>
      </c>
      <c r="G1074" s="18" t="str">
        <f aca="false">IF($A1074="","",IFERROR(F1074/E1074,0))</f>
        <v/>
      </c>
      <c r="H1074" s="19" t="str">
        <f aca="false">IF($A1074="","",C1074*Settings!$B$11)</f>
        <v/>
      </c>
      <c r="I1074" s="20" t="str">
        <f aca="false">IF($A1074="","",IF(N(H1074)=0,"",RANK(H1074,$H$5:$H$2004)))</f>
        <v/>
      </c>
      <c r="J1074" s="21" t="str">
        <f aca="false">IF($A1074="","",IF(B1074=0,"No COD orders",IF(B1074&lt;Settings!$B$8,"Too few orders",IF(D1074&gt;=Settings!$B$9,"Restrict COD or verify","Keep COD"))))</f>
        <v/>
      </c>
    </row>
    <row r="1075" customFormat="false" ht="15" hidden="false" customHeight="false" outlineLevel="0" collapsed="false">
      <c r="A1075" s="27"/>
      <c r="B1075" s="17" t="str">
        <f aca="false">IF($A1075="","",COUNTIFS(Orders!$C$2:$C$20001,$A1075,Orders!$E$2:$E$20001,"COD",Orders!$F$2:$F$20001,"Delivered")+COUNTIFS(Orders!$C$2:$C$20001,$A1075,Orders!$E$2:$E$20001,"COD",Orders!$F$2:$F$20001,"RTO"))</f>
        <v/>
      </c>
      <c r="C1075" s="17" t="str">
        <f aca="false">IF($A1075="","",COUNTIFS(Orders!$C$2:$C$20001,$A1075,Orders!$E$2:$E$20001,"COD",Orders!$F$2:$F$20001,"RTO"))</f>
        <v/>
      </c>
      <c r="D1075" s="18" t="str">
        <f aca="false">IF($A1075="","",IFERROR(C1075/B1075,0))</f>
        <v/>
      </c>
      <c r="E1075" s="17" t="str">
        <f aca="false">IF($A1075="","",COUNTIFS(Orders!$C$2:$C$20001,$A1075,Orders!$E$2:$E$20001,"Prepaid",Orders!$F$2:$F$20001,"Delivered")+COUNTIFS(Orders!$C$2:$C$20001,$A1075,Orders!$E$2:$E$20001,"Prepaid",Orders!$F$2:$F$20001,"RTO"))</f>
        <v/>
      </c>
      <c r="F1075" s="17" t="str">
        <f aca="false">IF($A1075="","",COUNTIFS(Orders!$C$2:$C$20001,$A1075,Orders!$E$2:$E$20001,"Prepaid",Orders!$F$2:$F$20001,"RTO"))</f>
        <v/>
      </c>
      <c r="G1075" s="18" t="str">
        <f aca="false">IF($A1075="","",IFERROR(F1075/E1075,0))</f>
        <v/>
      </c>
      <c r="H1075" s="19" t="str">
        <f aca="false">IF($A1075="","",C1075*Settings!$B$11)</f>
        <v/>
      </c>
      <c r="I1075" s="20" t="str">
        <f aca="false">IF($A1075="","",IF(N(H1075)=0,"",RANK(H1075,$H$5:$H$2004)))</f>
        <v/>
      </c>
      <c r="J1075" s="21" t="str">
        <f aca="false">IF($A1075="","",IF(B1075=0,"No COD orders",IF(B1075&lt;Settings!$B$8,"Too few orders",IF(D1075&gt;=Settings!$B$9,"Restrict COD or verify","Keep COD"))))</f>
        <v/>
      </c>
    </row>
    <row r="1076" customFormat="false" ht="15" hidden="false" customHeight="false" outlineLevel="0" collapsed="false">
      <c r="A1076" s="27"/>
      <c r="B1076" s="17" t="str">
        <f aca="false">IF($A1076="","",COUNTIFS(Orders!$C$2:$C$20001,$A1076,Orders!$E$2:$E$20001,"COD",Orders!$F$2:$F$20001,"Delivered")+COUNTIFS(Orders!$C$2:$C$20001,$A1076,Orders!$E$2:$E$20001,"COD",Orders!$F$2:$F$20001,"RTO"))</f>
        <v/>
      </c>
      <c r="C1076" s="17" t="str">
        <f aca="false">IF($A1076="","",COUNTIFS(Orders!$C$2:$C$20001,$A1076,Orders!$E$2:$E$20001,"COD",Orders!$F$2:$F$20001,"RTO"))</f>
        <v/>
      </c>
      <c r="D1076" s="18" t="str">
        <f aca="false">IF($A1076="","",IFERROR(C1076/B1076,0))</f>
        <v/>
      </c>
      <c r="E1076" s="17" t="str">
        <f aca="false">IF($A1076="","",COUNTIFS(Orders!$C$2:$C$20001,$A1076,Orders!$E$2:$E$20001,"Prepaid",Orders!$F$2:$F$20001,"Delivered")+COUNTIFS(Orders!$C$2:$C$20001,$A1076,Orders!$E$2:$E$20001,"Prepaid",Orders!$F$2:$F$20001,"RTO"))</f>
        <v/>
      </c>
      <c r="F1076" s="17" t="str">
        <f aca="false">IF($A1076="","",COUNTIFS(Orders!$C$2:$C$20001,$A1076,Orders!$E$2:$E$20001,"Prepaid",Orders!$F$2:$F$20001,"RTO"))</f>
        <v/>
      </c>
      <c r="G1076" s="18" t="str">
        <f aca="false">IF($A1076="","",IFERROR(F1076/E1076,0))</f>
        <v/>
      </c>
      <c r="H1076" s="19" t="str">
        <f aca="false">IF($A1076="","",C1076*Settings!$B$11)</f>
        <v/>
      </c>
      <c r="I1076" s="20" t="str">
        <f aca="false">IF($A1076="","",IF(N(H1076)=0,"",RANK(H1076,$H$5:$H$2004)))</f>
        <v/>
      </c>
      <c r="J1076" s="21" t="str">
        <f aca="false">IF($A1076="","",IF(B1076=0,"No COD orders",IF(B1076&lt;Settings!$B$8,"Too few orders",IF(D1076&gt;=Settings!$B$9,"Restrict COD or verify","Keep COD"))))</f>
        <v/>
      </c>
    </row>
    <row r="1077" customFormat="false" ht="15" hidden="false" customHeight="false" outlineLevel="0" collapsed="false">
      <c r="A1077" s="27"/>
      <c r="B1077" s="17" t="str">
        <f aca="false">IF($A1077="","",COUNTIFS(Orders!$C$2:$C$20001,$A1077,Orders!$E$2:$E$20001,"COD",Orders!$F$2:$F$20001,"Delivered")+COUNTIFS(Orders!$C$2:$C$20001,$A1077,Orders!$E$2:$E$20001,"COD",Orders!$F$2:$F$20001,"RTO"))</f>
        <v/>
      </c>
      <c r="C1077" s="17" t="str">
        <f aca="false">IF($A1077="","",COUNTIFS(Orders!$C$2:$C$20001,$A1077,Orders!$E$2:$E$20001,"COD",Orders!$F$2:$F$20001,"RTO"))</f>
        <v/>
      </c>
      <c r="D1077" s="18" t="str">
        <f aca="false">IF($A1077="","",IFERROR(C1077/B1077,0))</f>
        <v/>
      </c>
      <c r="E1077" s="17" t="str">
        <f aca="false">IF($A1077="","",COUNTIFS(Orders!$C$2:$C$20001,$A1077,Orders!$E$2:$E$20001,"Prepaid",Orders!$F$2:$F$20001,"Delivered")+COUNTIFS(Orders!$C$2:$C$20001,$A1077,Orders!$E$2:$E$20001,"Prepaid",Orders!$F$2:$F$20001,"RTO"))</f>
        <v/>
      </c>
      <c r="F1077" s="17" t="str">
        <f aca="false">IF($A1077="","",COUNTIFS(Orders!$C$2:$C$20001,$A1077,Orders!$E$2:$E$20001,"Prepaid",Orders!$F$2:$F$20001,"RTO"))</f>
        <v/>
      </c>
      <c r="G1077" s="18" t="str">
        <f aca="false">IF($A1077="","",IFERROR(F1077/E1077,0))</f>
        <v/>
      </c>
      <c r="H1077" s="19" t="str">
        <f aca="false">IF($A1077="","",C1077*Settings!$B$11)</f>
        <v/>
      </c>
      <c r="I1077" s="20" t="str">
        <f aca="false">IF($A1077="","",IF(N(H1077)=0,"",RANK(H1077,$H$5:$H$2004)))</f>
        <v/>
      </c>
      <c r="J1077" s="21" t="str">
        <f aca="false">IF($A1077="","",IF(B1077=0,"No COD orders",IF(B1077&lt;Settings!$B$8,"Too few orders",IF(D1077&gt;=Settings!$B$9,"Restrict COD or verify","Keep COD"))))</f>
        <v/>
      </c>
    </row>
    <row r="1078" customFormat="false" ht="15" hidden="false" customHeight="false" outlineLevel="0" collapsed="false">
      <c r="A1078" s="27"/>
      <c r="B1078" s="17" t="str">
        <f aca="false">IF($A1078="","",COUNTIFS(Orders!$C$2:$C$20001,$A1078,Orders!$E$2:$E$20001,"COD",Orders!$F$2:$F$20001,"Delivered")+COUNTIFS(Orders!$C$2:$C$20001,$A1078,Orders!$E$2:$E$20001,"COD",Orders!$F$2:$F$20001,"RTO"))</f>
        <v/>
      </c>
      <c r="C1078" s="17" t="str">
        <f aca="false">IF($A1078="","",COUNTIFS(Orders!$C$2:$C$20001,$A1078,Orders!$E$2:$E$20001,"COD",Orders!$F$2:$F$20001,"RTO"))</f>
        <v/>
      </c>
      <c r="D1078" s="18" t="str">
        <f aca="false">IF($A1078="","",IFERROR(C1078/B1078,0))</f>
        <v/>
      </c>
      <c r="E1078" s="17" t="str">
        <f aca="false">IF($A1078="","",COUNTIFS(Orders!$C$2:$C$20001,$A1078,Orders!$E$2:$E$20001,"Prepaid",Orders!$F$2:$F$20001,"Delivered")+COUNTIFS(Orders!$C$2:$C$20001,$A1078,Orders!$E$2:$E$20001,"Prepaid",Orders!$F$2:$F$20001,"RTO"))</f>
        <v/>
      </c>
      <c r="F1078" s="17" t="str">
        <f aca="false">IF($A1078="","",COUNTIFS(Orders!$C$2:$C$20001,$A1078,Orders!$E$2:$E$20001,"Prepaid",Orders!$F$2:$F$20001,"RTO"))</f>
        <v/>
      </c>
      <c r="G1078" s="18" t="str">
        <f aca="false">IF($A1078="","",IFERROR(F1078/E1078,0))</f>
        <v/>
      </c>
      <c r="H1078" s="19" t="str">
        <f aca="false">IF($A1078="","",C1078*Settings!$B$11)</f>
        <v/>
      </c>
      <c r="I1078" s="20" t="str">
        <f aca="false">IF($A1078="","",IF(N(H1078)=0,"",RANK(H1078,$H$5:$H$2004)))</f>
        <v/>
      </c>
      <c r="J1078" s="21" t="str">
        <f aca="false">IF($A1078="","",IF(B1078=0,"No COD orders",IF(B1078&lt;Settings!$B$8,"Too few orders",IF(D1078&gt;=Settings!$B$9,"Restrict COD or verify","Keep COD"))))</f>
        <v/>
      </c>
    </row>
    <row r="1079" customFormat="false" ht="15" hidden="false" customHeight="false" outlineLevel="0" collapsed="false">
      <c r="A1079" s="27"/>
      <c r="B1079" s="17" t="str">
        <f aca="false">IF($A1079="","",COUNTIFS(Orders!$C$2:$C$20001,$A1079,Orders!$E$2:$E$20001,"COD",Orders!$F$2:$F$20001,"Delivered")+COUNTIFS(Orders!$C$2:$C$20001,$A1079,Orders!$E$2:$E$20001,"COD",Orders!$F$2:$F$20001,"RTO"))</f>
        <v/>
      </c>
      <c r="C1079" s="17" t="str">
        <f aca="false">IF($A1079="","",COUNTIFS(Orders!$C$2:$C$20001,$A1079,Orders!$E$2:$E$20001,"COD",Orders!$F$2:$F$20001,"RTO"))</f>
        <v/>
      </c>
      <c r="D1079" s="18" t="str">
        <f aca="false">IF($A1079="","",IFERROR(C1079/B1079,0))</f>
        <v/>
      </c>
      <c r="E1079" s="17" t="str">
        <f aca="false">IF($A1079="","",COUNTIFS(Orders!$C$2:$C$20001,$A1079,Orders!$E$2:$E$20001,"Prepaid",Orders!$F$2:$F$20001,"Delivered")+COUNTIFS(Orders!$C$2:$C$20001,$A1079,Orders!$E$2:$E$20001,"Prepaid",Orders!$F$2:$F$20001,"RTO"))</f>
        <v/>
      </c>
      <c r="F1079" s="17" t="str">
        <f aca="false">IF($A1079="","",COUNTIFS(Orders!$C$2:$C$20001,$A1079,Orders!$E$2:$E$20001,"Prepaid",Orders!$F$2:$F$20001,"RTO"))</f>
        <v/>
      </c>
      <c r="G1079" s="18" t="str">
        <f aca="false">IF($A1079="","",IFERROR(F1079/E1079,0))</f>
        <v/>
      </c>
      <c r="H1079" s="19" t="str">
        <f aca="false">IF($A1079="","",C1079*Settings!$B$11)</f>
        <v/>
      </c>
      <c r="I1079" s="20" t="str">
        <f aca="false">IF($A1079="","",IF(N(H1079)=0,"",RANK(H1079,$H$5:$H$2004)))</f>
        <v/>
      </c>
      <c r="J1079" s="21" t="str">
        <f aca="false">IF($A1079="","",IF(B1079=0,"No COD orders",IF(B1079&lt;Settings!$B$8,"Too few orders",IF(D1079&gt;=Settings!$B$9,"Restrict COD or verify","Keep COD"))))</f>
        <v/>
      </c>
    </row>
    <row r="1080" customFormat="false" ht="15" hidden="false" customHeight="false" outlineLevel="0" collapsed="false">
      <c r="A1080" s="27"/>
      <c r="B1080" s="17" t="str">
        <f aca="false">IF($A1080="","",COUNTIFS(Orders!$C$2:$C$20001,$A1080,Orders!$E$2:$E$20001,"COD",Orders!$F$2:$F$20001,"Delivered")+COUNTIFS(Orders!$C$2:$C$20001,$A1080,Orders!$E$2:$E$20001,"COD",Orders!$F$2:$F$20001,"RTO"))</f>
        <v/>
      </c>
      <c r="C1080" s="17" t="str">
        <f aca="false">IF($A1080="","",COUNTIFS(Orders!$C$2:$C$20001,$A1080,Orders!$E$2:$E$20001,"COD",Orders!$F$2:$F$20001,"RTO"))</f>
        <v/>
      </c>
      <c r="D1080" s="18" t="str">
        <f aca="false">IF($A1080="","",IFERROR(C1080/B1080,0))</f>
        <v/>
      </c>
      <c r="E1080" s="17" t="str">
        <f aca="false">IF($A1080="","",COUNTIFS(Orders!$C$2:$C$20001,$A1080,Orders!$E$2:$E$20001,"Prepaid",Orders!$F$2:$F$20001,"Delivered")+COUNTIFS(Orders!$C$2:$C$20001,$A1080,Orders!$E$2:$E$20001,"Prepaid",Orders!$F$2:$F$20001,"RTO"))</f>
        <v/>
      </c>
      <c r="F1080" s="17" t="str">
        <f aca="false">IF($A1080="","",COUNTIFS(Orders!$C$2:$C$20001,$A1080,Orders!$E$2:$E$20001,"Prepaid",Orders!$F$2:$F$20001,"RTO"))</f>
        <v/>
      </c>
      <c r="G1080" s="18" t="str">
        <f aca="false">IF($A1080="","",IFERROR(F1080/E1080,0))</f>
        <v/>
      </c>
      <c r="H1080" s="19" t="str">
        <f aca="false">IF($A1080="","",C1080*Settings!$B$11)</f>
        <v/>
      </c>
      <c r="I1080" s="20" t="str">
        <f aca="false">IF($A1080="","",IF(N(H1080)=0,"",RANK(H1080,$H$5:$H$2004)))</f>
        <v/>
      </c>
      <c r="J1080" s="21" t="str">
        <f aca="false">IF($A1080="","",IF(B1080=0,"No COD orders",IF(B1080&lt;Settings!$B$8,"Too few orders",IF(D1080&gt;=Settings!$B$9,"Restrict COD or verify","Keep COD"))))</f>
        <v/>
      </c>
    </row>
    <row r="1081" customFormat="false" ht="15" hidden="false" customHeight="false" outlineLevel="0" collapsed="false">
      <c r="A1081" s="27"/>
      <c r="B1081" s="17" t="str">
        <f aca="false">IF($A1081="","",COUNTIFS(Orders!$C$2:$C$20001,$A1081,Orders!$E$2:$E$20001,"COD",Orders!$F$2:$F$20001,"Delivered")+COUNTIFS(Orders!$C$2:$C$20001,$A1081,Orders!$E$2:$E$20001,"COD",Orders!$F$2:$F$20001,"RTO"))</f>
        <v/>
      </c>
      <c r="C1081" s="17" t="str">
        <f aca="false">IF($A1081="","",COUNTIFS(Orders!$C$2:$C$20001,$A1081,Orders!$E$2:$E$20001,"COD",Orders!$F$2:$F$20001,"RTO"))</f>
        <v/>
      </c>
      <c r="D1081" s="18" t="str">
        <f aca="false">IF($A1081="","",IFERROR(C1081/B1081,0))</f>
        <v/>
      </c>
      <c r="E1081" s="17" t="str">
        <f aca="false">IF($A1081="","",COUNTIFS(Orders!$C$2:$C$20001,$A1081,Orders!$E$2:$E$20001,"Prepaid",Orders!$F$2:$F$20001,"Delivered")+COUNTIFS(Orders!$C$2:$C$20001,$A1081,Orders!$E$2:$E$20001,"Prepaid",Orders!$F$2:$F$20001,"RTO"))</f>
        <v/>
      </c>
      <c r="F1081" s="17" t="str">
        <f aca="false">IF($A1081="","",COUNTIFS(Orders!$C$2:$C$20001,$A1081,Orders!$E$2:$E$20001,"Prepaid",Orders!$F$2:$F$20001,"RTO"))</f>
        <v/>
      </c>
      <c r="G1081" s="18" t="str">
        <f aca="false">IF($A1081="","",IFERROR(F1081/E1081,0))</f>
        <v/>
      </c>
      <c r="H1081" s="19" t="str">
        <f aca="false">IF($A1081="","",C1081*Settings!$B$11)</f>
        <v/>
      </c>
      <c r="I1081" s="20" t="str">
        <f aca="false">IF($A1081="","",IF(N(H1081)=0,"",RANK(H1081,$H$5:$H$2004)))</f>
        <v/>
      </c>
      <c r="J1081" s="21" t="str">
        <f aca="false">IF($A1081="","",IF(B1081=0,"No COD orders",IF(B1081&lt;Settings!$B$8,"Too few orders",IF(D1081&gt;=Settings!$B$9,"Restrict COD or verify","Keep COD"))))</f>
        <v/>
      </c>
    </row>
    <row r="1082" customFormat="false" ht="15" hidden="false" customHeight="false" outlineLevel="0" collapsed="false">
      <c r="A1082" s="27"/>
      <c r="B1082" s="17" t="str">
        <f aca="false">IF($A1082="","",COUNTIFS(Orders!$C$2:$C$20001,$A1082,Orders!$E$2:$E$20001,"COD",Orders!$F$2:$F$20001,"Delivered")+COUNTIFS(Orders!$C$2:$C$20001,$A1082,Orders!$E$2:$E$20001,"COD",Orders!$F$2:$F$20001,"RTO"))</f>
        <v/>
      </c>
      <c r="C1082" s="17" t="str">
        <f aca="false">IF($A1082="","",COUNTIFS(Orders!$C$2:$C$20001,$A1082,Orders!$E$2:$E$20001,"COD",Orders!$F$2:$F$20001,"RTO"))</f>
        <v/>
      </c>
      <c r="D1082" s="18" t="str">
        <f aca="false">IF($A1082="","",IFERROR(C1082/B1082,0))</f>
        <v/>
      </c>
      <c r="E1082" s="17" t="str">
        <f aca="false">IF($A1082="","",COUNTIFS(Orders!$C$2:$C$20001,$A1082,Orders!$E$2:$E$20001,"Prepaid",Orders!$F$2:$F$20001,"Delivered")+COUNTIFS(Orders!$C$2:$C$20001,$A1082,Orders!$E$2:$E$20001,"Prepaid",Orders!$F$2:$F$20001,"RTO"))</f>
        <v/>
      </c>
      <c r="F1082" s="17" t="str">
        <f aca="false">IF($A1082="","",COUNTIFS(Orders!$C$2:$C$20001,$A1082,Orders!$E$2:$E$20001,"Prepaid",Orders!$F$2:$F$20001,"RTO"))</f>
        <v/>
      </c>
      <c r="G1082" s="18" t="str">
        <f aca="false">IF($A1082="","",IFERROR(F1082/E1082,0))</f>
        <v/>
      </c>
      <c r="H1082" s="19" t="str">
        <f aca="false">IF($A1082="","",C1082*Settings!$B$11)</f>
        <v/>
      </c>
      <c r="I1082" s="20" t="str">
        <f aca="false">IF($A1082="","",IF(N(H1082)=0,"",RANK(H1082,$H$5:$H$2004)))</f>
        <v/>
      </c>
      <c r="J1082" s="21" t="str">
        <f aca="false">IF($A1082="","",IF(B1082=0,"No COD orders",IF(B1082&lt;Settings!$B$8,"Too few orders",IF(D1082&gt;=Settings!$B$9,"Restrict COD or verify","Keep COD"))))</f>
        <v/>
      </c>
    </row>
    <row r="1083" customFormat="false" ht="15" hidden="false" customHeight="false" outlineLevel="0" collapsed="false">
      <c r="A1083" s="27"/>
      <c r="B1083" s="17" t="str">
        <f aca="false">IF($A1083="","",COUNTIFS(Orders!$C$2:$C$20001,$A1083,Orders!$E$2:$E$20001,"COD",Orders!$F$2:$F$20001,"Delivered")+COUNTIFS(Orders!$C$2:$C$20001,$A1083,Orders!$E$2:$E$20001,"COD",Orders!$F$2:$F$20001,"RTO"))</f>
        <v/>
      </c>
      <c r="C1083" s="17" t="str">
        <f aca="false">IF($A1083="","",COUNTIFS(Orders!$C$2:$C$20001,$A1083,Orders!$E$2:$E$20001,"COD",Orders!$F$2:$F$20001,"RTO"))</f>
        <v/>
      </c>
      <c r="D1083" s="18" t="str">
        <f aca="false">IF($A1083="","",IFERROR(C1083/B1083,0))</f>
        <v/>
      </c>
      <c r="E1083" s="17" t="str">
        <f aca="false">IF($A1083="","",COUNTIFS(Orders!$C$2:$C$20001,$A1083,Orders!$E$2:$E$20001,"Prepaid",Orders!$F$2:$F$20001,"Delivered")+COUNTIFS(Orders!$C$2:$C$20001,$A1083,Orders!$E$2:$E$20001,"Prepaid",Orders!$F$2:$F$20001,"RTO"))</f>
        <v/>
      </c>
      <c r="F1083" s="17" t="str">
        <f aca="false">IF($A1083="","",COUNTIFS(Orders!$C$2:$C$20001,$A1083,Orders!$E$2:$E$20001,"Prepaid",Orders!$F$2:$F$20001,"RTO"))</f>
        <v/>
      </c>
      <c r="G1083" s="18" t="str">
        <f aca="false">IF($A1083="","",IFERROR(F1083/E1083,0))</f>
        <v/>
      </c>
      <c r="H1083" s="19" t="str">
        <f aca="false">IF($A1083="","",C1083*Settings!$B$11)</f>
        <v/>
      </c>
      <c r="I1083" s="20" t="str">
        <f aca="false">IF($A1083="","",IF(N(H1083)=0,"",RANK(H1083,$H$5:$H$2004)))</f>
        <v/>
      </c>
      <c r="J1083" s="21" t="str">
        <f aca="false">IF($A1083="","",IF(B1083=0,"No COD orders",IF(B1083&lt;Settings!$B$8,"Too few orders",IF(D1083&gt;=Settings!$B$9,"Restrict COD or verify","Keep COD"))))</f>
        <v/>
      </c>
    </row>
    <row r="1084" customFormat="false" ht="15" hidden="false" customHeight="false" outlineLevel="0" collapsed="false">
      <c r="A1084" s="27"/>
      <c r="B1084" s="17" t="str">
        <f aca="false">IF($A1084="","",COUNTIFS(Orders!$C$2:$C$20001,$A1084,Orders!$E$2:$E$20001,"COD",Orders!$F$2:$F$20001,"Delivered")+COUNTIFS(Orders!$C$2:$C$20001,$A1084,Orders!$E$2:$E$20001,"COD",Orders!$F$2:$F$20001,"RTO"))</f>
        <v/>
      </c>
      <c r="C1084" s="17" t="str">
        <f aca="false">IF($A1084="","",COUNTIFS(Orders!$C$2:$C$20001,$A1084,Orders!$E$2:$E$20001,"COD",Orders!$F$2:$F$20001,"RTO"))</f>
        <v/>
      </c>
      <c r="D1084" s="18" t="str">
        <f aca="false">IF($A1084="","",IFERROR(C1084/B1084,0))</f>
        <v/>
      </c>
      <c r="E1084" s="17" t="str">
        <f aca="false">IF($A1084="","",COUNTIFS(Orders!$C$2:$C$20001,$A1084,Orders!$E$2:$E$20001,"Prepaid",Orders!$F$2:$F$20001,"Delivered")+COUNTIFS(Orders!$C$2:$C$20001,$A1084,Orders!$E$2:$E$20001,"Prepaid",Orders!$F$2:$F$20001,"RTO"))</f>
        <v/>
      </c>
      <c r="F1084" s="17" t="str">
        <f aca="false">IF($A1084="","",COUNTIFS(Orders!$C$2:$C$20001,$A1084,Orders!$E$2:$E$20001,"Prepaid",Orders!$F$2:$F$20001,"RTO"))</f>
        <v/>
      </c>
      <c r="G1084" s="18" t="str">
        <f aca="false">IF($A1084="","",IFERROR(F1084/E1084,0))</f>
        <v/>
      </c>
      <c r="H1084" s="19" t="str">
        <f aca="false">IF($A1084="","",C1084*Settings!$B$11)</f>
        <v/>
      </c>
      <c r="I1084" s="20" t="str">
        <f aca="false">IF($A1084="","",IF(N(H1084)=0,"",RANK(H1084,$H$5:$H$2004)))</f>
        <v/>
      </c>
      <c r="J1084" s="21" t="str">
        <f aca="false">IF($A1084="","",IF(B1084=0,"No COD orders",IF(B1084&lt;Settings!$B$8,"Too few orders",IF(D1084&gt;=Settings!$B$9,"Restrict COD or verify","Keep COD"))))</f>
        <v/>
      </c>
    </row>
    <row r="1085" customFormat="false" ht="15" hidden="false" customHeight="false" outlineLevel="0" collapsed="false">
      <c r="A1085" s="27"/>
      <c r="B1085" s="17" t="str">
        <f aca="false">IF($A1085="","",COUNTIFS(Orders!$C$2:$C$20001,$A1085,Orders!$E$2:$E$20001,"COD",Orders!$F$2:$F$20001,"Delivered")+COUNTIFS(Orders!$C$2:$C$20001,$A1085,Orders!$E$2:$E$20001,"COD",Orders!$F$2:$F$20001,"RTO"))</f>
        <v/>
      </c>
      <c r="C1085" s="17" t="str">
        <f aca="false">IF($A1085="","",COUNTIFS(Orders!$C$2:$C$20001,$A1085,Orders!$E$2:$E$20001,"COD",Orders!$F$2:$F$20001,"RTO"))</f>
        <v/>
      </c>
      <c r="D1085" s="18" t="str">
        <f aca="false">IF($A1085="","",IFERROR(C1085/B1085,0))</f>
        <v/>
      </c>
      <c r="E1085" s="17" t="str">
        <f aca="false">IF($A1085="","",COUNTIFS(Orders!$C$2:$C$20001,$A1085,Orders!$E$2:$E$20001,"Prepaid",Orders!$F$2:$F$20001,"Delivered")+COUNTIFS(Orders!$C$2:$C$20001,$A1085,Orders!$E$2:$E$20001,"Prepaid",Orders!$F$2:$F$20001,"RTO"))</f>
        <v/>
      </c>
      <c r="F1085" s="17" t="str">
        <f aca="false">IF($A1085="","",COUNTIFS(Orders!$C$2:$C$20001,$A1085,Orders!$E$2:$E$20001,"Prepaid",Orders!$F$2:$F$20001,"RTO"))</f>
        <v/>
      </c>
      <c r="G1085" s="18" t="str">
        <f aca="false">IF($A1085="","",IFERROR(F1085/E1085,0))</f>
        <v/>
      </c>
      <c r="H1085" s="19" t="str">
        <f aca="false">IF($A1085="","",C1085*Settings!$B$11)</f>
        <v/>
      </c>
      <c r="I1085" s="20" t="str">
        <f aca="false">IF($A1085="","",IF(N(H1085)=0,"",RANK(H1085,$H$5:$H$2004)))</f>
        <v/>
      </c>
      <c r="J1085" s="21" t="str">
        <f aca="false">IF($A1085="","",IF(B1085=0,"No COD orders",IF(B1085&lt;Settings!$B$8,"Too few orders",IF(D1085&gt;=Settings!$B$9,"Restrict COD or verify","Keep COD"))))</f>
        <v/>
      </c>
    </row>
    <row r="1086" customFormat="false" ht="15" hidden="false" customHeight="false" outlineLevel="0" collapsed="false">
      <c r="A1086" s="27"/>
      <c r="B1086" s="17" t="str">
        <f aca="false">IF($A1086="","",COUNTIFS(Orders!$C$2:$C$20001,$A1086,Orders!$E$2:$E$20001,"COD",Orders!$F$2:$F$20001,"Delivered")+COUNTIFS(Orders!$C$2:$C$20001,$A1086,Orders!$E$2:$E$20001,"COD",Orders!$F$2:$F$20001,"RTO"))</f>
        <v/>
      </c>
      <c r="C1086" s="17" t="str">
        <f aca="false">IF($A1086="","",COUNTIFS(Orders!$C$2:$C$20001,$A1086,Orders!$E$2:$E$20001,"COD",Orders!$F$2:$F$20001,"RTO"))</f>
        <v/>
      </c>
      <c r="D1086" s="18" t="str">
        <f aca="false">IF($A1086="","",IFERROR(C1086/B1086,0))</f>
        <v/>
      </c>
      <c r="E1086" s="17" t="str">
        <f aca="false">IF($A1086="","",COUNTIFS(Orders!$C$2:$C$20001,$A1086,Orders!$E$2:$E$20001,"Prepaid",Orders!$F$2:$F$20001,"Delivered")+COUNTIFS(Orders!$C$2:$C$20001,$A1086,Orders!$E$2:$E$20001,"Prepaid",Orders!$F$2:$F$20001,"RTO"))</f>
        <v/>
      </c>
      <c r="F1086" s="17" t="str">
        <f aca="false">IF($A1086="","",COUNTIFS(Orders!$C$2:$C$20001,$A1086,Orders!$E$2:$E$20001,"Prepaid",Orders!$F$2:$F$20001,"RTO"))</f>
        <v/>
      </c>
      <c r="G1086" s="18" t="str">
        <f aca="false">IF($A1086="","",IFERROR(F1086/E1086,0))</f>
        <v/>
      </c>
      <c r="H1086" s="19" t="str">
        <f aca="false">IF($A1086="","",C1086*Settings!$B$11)</f>
        <v/>
      </c>
      <c r="I1086" s="20" t="str">
        <f aca="false">IF($A1086="","",IF(N(H1086)=0,"",RANK(H1086,$H$5:$H$2004)))</f>
        <v/>
      </c>
      <c r="J1086" s="21" t="str">
        <f aca="false">IF($A1086="","",IF(B1086=0,"No COD orders",IF(B1086&lt;Settings!$B$8,"Too few orders",IF(D1086&gt;=Settings!$B$9,"Restrict COD or verify","Keep COD"))))</f>
        <v/>
      </c>
    </row>
    <row r="1087" customFormat="false" ht="15" hidden="false" customHeight="false" outlineLevel="0" collapsed="false">
      <c r="A1087" s="27"/>
      <c r="B1087" s="17" t="str">
        <f aca="false">IF($A1087="","",COUNTIFS(Orders!$C$2:$C$20001,$A1087,Orders!$E$2:$E$20001,"COD",Orders!$F$2:$F$20001,"Delivered")+COUNTIFS(Orders!$C$2:$C$20001,$A1087,Orders!$E$2:$E$20001,"COD",Orders!$F$2:$F$20001,"RTO"))</f>
        <v/>
      </c>
      <c r="C1087" s="17" t="str">
        <f aca="false">IF($A1087="","",COUNTIFS(Orders!$C$2:$C$20001,$A1087,Orders!$E$2:$E$20001,"COD",Orders!$F$2:$F$20001,"RTO"))</f>
        <v/>
      </c>
      <c r="D1087" s="18" t="str">
        <f aca="false">IF($A1087="","",IFERROR(C1087/B1087,0))</f>
        <v/>
      </c>
      <c r="E1087" s="17" t="str">
        <f aca="false">IF($A1087="","",COUNTIFS(Orders!$C$2:$C$20001,$A1087,Orders!$E$2:$E$20001,"Prepaid",Orders!$F$2:$F$20001,"Delivered")+COUNTIFS(Orders!$C$2:$C$20001,$A1087,Orders!$E$2:$E$20001,"Prepaid",Orders!$F$2:$F$20001,"RTO"))</f>
        <v/>
      </c>
      <c r="F1087" s="17" t="str">
        <f aca="false">IF($A1087="","",COUNTIFS(Orders!$C$2:$C$20001,$A1087,Orders!$E$2:$E$20001,"Prepaid",Orders!$F$2:$F$20001,"RTO"))</f>
        <v/>
      </c>
      <c r="G1087" s="18" t="str">
        <f aca="false">IF($A1087="","",IFERROR(F1087/E1087,0))</f>
        <v/>
      </c>
      <c r="H1087" s="19" t="str">
        <f aca="false">IF($A1087="","",C1087*Settings!$B$11)</f>
        <v/>
      </c>
      <c r="I1087" s="20" t="str">
        <f aca="false">IF($A1087="","",IF(N(H1087)=0,"",RANK(H1087,$H$5:$H$2004)))</f>
        <v/>
      </c>
      <c r="J1087" s="21" t="str">
        <f aca="false">IF($A1087="","",IF(B1087=0,"No COD orders",IF(B1087&lt;Settings!$B$8,"Too few orders",IF(D1087&gt;=Settings!$B$9,"Restrict COD or verify","Keep COD"))))</f>
        <v/>
      </c>
    </row>
    <row r="1088" customFormat="false" ht="15" hidden="false" customHeight="false" outlineLevel="0" collapsed="false">
      <c r="A1088" s="27"/>
      <c r="B1088" s="17" t="str">
        <f aca="false">IF($A1088="","",COUNTIFS(Orders!$C$2:$C$20001,$A1088,Orders!$E$2:$E$20001,"COD",Orders!$F$2:$F$20001,"Delivered")+COUNTIFS(Orders!$C$2:$C$20001,$A1088,Orders!$E$2:$E$20001,"COD",Orders!$F$2:$F$20001,"RTO"))</f>
        <v/>
      </c>
      <c r="C1088" s="17" t="str">
        <f aca="false">IF($A1088="","",COUNTIFS(Orders!$C$2:$C$20001,$A1088,Orders!$E$2:$E$20001,"COD",Orders!$F$2:$F$20001,"RTO"))</f>
        <v/>
      </c>
      <c r="D1088" s="18" t="str">
        <f aca="false">IF($A1088="","",IFERROR(C1088/B1088,0))</f>
        <v/>
      </c>
      <c r="E1088" s="17" t="str">
        <f aca="false">IF($A1088="","",COUNTIFS(Orders!$C$2:$C$20001,$A1088,Orders!$E$2:$E$20001,"Prepaid",Orders!$F$2:$F$20001,"Delivered")+COUNTIFS(Orders!$C$2:$C$20001,$A1088,Orders!$E$2:$E$20001,"Prepaid",Orders!$F$2:$F$20001,"RTO"))</f>
        <v/>
      </c>
      <c r="F1088" s="17" t="str">
        <f aca="false">IF($A1088="","",COUNTIFS(Orders!$C$2:$C$20001,$A1088,Orders!$E$2:$E$20001,"Prepaid",Orders!$F$2:$F$20001,"RTO"))</f>
        <v/>
      </c>
      <c r="G1088" s="18" t="str">
        <f aca="false">IF($A1088="","",IFERROR(F1088/E1088,0))</f>
        <v/>
      </c>
      <c r="H1088" s="19" t="str">
        <f aca="false">IF($A1088="","",C1088*Settings!$B$11)</f>
        <v/>
      </c>
      <c r="I1088" s="20" t="str">
        <f aca="false">IF($A1088="","",IF(N(H1088)=0,"",RANK(H1088,$H$5:$H$2004)))</f>
        <v/>
      </c>
      <c r="J1088" s="21" t="str">
        <f aca="false">IF($A1088="","",IF(B1088=0,"No COD orders",IF(B1088&lt;Settings!$B$8,"Too few orders",IF(D1088&gt;=Settings!$B$9,"Restrict COD or verify","Keep COD"))))</f>
        <v/>
      </c>
    </row>
    <row r="1089" customFormat="false" ht="15" hidden="false" customHeight="false" outlineLevel="0" collapsed="false">
      <c r="A1089" s="27"/>
      <c r="B1089" s="17" t="str">
        <f aca="false">IF($A1089="","",COUNTIFS(Orders!$C$2:$C$20001,$A1089,Orders!$E$2:$E$20001,"COD",Orders!$F$2:$F$20001,"Delivered")+COUNTIFS(Orders!$C$2:$C$20001,$A1089,Orders!$E$2:$E$20001,"COD",Orders!$F$2:$F$20001,"RTO"))</f>
        <v/>
      </c>
      <c r="C1089" s="17" t="str">
        <f aca="false">IF($A1089="","",COUNTIFS(Orders!$C$2:$C$20001,$A1089,Orders!$E$2:$E$20001,"COD",Orders!$F$2:$F$20001,"RTO"))</f>
        <v/>
      </c>
      <c r="D1089" s="18" t="str">
        <f aca="false">IF($A1089="","",IFERROR(C1089/B1089,0))</f>
        <v/>
      </c>
      <c r="E1089" s="17" t="str">
        <f aca="false">IF($A1089="","",COUNTIFS(Orders!$C$2:$C$20001,$A1089,Orders!$E$2:$E$20001,"Prepaid",Orders!$F$2:$F$20001,"Delivered")+COUNTIFS(Orders!$C$2:$C$20001,$A1089,Orders!$E$2:$E$20001,"Prepaid",Orders!$F$2:$F$20001,"RTO"))</f>
        <v/>
      </c>
      <c r="F1089" s="17" t="str">
        <f aca="false">IF($A1089="","",COUNTIFS(Orders!$C$2:$C$20001,$A1089,Orders!$E$2:$E$20001,"Prepaid",Orders!$F$2:$F$20001,"RTO"))</f>
        <v/>
      </c>
      <c r="G1089" s="18" t="str">
        <f aca="false">IF($A1089="","",IFERROR(F1089/E1089,0))</f>
        <v/>
      </c>
      <c r="H1089" s="19" t="str">
        <f aca="false">IF($A1089="","",C1089*Settings!$B$11)</f>
        <v/>
      </c>
      <c r="I1089" s="20" t="str">
        <f aca="false">IF($A1089="","",IF(N(H1089)=0,"",RANK(H1089,$H$5:$H$2004)))</f>
        <v/>
      </c>
      <c r="J1089" s="21" t="str">
        <f aca="false">IF($A1089="","",IF(B1089=0,"No COD orders",IF(B1089&lt;Settings!$B$8,"Too few orders",IF(D1089&gt;=Settings!$B$9,"Restrict COD or verify","Keep COD"))))</f>
        <v/>
      </c>
    </row>
    <row r="1090" customFormat="false" ht="15" hidden="false" customHeight="false" outlineLevel="0" collapsed="false">
      <c r="A1090" s="27"/>
      <c r="B1090" s="17" t="str">
        <f aca="false">IF($A1090="","",COUNTIFS(Orders!$C$2:$C$20001,$A1090,Orders!$E$2:$E$20001,"COD",Orders!$F$2:$F$20001,"Delivered")+COUNTIFS(Orders!$C$2:$C$20001,$A1090,Orders!$E$2:$E$20001,"COD",Orders!$F$2:$F$20001,"RTO"))</f>
        <v/>
      </c>
      <c r="C1090" s="17" t="str">
        <f aca="false">IF($A1090="","",COUNTIFS(Orders!$C$2:$C$20001,$A1090,Orders!$E$2:$E$20001,"COD",Orders!$F$2:$F$20001,"RTO"))</f>
        <v/>
      </c>
      <c r="D1090" s="18" t="str">
        <f aca="false">IF($A1090="","",IFERROR(C1090/B1090,0))</f>
        <v/>
      </c>
      <c r="E1090" s="17" t="str">
        <f aca="false">IF($A1090="","",COUNTIFS(Orders!$C$2:$C$20001,$A1090,Orders!$E$2:$E$20001,"Prepaid",Orders!$F$2:$F$20001,"Delivered")+COUNTIFS(Orders!$C$2:$C$20001,$A1090,Orders!$E$2:$E$20001,"Prepaid",Orders!$F$2:$F$20001,"RTO"))</f>
        <v/>
      </c>
      <c r="F1090" s="17" t="str">
        <f aca="false">IF($A1090="","",COUNTIFS(Orders!$C$2:$C$20001,$A1090,Orders!$E$2:$E$20001,"Prepaid",Orders!$F$2:$F$20001,"RTO"))</f>
        <v/>
      </c>
      <c r="G1090" s="18" t="str">
        <f aca="false">IF($A1090="","",IFERROR(F1090/E1090,0))</f>
        <v/>
      </c>
      <c r="H1090" s="19" t="str">
        <f aca="false">IF($A1090="","",C1090*Settings!$B$11)</f>
        <v/>
      </c>
      <c r="I1090" s="20" t="str">
        <f aca="false">IF($A1090="","",IF(N(H1090)=0,"",RANK(H1090,$H$5:$H$2004)))</f>
        <v/>
      </c>
      <c r="J1090" s="21" t="str">
        <f aca="false">IF($A1090="","",IF(B1090=0,"No COD orders",IF(B1090&lt;Settings!$B$8,"Too few orders",IF(D1090&gt;=Settings!$B$9,"Restrict COD or verify","Keep COD"))))</f>
        <v/>
      </c>
    </row>
    <row r="1091" customFormat="false" ht="15" hidden="false" customHeight="false" outlineLevel="0" collapsed="false">
      <c r="A1091" s="27"/>
      <c r="B1091" s="17" t="str">
        <f aca="false">IF($A1091="","",COUNTIFS(Orders!$C$2:$C$20001,$A1091,Orders!$E$2:$E$20001,"COD",Orders!$F$2:$F$20001,"Delivered")+COUNTIFS(Orders!$C$2:$C$20001,$A1091,Orders!$E$2:$E$20001,"COD",Orders!$F$2:$F$20001,"RTO"))</f>
        <v/>
      </c>
      <c r="C1091" s="17" t="str">
        <f aca="false">IF($A1091="","",COUNTIFS(Orders!$C$2:$C$20001,$A1091,Orders!$E$2:$E$20001,"COD",Orders!$F$2:$F$20001,"RTO"))</f>
        <v/>
      </c>
      <c r="D1091" s="18" t="str">
        <f aca="false">IF($A1091="","",IFERROR(C1091/B1091,0))</f>
        <v/>
      </c>
      <c r="E1091" s="17" t="str">
        <f aca="false">IF($A1091="","",COUNTIFS(Orders!$C$2:$C$20001,$A1091,Orders!$E$2:$E$20001,"Prepaid",Orders!$F$2:$F$20001,"Delivered")+COUNTIFS(Orders!$C$2:$C$20001,$A1091,Orders!$E$2:$E$20001,"Prepaid",Orders!$F$2:$F$20001,"RTO"))</f>
        <v/>
      </c>
      <c r="F1091" s="17" t="str">
        <f aca="false">IF($A1091="","",COUNTIFS(Orders!$C$2:$C$20001,$A1091,Orders!$E$2:$E$20001,"Prepaid",Orders!$F$2:$F$20001,"RTO"))</f>
        <v/>
      </c>
      <c r="G1091" s="18" t="str">
        <f aca="false">IF($A1091="","",IFERROR(F1091/E1091,0))</f>
        <v/>
      </c>
      <c r="H1091" s="19" t="str">
        <f aca="false">IF($A1091="","",C1091*Settings!$B$11)</f>
        <v/>
      </c>
      <c r="I1091" s="20" t="str">
        <f aca="false">IF($A1091="","",IF(N(H1091)=0,"",RANK(H1091,$H$5:$H$2004)))</f>
        <v/>
      </c>
      <c r="J1091" s="21" t="str">
        <f aca="false">IF($A1091="","",IF(B1091=0,"No COD orders",IF(B1091&lt;Settings!$B$8,"Too few orders",IF(D1091&gt;=Settings!$B$9,"Restrict COD or verify","Keep COD"))))</f>
        <v/>
      </c>
    </row>
    <row r="1092" customFormat="false" ht="15" hidden="false" customHeight="false" outlineLevel="0" collapsed="false">
      <c r="A1092" s="27"/>
      <c r="B1092" s="17" t="str">
        <f aca="false">IF($A1092="","",COUNTIFS(Orders!$C$2:$C$20001,$A1092,Orders!$E$2:$E$20001,"COD",Orders!$F$2:$F$20001,"Delivered")+COUNTIFS(Orders!$C$2:$C$20001,$A1092,Orders!$E$2:$E$20001,"COD",Orders!$F$2:$F$20001,"RTO"))</f>
        <v/>
      </c>
      <c r="C1092" s="17" t="str">
        <f aca="false">IF($A1092="","",COUNTIFS(Orders!$C$2:$C$20001,$A1092,Orders!$E$2:$E$20001,"COD",Orders!$F$2:$F$20001,"RTO"))</f>
        <v/>
      </c>
      <c r="D1092" s="18" t="str">
        <f aca="false">IF($A1092="","",IFERROR(C1092/B1092,0))</f>
        <v/>
      </c>
      <c r="E1092" s="17" t="str">
        <f aca="false">IF($A1092="","",COUNTIFS(Orders!$C$2:$C$20001,$A1092,Orders!$E$2:$E$20001,"Prepaid",Orders!$F$2:$F$20001,"Delivered")+COUNTIFS(Orders!$C$2:$C$20001,$A1092,Orders!$E$2:$E$20001,"Prepaid",Orders!$F$2:$F$20001,"RTO"))</f>
        <v/>
      </c>
      <c r="F1092" s="17" t="str">
        <f aca="false">IF($A1092="","",COUNTIFS(Orders!$C$2:$C$20001,$A1092,Orders!$E$2:$E$20001,"Prepaid",Orders!$F$2:$F$20001,"RTO"))</f>
        <v/>
      </c>
      <c r="G1092" s="18" t="str">
        <f aca="false">IF($A1092="","",IFERROR(F1092/E1092,0))</f>
        <v/>
      </c>
      <c r="H1092" s="19" t="str">
        <f aca="false">IF($A1092="","",C1092*Settings!$B$11)</f>
        <v/>
      </c>
      <c r="I1092" s="20" t="str">
        <f aca="false">IF($A1092="","",IF(N(H1092)=0,"",RANK(H1092,$H$5:$H$2004)))</f>
        <v/>
      </c>
      <c r="J1092" s="21" t="str">
        <f aca="false">IF($A1092="","",IF(B1092=0,"No COD orders",IF(B1092&lt;Settings!$B$8,"Too few orders",IF(D1092&gt;=Settings!$B$9,"Restrict COD or verify","Keep COD"))))</f>
        <v/>
      </c>
    </row>
    <row r="1093" customFormat="false" ht="15" hidden="false" customHeight="false" outlineLevel="0" collapsed="false">
      <c r="A1093" s="27"/>
      <c r="B1093" s="17" t="str">
        <f aca="false">IF($A1093="","",COUNTIFS(Orders!$C$2:$C$20001,$A1093,Orders!$E$2:$E$20001,"COD",Orders!$F$2:$F$20001,"Delivered")+COUNTIFS(Orders!$C$2:$C$20001,$A1093,Orders!$E$2:$E$20001,"COD",Orders!$F$2:$F$20001,"RTO"))</f>
        <v/>
      </c>
      <c r="C1093" s="17" t="str">
        <f aca="false">IF($A1093="","",COUNTIFS(Orders!$C$2:$C$20001,$A1093,Orders!$E$2:$E$20001,"COD",Orders!$F$2:$F$20001,"RTO"))</f>
        <v/>
      </c>
      <c r="D1093" s="18" t="str">
        <f aca="false">IF($A1093="","",IFERROR(C1093/B1093,0))</f>
        <v/>
      </c>
      <c r="E1093" s="17" t="str">
        <f aca="false">IF($A1093="","",COUNTIFS(Orders!$C$2:$C$20001,$A1093,Orders!$E$2:$E$20001,"Prepaid",Orders!$F$2:$F$20001,"Delivered")+COUNTIFS(Orders!$C$2:$C$20001,$A1093,Orders!$E$2:$E$20001,"Prepaid",Orders!$F$2:$F$20001,"RTO"))</f>
        <v/>
      </c>
      <c r="F1093" s="17" t="str">
        <f aca="false">IF($A1093="","",COUNTIFS(Orders!$C$2:$C$20001,$A1093,Orders!$E$2:$E$20001,"Prepaid",Orders!$F$2:$F$20001,"RTO"))</f>
        <v/>
      </c>
      <c r="G1093" s="18" t="str">
        <f aca="false">IF($A1093="","",IFERROR(F1093/E1093,0))</f>
        <v/>
      </c>
      <c r="H1093" s="19" t="str">
        <f aca="false">IF($A1093="","",C1093*Settings!$B$11)</f>
        <v/>
      </c>
      <c r="I1093" s="20" t="str">
        <f aca="false">IF($A1093="","",IF(N(H1093)=0,"",RANK(H1093,$H$5:$H$2004)))</f>
        <v/>
      </c>
      <c r="J1093" s="21" t="str">
        <f aca="false">IF($A1093="","",IF(B1093=0,"No COD orders",IF(B1093&lt;Settings!$B$8,"Too few orders",IF(D1093&gt;=Settings!$B$9,"Restrict COD or verify","Keep COD"))))</f>
        <v/>
      </c>
    </row>
    <row r="1094" customFormat="false" ht="15" hidden="false" customHeight="false" outlineLevel="0" collapsed="false">
      <c r="A1094" s="27"/>
      <c r="B1094" s="17" t="str">
        <f aca="false">IF($A1094="","",COUNTIFS(Orders!$C$2:$C$20001,$A1094,Orders!$E$2:$E$20001,"COD",Orders!$F$2:$F$20001,"Delivered")+COUNTIFS(Orders!$C$2:$C$20001,$A1094,Orders!$E$2:$E$20001,"COD",Orders!$F$2:$F$20001,"RTO"))</f>
        <v/>
      </c>
      <c r="C1094" s="17" t="str">
        <f aca="false">IF($A1094="","",COUNTIFS(Orders!$C$2:$C$20001,$A1094,Orders!$E$2:$E$20001,"COD",Orders!$F$2:$F$20001,"RTO"))</f>
        <v/>
      </c>
      <c r="D1094" s="18" t="str">
        <f aca="false">IF($A1094="","",IFERROR(C1094/B1094,0))</f>
        <v/>
      </c>
      <c r="E1094" s="17" t="str">
        <f aca="false">IF($A1094="","",COUNTIFS(Orders!$C$2:$C$20001,$A1094,Orders!$E$2:$E$20001,"Prepaid",Orders!$F$2:$F$20001,"Delivered")+COUNTIFS(Orders!$C$2:$C$20001,$A1094,Orders!$E$2:$E$20001,"Prepaid",Orders!$F$2:$F$20001,"RTO"))</f>
        <v/>
      </c>
      <c r="F1094" s="17" t="str">
        <f aca="false">IF($A1094="","",COUNTIFS(Orders!$C$2:$C$20001,$A1094,Orders!$E$2:$E$20001,"Prepaid",Orders!$F$2:$F$20001,"RTO"))</f>
        <v/>
      </c>
      <c r="G1094" s="18" t="str">
        <f aca="false">IF($A1094="","",IFERROR(F1094/E1094,0))</f>
        <v/>
      </c>
      <c r="H1094" s="19" t="str">
        <f aca="false">IF($A1094="","",C1094*Settings!$B$11)</f>
        <v/>
      </c>
      <c r="I1094" s="20" t="str">
        <f aca="false">IF($A1094="","",IF(N(H1094)=0,"",RANK(H1094,$H$5:$H$2004)))</f>
        <v/>
      </c>
      <c r="J1094" s="21" t="str">
        <f aca="false">IF($A1094="","",IF(B1094=0,"No COD orders",IF(B1094&lt;Settings!$B$8,"Too few orders",IF(D1094&gt;=Settings!$B$9,"Restrict COD or verify","Keep COD"))))</f>
        <v/>
      </c>
    </row>
    <row r="1095" customFormat="false" ht="15" hidden="false" customHeight="false" outlineLevel="0" collapsed="false">
      <c r="A1095" s="27"/>
      <c r="B1095" s="17" t="str">
        <f aca="false">IF($A1095="","",COUNTIFS(Orders!$C$2:$C$20001,$A1095,Orders!$E$2:$E$20001,"COD",Orders!$F$2:$F$20001,"Delivered")+COUNTIFS(Orders!$C$2:$C$20001,$A1095,Orders!$E$2:$E$20001,"COD",Orders!$F$2:$F$20001,"RTO"))</f>
        <v/>
      </c>
      <c r="C1095" s="17" t="str">
        <f aca="false">IF($A1095="","",COUNTIFS(Orders!$C$2:$C$20001,$A1095,Orders!$E$2:$E$20001,"COD",Orders!$F$2:$F$20001,"RTO"))</f>
        <v/>
      </c>
      <c r="D1095" s="18" t="str">
        <f aca="false">IF($A1095="","",IFERROR(C1095/B1095,0))</f>
        <v/>
      </c>
      <c r="E1095" s="17" t="str">
        <f aca="false">IF($A1095="","",COUNTIFS(Orders!$C$2:$C$20001,$A1095,Orders!$E$2:$E$20001,"Prepaid",Orders!$F$2:$F$20001,"Delivered")+COUNTIFS(Orders!$C$2:$C$20001,$A1095,Orders!$E$2:$E$20001,"Prepaid",Orders!$F$2:$F$20001,"RTO"))</f>
        <v/>
      </c>
      <c r="F1095" s="17" t="str">
        <f aca="false">IF($A1095="","",COUNTIFS(Orders!$C$2:$C$20001,$A1095,Orders!$E$2:$E$20001,"Prepaid",Orders!$F$2:$F$20001,"RTO"))</f>
        <v/>
      </c>
      <c r="G1095" s="18" t="str">
        <f aca="false">IF($A1095="","",IFERROR(F1095/E1095,0))</f>
        <v/>
      </c>
      <c r="H1095" s="19" t="str">
        <f aca="false">IF($A1095="","",C1095*Settings!$B$11)</f>
        <v/>
      </c>
      <c r="I1095" s="20" t="str">
        <f aca="false">IF($A1095="","",IF(N(H1095)=0,"",RANK(H1095,$H$5:$H$2004)))</f>
        <v/>
      </c>
      <c r="J1095" s="21" t="str">
        <f aca="false">IF($A1095="","",IF(B1095=0,"No COD orders",IF(B1095&lt;Settings!$B$8,"Too few orders",IF(D1095&gt;=Settings!$B$9,"Restrict COD or verify","Keep COD"))))</f>
        <v/>
      </c>
    </row>
    <row r="1096" customFormat="false" ht="15" hidden="false" customHeight="false" outlineLevel="0" collapsed="false">
      <c r="A1096" s="27"/>
      <c r="B1096" s="17" t="str">
        <f aca="false">IF($A1096="","",COUNTIFS(Orders!$C$2:$C$20001,$A1096,Orders!$E$2:$E$20001,"COD",Orders!$F$2:$F$20001,"Delivered")+COUNTIFS(Orders!$C$2:$C$20001,$A1096,Orders!$E$2:$E$20001,"COD",Orders!$F$2:$F$20001,"RTO"))</f>
        <v/>
      </c>
      <c r="C1096" s="17" t="str">
        <f aca="false">IF($A1096="","",COUNTIFS(Orders!$C$2:$C$20001,$A1096,Orders!$E$2:$E$20001,"COD",Orders!$F$2:$F$20001,"RTO"))</f>
        <v/>
      </c>
      <c r="D1096" s="18" t="str">
        <f aca="false">IF($A1096="","",IFERROR(C1096/B1096,0))</f>
        <v/>
      </c>
      <c r="E1096" s="17" t="str">
        <f aca="false">IF($A1096="","",COUNTIFS(Orders!$C$2:$C$20001,$A1096,Orders!$E$2:$E$20001,"Prepaid",Orders!$F$2:$F$20001,"Delivered")+COUNTIFS(Orders!$C$2:$C$20001,$A1096,Orders!$E$2:$E$20001,"Prepaid",Orders!$F$2:$F$20001,"RTO"))</f>
        <v/>
      </c>
      <c r="F1096" s="17" t="str">
        <f aca="false">IF($A1096="","",COUNTIFS(Orders!$C$2:$C$20001,$A1096,Orders!$E$2:$E$20001,"Prepaid",Orders!$F$2:$F$20001,"RTO"))</f>
        <v/>
      </c>
      <c r="G1096" s="18" t="str">
        <f aca="false">IF($A1096="","",IFERROR(F1096/E1096,0))</f>
        <v/>
      </c>
      <c r="H1096" s="19" t="str">
        <f aca="false">IF($A1096="","",C1096*Settings!$B$11)</f>
        <v/>
      </c>
      <c r="I1096" s="20" t="str">
        <f aca="false">IF($A1096="","",IF(N(H1096)=0,"",RANK(H1096,$H$5:$H$2004)))</f>
        <v/>
      </c>
      <c r="J1096" s="21" t="str">
        <f aca="false">IF($A1096="","",IF(B1096=0,"No COD orders",IF(B1096&lt;Settings!$B$8,"Too few orders",IF(D1096&gt;=Settings!$B$9,"Restrict COD or verify","Keep COD"))))</f>
        <v/>
      </c>
    </row>
    <row r="1097" customFormat="false" ht="15" hidden="false" customHeight="false" outlineLevel="0" collapsed="false">
      <c r="A1097" s="27"/>
      <c r="B1097" s="17" t="str">
        <f aca="false">IF($A1097="","",COUNTIFS(Orders!$C$2:$C$20001,$A1097,Orders!$E$2:$E$20001,"COD",Orders!$F$2:$F$20001,"Delivered")+COUNTIFS(Orders!$C$2:$C$20001,$A1097,Orders!$E$2:$E$20001,"COD",Orders!$F$2:$F$20001,"RTO"))</f>
        <v/>
      </c>
      <c r="C1097" s="17" t="str">
        <f aca="false">IF($A1097="","",COUNTIFS(Orders!$C$2:$C$20001,$A1097,Orders!$E$2:$E$20001,"COD",Orders!$F$2:$F$20001,"RTO"))</f>
        <v/>
      </c>
      <c r="D1097" s="18" t="str">
        <f aca="false">IF($A1097="","",IFERROR(C1097/B1097,0))</f>
        <v/>
      </c>
      <c r="E1097" s="17" t="str">
        <f aca="false">IF($A1097="","",COUNTIFS(Orders!$C$2:$C$20001,$A1097,Orders!$E$2:$E$20001,"Prepaid",Orders!$F$2:$F$20001,"Delivered")+COUNTIFS(Orders!$C$2:$C$20001,$A1097,Orders!$E$2:$E$20001,"Prepaid",Orders!$F$2:$F$20001,"RTO"))</f>
        <v/>
      </c>
      <c r="F1097" s="17" t="str">
        <f aca="false">IF($A1097="","",COUNTIFS(Orders!$C$2:$C$20001,$A1097,Orders!$E$2:$E$20001,"Prepaid",Orders!$F$2:$F$20001,"RTO"))</f>
        <v/>
      </c>
      <c r="G1097" s="18" t="str">
        <f aca="false">IF($A1097="","",IFERROR(F1097/E1097,0))</f>
        <v/>
      </c>
      <c r="H1097" s="19" t="str">
        <f aca="false">IF($A1097="","",C1097*Settings!$B$11)</f>
        <v/>
      </c>
      <c r="I1097" s="20" t="str">
        <f aca="false">IF($A1097="","",IF(N(H1097)=0,"",RANK(H1097,$H$5:$H$2004)))</f>
        <v/>
      </c>
      <c r="J1097" s="21" t="str">
        <f aca="false">IF($A1097="","",IF(B1097=0,"No COD orders",IF(B1097&lt;Settings!$B$8,"Too few orders",IF(D1097&gt;=Settings!$B$9,"Restrict COD or verify","Keep COD"))))</f>
        <v/>
      </c>
    </row>
    <row r="1098" customFormat="false" ht="15" hidden="false" customHeight="false" outlineLevel="0" collapsed="false">
      <c r="A1098" s="27"/>
      <c r="B1098" s="17" t="str">
        <f aca="false">IF($A1098="","",COUNTIFS(Orders!$C$2:$C$20001,$A1098,Orders!$E$2:$E$20001,"COD",Orders!$F$2:$F$20001,"Delivered")+COUNTIFS(Orders!$C$2:$C$20001,$A1098,Orders!$E$2:$E$20001,"COD",Orders!$F$2:$F$20001,"RTO"))</f>
        <v/>
      </c>
      <c r="C1098" s="17" t="str">
        <f aca="false">IF($A1098="","",COUNTIFS(Orders!$C$2:$C$20001,$A1098,Orders!$E$2:$E$20001,"COD",Orders!$F$2:$F$20001,"RTO"))</f>
        <v/>
      </c>
      <c r="D1098" s="18" t="str">
        <f aca="false">IF($A1098="","",IFERROR(C1098/B1098,0))</f>
        <v/>
      </c>
      <c r="E1098" s="17" t="str">
        <f aca="false">IF($A1098="","",COUNTIFS(Orders!$C$2:$C$20001,$A1098,Orders!$E$2:$E$20001,"Prepaid",Orders!$F$2:$F$20001,"Delivered")+COUNTIFS(Orders!$C$2:$C$20001,$A1098,Orders!$E$2:$E$20001,"Prepaid",Orders!$F$2:$F$20001,"RTO"))</f>
        <v/>
      </c>
      <c r="F1098" s="17" t="str">
        <f aca="false">IF($A1098="","",COUNTIFS(Orders!$C$2:$C$20001,$A1098,Orders!$E$2:$E$20001,"Prepaid",Orders!$F$2:$F$20001,"RTO"))</f>
        <v/>
      </c>
      <c r="G1098" s="18" t="str">
        <f aca="false">IF($A1098="","",IFERROR(F1098/E1098,0))</f>
        <v/>
      </c>
      <c r="H1098" s="19" t="str">
        <f aca="false">IF($A1098="","",C1098*Settings!$B$11)</f>
        <v/>
      </c>
      <c r="I1098" s="20" t="str">
        <f aca="false">IF($A1098="","",IF(N(H1098)=0,"",RANK(H1098,$H$5:$H$2004)))</f>
        <v/>
      </c>
      <c r="J1098" s="21" t="str">
        <f aca="false">IF($A1098="","",IF(B1098=0,"No COD orders",IF(B1098&lt;Settings!$B$8,"Too few orders",IF(D1098&gt;=Settings!$B$9,"Restrict COD or verify","Keep COD"))))</f>
        <v/>
      </c>
    </row>
    <row r="1099" customFormat="false" ht="15" hidden="false" customHeight="false" outlineLevel="0" collapsed="false">
      <c r="A1099" s="27"/>
      <c r="B1099" s="17" t="str">
        <f aca="false">IF($A1099="","",COUNTIFS(Orders!$C$2:$C$20001,$A1099,Orders!$E$2:$E$20001,"COD",Orders!$F$2:$F$20001,"Delivered")+COUNTIFS(Orders!$C$2:$C$20001,$A1099,Orders!$E$2:$E$20001,"COD",Orders!$F$2:$F$20001,"RTO"))</f>
        <v/>
      </c>
      <c r="C1099" s="17" t="str">
        <f aca="false">IF($A1099="","",COUNTIFS(Orders!$C$2:$C$20001,$A1099,Orders!$E$2:$E$20001,"COD",Orders!$F$2:$F$20001,"RTO"))</f>
        <v/>
      </c>
      <c r="D1099" s="18" t="str">
        <f aca="false">IF($A1099="","",IFERROR(C1099/B1099,0))</f>
        <v/>
      </c>
      <c r="E1099" s="17" t="str">
        <f aca="false">IF($A1099="","",COUNTIFS(Orders!$C$2:$C$20001,$A1099,Orders!$E$2:$E$20001,"Prepaid",Orders!$F$2:$F$20001,"Delivered")+COUNTIFS(Orders!$C$2:$C$20001,$A1099,Orders!$E$2:$E$20001,"Prepaid",Orders!$F$2:$F$20001,"RTO"))</f>
        <v/>
      </c>
      <c r="F1099" s="17" t="str">
        <f aca="false">IF($A1099="","",COUNTIFS(Orders!$C$2:$C$20001,$A1099,Orders!$E$2:$E$20001,"Prepaid",Orders!$F$2:$F$20001,"RTO"))</f>
        <v/>
      </c>
      <c r="G1099" s="18" t="str">
        <f aca="false">IF($A1099="","",IFERROR(F1099/E1099,0))</f>
        <v/>
      </c>
      <c r="H1099" s="19" t="str">
        <f aca="false">IF($A1099="","",C1099*Settings!$B$11)</f>
        <v/>
      </c>
      <c r="I1099" s="20" t="str">
        <f aca="false">IF($A1099="","",IF(N(H1099)=0,"",RANK(H1099,$H$5:$H$2004)))</f>
        <v/>
      </c>
      <c r="J1099" s="21" t="str">
        <f aca="false">IF($A1099="","",IF(B1099=0,"No COD orders",IF(B1099&lt;Settings!$B$8,"Too few orders",IF(D1099&gt;=Settings!$B$9,"Restrict COD or verify","Keep COD"))))</f>
        <v/>
      </c>
    </row>
    <row r="1100" customFormat="false" ht="15" hidden="false" customHeight="false" outlineLevel="0" collapsed="false">
      <c r="A1100" s="27"/>
      <c r="B1100" s="17" t="str">
        <f aca="false">IF($A1100="","",COUNTIFS(Orders!$C$2:$C$20001,$A1100,Orders!$E$2:$E$20001,"COD",Orders!$F$2:$F$20001,"Delivered")+COUNTIFS(Orders!$C$2:$C$20001,$A1100,Orders!$E$2:$E$20001,"COD",Orders!$F$2:$F$20001,"RTO"))</f>
        <v/>
      </c>
      <c r="C1100" s="17" t="str">
        <f aca="false">IF($A1100="","",COUNTIFS(Orders!$C$2:$C$20001,$A1100,Orders!$E$2:$E$20001,"COD",Orders!$F$2:$F$20001,"RTO"))</f>
        <v/>
      </c>
      <c r="D1100" s="18" t="str">
        <f aca="false">IF($A1100="","",IFERROR(C1100/B1100,0))</f>
        <v/>
      </c>
      <c r="E1100" s="17" t="str">
        <f aca="false">IF($A1100="","",COUNTIFS(Orders!$C$2:$C$20001,$A1100,Orders!$E$2:$E$20001,"Prepaid",Orders!$F$2:$F$20001,"Delivered")+COUNTIFS(Orders!$C$2:$C$20001,$A1100,Orders!$E$2:$E$20001,"Prepaid",Orders!$F$2:$F$20001,"RTO"))</f>
        <v/>
      </c>
      <c r="F1100" s="17" t="str">
        <f aca="false">IF($A1100="","",COUNTIFS(Orders!$C$2:$C$20001,$A1100,Orders!$E$2:$E$20001,"Prepaid",Orders!$F$2:$F$20001,"RTO"))</f>
        <v/>
      </c>
      <c r="G1100" s="18" t="str">
        <f aca="false">IF($A1100="","",IFERROR(F1100/E1100,0))</f>
        <v/>
      </c>
      <c r="H1100" s="19" t="str">
        <f aca="false">IF($A1100="","",C1100*Settings!$B$11)</f>
        <v/>
      </c>
      <c r="I1100" s="20" t="str">
        <f aca="false">IF($A1100="","",IF(N(H1100)=0,"",RANK(H1100,$H$5:$H$2004)))</f>
        <v/>
      </c>
      <c r="J1100" s="21" t="str">
        <f aca="false">IF($A1100="","",IF(B1100=0,"No COD orders",IF(B1100&lt;Settings!$B$8,"Too few orders",IF(D1100&gt;=Settings!$B$9,"Restrict COD or verify","Keep COD"))))</f>
        <v/>
      </c>
    </row>
    <row r="1101" customFormat="false" ht="15" hidden="false" customHeight="false" outlineLevel="0" collapsed="false">
      <c r="A1101" s="27"/>
      <c r="B1101" s="17" t="str">
        <f aca="false">IF($A1101="","",COUNTIFS(Orders!$C$2:$C$20001,$A1101,Orders!$E$2:$E$20001,"COD",Orders!$F$2:$F$20001,"Delivered")+COUNTIFS(Orders!$C$2:$C$20001,$A1101,Orders!$E$2:$E$20001,"COD",Orders!$F$2:$F$20001,"RTO"))</f>
        <v/>
      </c>
      <c r="C1101" s="17" t="str">
        <f aca="false">IF($A1101="","",COUNTIFS(Orders!$C$2:$C$20001,$A1101,Orders!$E$2:$E$20001,"COD",Orders!$F$2:$F$20001,"RTO"))</f>
        <v/>
      </c>
      <c r="D1101" s="18" t="str">
        <f aca="false">IF($A1101="","",IFERROR(C1101/B1101,0))</f>
        <v/>
      </c>
      <c r="E1101" s="17" t="str">
        <f aca="false">IF($A1101="","",COUNTIFS(Orders!$C$2:$C$20001,$A1101,Orders!$E$2:$E$20001,"Prepaid",Orders!$F$2:$F$20001,"Delivered")+COUNTIFS(Orders!$C$2:$C$20001,$A1101,Orders!$E$2:$E$20001,"Prepaid",Orders!$F$2:$F$20001,"RTO"))</f>
        <v/>
      </c>
      <c r="F1101" s="17" t="str">
        <f aca="false">IF($A1101="","",COUNTIFS(Orders!$C$2:$C$20001,$A1101,Orders!$E$2:$E$20001,"Prepaid",Orders!$F$2:$F$20001,"RTO"))</f>
        <v/>
      </c>
      <c r="G1101" s="18" t="str">
        <f aca="false">IF($A1101="","",IFERROR(F1101/E1101,0))</f>
        <v/>
      </c>
      <c r="H1101" s="19" t="str">
        <f aca="false">IF($A1101="","",C1101*Settings!$B$11)</f>
        <v/>
      </c>
      <c r="I1101" s="20" t="str">
        <f aca="false">IF($A1101="","",IF(N(H1101)=0,"",RANK(H1101,$H$5:$H$2004)))</f>
        <v/>
      </c>
      <c r="J1101" s="21" t="str">
        <f aca="false">IF($A1101="","",IF(B1101=0,"No COD orders",IF(B1101&lt;Settings!$B$8,"Too few orders",IF(D1101&gt;=Settings!$B$9,"Restrict COD or verify","Keep COD"))))</f>
        <v/>
      </c>
    </row>
    <row r="1102" customFormat="false" ht="15" hidden="false" customHeight="false" outlineLevel="0" collapsed="false">
      <c r="A1102" s="27"/>
      <c r="B1102" s="17" t="str">
        <f aca="false">IF($A1102="","",COUNTIFS(Orders!$C$2:$C$20001,$A1102,Orders!$E$2:$E$20001,"COD",Orders!$F$2:$F$20001,"Delivered")+COUNTIFS(Orders!$C$2:$C$20001,$A1102,Orders!$E$2:$E$20001,"COD",Orders!$F$2:$F$20001,"RTO"))</f>
        <v/>
      </c>
      <c r="C1102" s="17" t="str">
        <f aca="false">IF($A1102="","",COUNTIFS(Orders!$C$2:$C$20001,$A1102,Orders!$E$2:$E$20001,"COD",Orders!$F$2:$F$20001,"RTO"))</f>
        <v/>
      </c>
      <c r="D1102" s="18" t="str">
        <f aca="false">IF($A1102="","",IFERROR(C1102/B1102,0))</f>
        <v/>
      </c>
      <c r="E1102" s="17" t="str">
        <f aca="false">IF($A1102="","",COUNTIFS(Orders!$C$2:$C$20001,$A1102,Orders!$E$2:$E$20001,"Prepaid",Orders!$F$2:$F$20001,"Delivered")+COUNTIFS(Orders!$C$2:$C$20001,$A1102,Orders!$E$2:$E$20001,"Prepaid",Orders!$F$2:$F$20001,"RTO"))</f>
        <v/>
      </c>
      <c r="F1102" s="17" t="str">
        <f aca="false">IF($A1102="","",COUNTIFS(Orders!$C$2:$C$20001,$A1102,Orders!$E$2:$E$20001,"Prepaid",Orders!$F$2:$F$20001,"RTO"))</f>
        <v/>
      </c>
      <c r="G1102" s="18" t="str">
        <f aca="false">IF($A1102="","",IFERROR(F1102/E1102,0))</f>
        <v/>
      </c>
      <c r="H1102" s="19" t="str">
        <f aca="false">IF($A1102="","",C1102*Settings!$B$11)</f>
        <v/>
      </c>
      <c r="I1102" s="20" t="str">
        <f aca="false">IF($A1102="","",IF(N(H1102)=0,"",RANK(H1102,$H$5:$H$2004)))</f>
        <v/>
      </c>
      <c r="J1102" s="21" t="str">
        <f aca="false">IF($A1102="","",IF(B1102=0,"No COD orders",IF(B1102&lt;Settings!$B$8,"Too few orders",IF(D1102&gt;=Settings!$B$9,"Restrict COD or verify","Keep COD"))))</f>
        <v/>
      </c>
    </row>
    <row r="1103" customFormat="false" ht="15" hidden="false" customHeight="false" outlineLevel="0" collapsed="false">
      <c r="A1103" s="27"/>
      <c r="B1103" s="17" t="str">
        <f aca="false">IF($A1103="","",COUNTIFS(Orders!$C$2:$C$20001,$A1103,Orders!$E$2:$E$20001,"COD",Orders!$F$2:$F$20001,"Delivered")+COUNTIFS(Orders!$C$2:$C$20001,$A1103,Orders!$E$2:$E$20001,"COD",Orders!$F$2:$F$20001,"RTO"))</f>
        <v/>
      </c>
      <c r="C1103" s="17" t="str">
        <f aca="false">IF($A1103="","",COUNTIFS(Orders!$C$2:$C$20001,$A1103,Orders!$E$2:$E$20001,"COD",Orders!$F$2:$F$20001,"RTO"))</f>
        <v/>
      </c>
      <c r="D1103" s="18" t="str">
        <f aca="false">IF($A1103="","",IFERROR(C1103/B1103,0))</f>
        <v/>
      </c>
      <c r="E1103" s="17" t="str">
        <f aca="false">IF($A1103="","",COUNTIFS(Orders!$C$2:$C$20001,$A1103,Orders!$E$2:$E$20001,"Prepaid",Orders!$F$2:$F$20001,"Delivered")+COUNTIFS(Orders!$C$2:$C$20001,$A1103,Orders!$E$2:$E$20001,"Prepaid",Orders!$F$2:$F$20001,"RTO"))</f>
        <v/>
      </c>
      <c r="F1103" s="17" t="str">
        <f aca="false">IF($A1103="","",COUNTIFS(Orders!$C$2:$C$20001,$A1103,Orders!$E$2:$E$20001,"Prepaid",Orders!$F$2:$F$20001,"RTO"))</f>
        <v/>
      </c>
      <c r="G1103" s="18" t="str">
        <f aca="false">IF($A1103="","",IFERROR(F1103/E1103,0))</f>
        <v/>
      </c>
      <c r="H1103" s="19" t="str">
        <f aca="false">IF($A1103="","",C1103*Settings!$B$11)</f>
        <v/>
      </c>
      <c r="I1103" s="20" t="str">
        <f aca="false">IF($A1103="","",IF(N(H1103)=0,"",RANK(H1103,$H$5:$H$2004)))</f>
        <v/>
      </c>
      <c r="J1103" s="21" t="str">
        <f aca="false">IF($A1103="","",IF(B1103=0,"No COD orders",IF(B1103&lt;Settings!$B$8,"Too few orders",IF(D1103&gt;=Settings!$B$9,"Restrict COD or verify","Keep COD"))))</f>
        <v/>
      </c>
    </row>
    <row r="1104" customFormat="false" ht="15" hidden="false" customHeight="false" outlineLevel="0" collapsed="false">
      <c r="A1104" s="27"/>
      <c r="B1104" s="17" t="str">
        <f aca="false">IF($A1104="","",COUNTIFS(Orders!$C$2:$C$20001,$A1104,Orders!$E$2:$E$20001,"COD",Orders!$F$2:$F$20001,"Delivered")+COUNTIFS(Orders!$C$2:$C$20001,$A1104,Orders!$E$2:$E$20001,"COD",Orders!$F$2:$F$20001,"RTO"))</f>
        <v/>
      </c>
      <c r="C1104" s="17" t="str">
        <f aca="false">IF($A1104="","",COUNTIFS(Orders!$C$2:$C$20001,$A1104,Orders!$E$2:$E$20001,"COD",Orders!$F$2:$F$20001,"RTO"))</f>
        <v/>
      </c>
      <c r="D1104" s="18" t="str">
        <f aca="false">IF($A1104="","",IFERROR(C1104/B1104,0))</f>
        <v/>
      </c>
      <c r="E1104" s="17" t="str">
        <f aca="false">IF($A1104="","",COUNTIFS(Orders!$C$2:$C$20001,$A1104,Orders!$E$2:$E$20001,"Prepaid",Orders!$F$2:$F$20001,"Delivered")+COUNTIFS(Orders!$C$2:$C$20001,$A1104,Orders!$E$2:$E$20001,"Prepaid",Orders!$F$2:$F$20001,"RTO"))</f>
        <v/>
      </c>
      <c r="F1104" s="17" t="str">
        <f aca="false">IF($A1104="","",COUNTIFS(Orders!$C$2:$C$20001,$A1104,Orders!$E$2:$E$20001,"Prepaid",Orders!$F$2:$F$20001,"RTO"))</f>
        <v/>
      </c>
      <c r="G1104" s="18" t="str">
        <f aca="false">IF($A1104="","",IFERROR(F1104/E1104,0))</f>
        <v/>
      </c>
      <c r="H1104" s="19" t="str">
        <f aca="false">IF($A1104="","",C1104*Settings!$B$11)</f>
        <v/>
      </c>
      <c r="I1104" s="20" t="str">
        <f aca="false">IF($A1104="","",IF(N(H1104)=0,"",RANK(H1104,$H$5:$H$2004)))</f>
        <v/>
      </c>
      <c r="J1104" s="21" t="str">
        <f aca="false">IF($A1104="","",IF(B1104=0,"No COD orders",IF(B1104&lt;Settings!$B$8,"Too few orders",IF(D1104&gt;=Settings!$B$9,"Restrict COD or verify","Keep COD"))))</f>
        <v/>
      </c>
    </row>
    <row r="1105" customFormat="false" ht="15" hidden="false" customHeight="false" outlineLevel="0" collapsed="false">
      <c r="A1105" s="27"/>
      <c r="B1105" s="17" t="str">
        <f aca="false">IF($A1105="","",COUNTIFS(Orders!$C$2:$C$20001,$A1105,Orders!$E$2:$E$20001,"COD",Orders!$F$2:$F$20001,"Delivered")+COUNTIFS(Orders!$C$2:$C$20001,$A1105,Orders!$E$2:$E$20001,"COD",Orders!$F$2:$F$20001,"RTO"))</f>
        <v/>
      </c>
      <c r="C1105" s="17" t="str">
        <f aca="false">IF($A1105="","",COUNTIFS(Orders!$C$2:$C$20001,$A1105,Orders!$E$2:$E$20001,"COD",Orders!$F$2:$F$20001,"RTO"))</f>
        <v/>
      </c>
      <c r="D1105" s="18" t="str">
        <f aca="false">IF($A1105="","",IFERROR(C1105/B1105,0))</f>
        <v/>
      </c>
      <c r="E1105" s="17" t="str">
        <f aca="false">IF($A1105="","",COUNTIFS(Orders!$C$2:$C$20001,$A1105,Orders!$E$2:$E$20001,"Prepaid",Orders!$F$2:$F$20001,"Delivered")+COUNTIFS(Orders!$C$2:$C$20001,$A1105,Orders!$E$2:$E$20001,"Prepaid",Orders!$F$2:$F$20001,"RTO"))</f>
        <v/>
      </c>
      <c r="F1105" s="17" t="str">
        <f aca="false">IF($A1105="","",COUNTIFS(Orders!$C$2:$C$20001,$A1105,Orders!$E$2:$E$20001,"Prepaid",Orders!$F$2:$F$20001,"RTO"))</f>
        <v/>
      </c>
      <c r="G1105" s="18" t="str">
        <f aca="false">IF($A1105="","",IFERROR(F1105/E1105,0))</f>
        <v/>
      </c>
      <c r="H1105" s="19" t="str">
        <f aca="false">IF($A1105="","",C1105*Settings!$B$11)</f>
        <v/>
      </c>
      <c r="I1105" s="20" t="str">
        <f aca="false">IF($A1105="","",IF(N(H1105)=0,"",RANK(H1105,$H$5:$H$2004)))</f>
        <v/>
      </c>
      <c r="J1105" s="21" t="str">
        <f aca="false">IF($A1105="","",IF(B1105=0,"No COD orders",IF(B1105&lt;Settings!$B$8,"Too few orders",IF(D1105&gt;=Settings!$B$9,"Restrict COD or verify","Keep COD"))))</f>
        <v/>
      </c>
    </row>
    <row r="1106" customFormat="false" ht="15" hidden="false" customHeight="false" outlineLevel="0" collapsed="false">
      <c r="A1106" s="27"/>
      <c r="B1106" s="17" t="str">
        <f aca="false">IF($A1106="","",COUNTIFS(Orders!$C$2:$C$20001,$A1106,Orders!$E$2:$E$20001,"COD",Orders!$F$2:$F$20001,"Delivered")+COUNTIFS(Orders!$C$2:$C$20001,$A1106,Orders!$E$2:$E$20001,"COD",Orders!$F$2:$F$20001,"RTO"))</f>
        <v/>
      </c>
      <c r="C1106" s="17" t="str">
        <f aca="false">IF($A1106="","",COUNTIFS(Orders!$C$2:$C$20001,$A1106,Orders!$E$2:$E$20001,"COD",Orders!$F$2:$F$20001,"RTO"))</f>
        <v/>
      </c>
      <c r="D1106" s="18" t="str">
        <f aca="false">IF($A1106="","",IFERROR(C1106/B1106,0))</f>
        <v/>
      </c>
      <c r="E1106" s="17" t="str">
        <f aca="false">IF($A1106="","",COUNTIFS(Orders!$C$2:$C$20001,$A1106,Orders!$E$2:$E$20001,"Prepaid",Orders!$F$2:$F$20001,"Delivered")+COUNTIFS(Orders!$C$2:$C$20001,$A1106,Orders!$E$2:$E$20001,"Prepaid",Orders!$F$2:$F$20001,"RTO"))</f>
        <v/>
      </c>
      <c r="F1106" s="17" t="str">
        <f aca="false">IF($A1106="","",COUNTIFS(Orders!$C$2:$C$20001,$A1106,Orders!$E$2:$E$20001,"Prepaid",Orders!$F$2:$F$20001,"RTO"))</f>
        <v/>
      </c>
      <c r="G1106" s="18" t="str">
        <f aca="false">IF($A1106="","",IFERROR(F1106/E1106,0))</f>
        <v/>
      </c>
      <c r="H1106" s="19" t="str">
        <f aca="false">IF($A1106="","",C1106*Settings!$B$11)</f>
        <v/>
      </c>
      <c r="I1106" s="20" t="str">
        <f aca="false">IF($A1106="","",IF(N(H1106)=0,"",RANK(H1106,$H$5:$H$2004)))</f>
        <v/>
      </c>
      <c r="J1106" s="21" t="str">
        <f aca="false">IF($A1106="","",IF(B1106=0,"No COD orders",IF(B1106&lt;Settings!$B$8,"Too few orders",IF(D1106&gt;=Settings!$B$9,"Restrict COD or verify","Keep COD"))))</f>
        <v/>
      </c>
    </row>
    <row r="1107" customFormat="false" ht="15" hidden="false" customHeight="false" outlineLevel="0" collapsed="false">
      <c r="A1107" s="27"/>
      <c r="B1107" s="17" t="str">
        <f aca="false">IF($A1107="","",COUNTIFS(Orders!$C$2:$C$20001,$A1107,Orders!$E$2:$E$20001,"COD",Orders!$F$2:$F$20001,"Delivered")+COUNTIFS(Orders!$C$2:$C$20001,$A1107,Orders!$E$2:$E$20001,"COD",Orders!$F$2:$F$20001,"RTO"))</f>
        <v/>
      </c>
      <c r="C1107" s="17" t="str">
        <f aca="false">IF($A1107="","",COUNTIFS(Orders!$C$2:$C$20001,$A1107,Orders!$E$2:$E$20001,"COD",Orders!$F$2:$F$20001,"RTO"))</f>
        <v/>
      </c>
      <c r="D1107" s="18" t="str">
        <f aca="false">IF($A1107="","",IFERROR(C1107/B1107,0))</f>
        <v/>
      </c>
      <c r="E1107" s="17" t="str">
        <f aca="false">IF($A1107="","",COUNTIFS(Orders!$C$2:$C$20001,$A1107,Orders!$E$2:$E$20001,"Prepaid",Orders!$F$2:$F$20001,"Delivered")+COUNTIFS(Orders!$C$2:$C$20001,$A1107,Orders!$E$2:$E$20001,"Prepaid",Orders!$F$2:$F$20001,"RTO"))</f>
        <v/>
      </c>
      <c r="F1107" s="17" t="str">
        <f aca="false">IF($A1107="","",COUNTIFS(Orders!$C$2:$C$20001,$A1107,Orders!$E$2:$E$20001,"Prepaid",Orders!$F$2:$F$20001,"RTO"))</f>
        <v/>
      </c>
      <c r="G1107" s="18" t="str">
        <f aca="false">IF($A1107="","",IFERROR(F1107/E1107,0))</f>
        <v/>
      </c>
      <c r="H1107" s="19" t="str">
        <f aca="false">IF($A1107="","",C1107*Settings!$B$11)</f>
        <v/>
      </c>
      <c r="I1107" s="20" t="str">
        <f aca="false">IF($A1107="","",IF(N(H1107)=0,"",RANK(H1107,$H$5:$H$2004)))</f>
        <v/>
      </c>
      <c r="J1107" s="21" t="str">
        <f aca="false">IF($A1107="","",IF(B1107=0,"No COD orders",IF(B1107&lt;Settings!$B$8,"Too few orders",IF(D1107&gt;=Settings!$B$9,"Restrict COD or verify","Keep COD"))))</f>
        <v/>
      </c>
    </row>
    <row r="1108" customFormat="false" ht="15" hidden="false" customHeight="false" outlineLevel="0" collapsed="false">
      <c r="A1108" s="27"/>
      <c r="B1108" s="17" t="str">
        <f aca="false">IF($A1108="","",COUNTIFS(Orders!$C$2:$C$20001,$A1108,Orders!$E$2:$E$20001,"COD",Orders!$F$2:$F$20001,"Delivered")+COUNTIFS(Orders!$C$2:$C$20001,$A1108,Orders!$E$2:$E$20001,"COD",Orders!$F$2:$F$20001,"RTO"))</f>
        <v/>
      </c>
      <c r="C1108" s="17" t="str">
        <f aca="false">IF($A1108="","",COUNTIFS(Orders!$C$2:$C$20001,$A1108,Orders!$E$2:$E$20001,"COD",Orders!$F$2:$F$20001,"RTO"))</f>
        <v/>
      </c>
      <c r="D1108" s="18" t="str">
        <f aca="false">IF($A1108="","",IFERROR(C1108/B1108,0))</f>
        <v/>
      </c>
      <c r="E1108" s="17" t="str">
        <f aca="false">IF($A1108="","",COUNTIFS(Orders!$C$2:$C$20001,$A1108,Orders!$E$2:$E$20001,"Prepaid",Orders!$F$2:$F$20001,"Delivered")+COUNTIFS(Orders!$C$2:$C$20001,$A1108,Orders!$E$2:$E$20001,"Prepaid",Orders!$F$2:$F$20001,"RTO"))</f>
        <v/>
      </c>
      <c r="F1108" s="17" t="str">
        <f aca="false">IF($A1108="","",COUNTIFS(Orders!$C$2:$C$20001,$A1108,Orders!$E$2:$E$20001,"Prepaid",Orders!$F$2:$F$20001,"RTO"))</f>
        <v/>
      </c>
      <c r="G1108" s="18" t="str">
        <f aca="false">IF($A1108="","",IFERROR(F1108/E1108,0))</f>
        <v/>
      </c>
      <c r="H1108" s="19" t="str">
        <f aca="false">IF($A1108="","",C1108*Settings!$B$11)</f>
        <v/>
      </c>
      <c r="I1108" s="20" t="str">
        <f aca="false">IF($A1108="","",IF(N(H1108)=0,"",RANK(H1108,$H$5:$H$2004)))</f>
        <v/>
      </c>
      <c r="J1108" s="21" t="str">
        <f aca="false">IF($A1108="","",IF(B1108=0,"No COD orders",IF(B1108&lt;Settings!$B$8,"Too few orders",IF(D1108&gt;=Settings!$B$9,"Restrict COD or verify","Keep COD"))))</f>
        <v/>
      </c>
    </row>
    <row r="1109" customFormat="false" ht="15" hidden="false" customHeight="false" outlineLevel="0" collapsed="false">
      <c r="A1109" s="27"/>
      <c r="B1109" s="17" t="str">
        <f aca="false">IF($A1109="","",COUNTIFS(Orders!$C$2:$C$20001,$A1109,Orders!$E$2:$E$20001,"COD",Orders!$F$2:$F$20001,"Delivered")+COUNTIFS(Orders!$C$2:$C$20001,$A1109,Orders!$E$2:$E$20001,"COD",Orders!$F$2:$F$20001,"RTO"))</f>
        <v/>
      </c>
      <c r="C1109" s="17" t="str">
        <f aca="false">IF($A1109="","",COUNTIFS(Orders!$C$2:$C$20001,$A1109,Orders!$E$2:$E$20001,"COD",Orders!$F$2:$F$20001,"RTO"))</f>
        <v/>
      </c>
      <c r="D1109" s="18" t="str">
        <f aca="false">IF($A1109="","",IFERROR(C1109/B1109,0))</f>
        <v/>
      </c>
      <c r="E1109" s="17" t="str">
        <f aca="false">IF($A1109="","",COUNTIFS(Orders!$C$2:$C$20001,$A1109,Orders!$E$2:$E$20001,"Prepaid",Orders!$F$2:$F$20001,"Delivered")+COUNTIFS(Orders!$C$2:$C$20001,$A1109,Orders!$E$2:$E$20001,"Prepaid",Orders!$F$2:$F$20001,"RTO"))</f>
        <v/>
      </c>
      <c r="F1109" s="17" t="str">
        <f aca="false">IF($A1109="","",COUNTIFS(Orders!$C$2:$C$20001,$A1109,Orders!$E$2:$E$20001,"Prepaid",Orders!$F$2:$F$20001,"RTO"))</f>
        <v/>
      </c>
      <c r="G1109" s="18" t="str">
        <f aca="false">IF($A1109="","",IFERROR(F1109/E1109,0))</f>
        <v/>
      </c>
      <c r="H1109" s="19" t="str">
        <f aca="false">IF($A1109="","",C1109*Settings!$B$11)</f>
        <v/>
      </c>
      <c r="I1109" s="20" t="str">
        <f aca="false">IF($A1109="","",IF(N(H1109)=0,"",RANK(H1109,$H$5:$H$2004)))</f>
        <v/>
      </c>
      <c r="J1109" s="21" t="str">
        <f aca="false">IF($A1109="","",IF(B1109=0,"No COD orders",IF(B1109&lt;Settings!$B$8,"Too few orders",IF(D1109&gt;=Settings!$B$9,"Restrict COD or verify","Keep COD"))))</f>
        <v/>
      </c>
    </row>
    <row r="1110" customFormat="false" ht="15" hidden="false" customHeight="false" outlineLevel="0" collapsed="false">
      <c r="A1110" s="27"/>
      <c r="B1110" s="17" t="str">
        <f aca="false">IF($A1110="","",COUNTIFS(Orders!$C$2:$C$20001,$A1110,Orders!$E$2:$E$20001,"COD",Orders!$F$2:$F$20001,"Delivered")+COUNTIFS(Orders!$C$2:$C$20001,$A1110,Orders!$E$2:$E$20001,"COD",Orders!$F$2:$F$20001,"RTO"))</f>
        <v/>
      </c>
      <c r="C1110" s="17" t="str">
        <f aca="false">IF($A1110="","",COUNTIFS(Orders!$C$2:$C$20001,$A1110,Orders!$E$2:$E$20001,"COD",Orders!$F$2:$F$20001,"RTO"))</f>
        <v/>
      </c>
      <c r="D1110" s="18" t="str">
        <f aca="false">IF($A1110="","",IFERROR(C1110/B1110,0))</f>
        <v/>
      </c>
      <c r="E1110" s="17" t="str">
        <f aca="false">IF($A1110="","",COUNTIFS(Orders!$C$2:$C$20001,$A1110,Orders!$E$2:$E$20001,"Prepaid",Orders!$F$2:$F$20001,"Delivered")+COUNTIFS(Orders!$C$2:$C$20001,$A1110,Orders!$E$2:$E$20001,"Prepaid",Orders!$F$2:$F$20001,"RTO"))</f>
        <v/>
      </c>
      <c r="F1110" s="17" t="str">
        <f aca="false">IF($A1110="","",COUNTIFS(Orders!$C$2:$C$20001,$A1110,Orders!$E$2:$E$20001,"Prepaid",Orders!$F$2:$F$20001,"RTO"))</f>
        <v/>
      </c>
      <c r="G1110" s="18" t="str">
        <f aca="false">IF($A1110="","",IFERROR(F1110/E1110,0))</f>
        <v/>
      </c>
      <c r="H1110" s="19" t="str">
        <f aca="false">IF($A1110="","",C1110*Settings!$B$11)</f>
        <v/>
      </c>
      <c r="I1110" s="20" t="str">
        <f aca="false">IF($A1110="","",IF(N(H1110)=0,"",RANK(H1110,$H$5:$H$2004)))</f>
        <v/>
      </c>
      <c r="J1110" s="21" t="str">
        <f aca="false">IF($A1110="","",IF(B1110=0,"No COD orders",IF(B1110&lt;Settings!$B$8,"Too few orders",IF(D1110&gt;=Settings!$B$9,"Restrict COD or verify","Keep COD"))))</f>
        <v/>
      </c>
    </row>
    <row r="1111" customFormat="false" ht="15" hidden="false" customHeight="false" outlineLevel="0" collapsed="false">
      <c r="A1111" s="27"/>
      <c r="B1111" s="17" t="str">
        <f aca="false">IF($A1111="","",COUNTIFS(Orders!$C$2:$C$20001,$A1111,Orders!$E$2:$E$20001,"COD",Orders!$F$2:$F$20001,"Delivered")+COUNTIFS(Orders!$C$2:$C$20001,$A1111,Orders!$E$2:$E$20001,"COD",Orders!$F$2:$F$20001,"RTO"))</f>
        <v/>
      </c>
      <c r="C1111" s="17" t="str">
        <f aca="false">IF($A1111="","",COUNTIFS(Orders!$C$2:$C$20001,$A1111,Orders!$E$2:$E$20001,"COD",Orders!$F$2:$F$20001,"RTO"))</f>
        <v/>
      </c>
      <c r="D1111" s="18" t="str">
        <f aca="false">IF($A1111="","",IFERROR(C1111/B1111,0))</f>
        <v/>
      </c>
      <c r="E1111" s="17" t="str">
        <f aca="false">IF($A1111="","",COUNTIFS(Orders!$C$2:$C$20001,$A1111,Orders!$E$2:$E$20001,"Prepaid",Orders!$F$2:$F$20001,"Delivered")+COUNTIFS(Orders!$C$2:$C$20001,$A1111,Orders!$E$2:$E$20001,"Prepaid",Orders!$F$2:$F$20001,"RTO"))</f>
        <v/>
      </c>
      <c r="F1111" s="17" t="str">
        <f aca="false">IF($A1111="","",COUNTIFS(Orders!$C$2:$C$20001,$A1111,Orders!$E$2:$E$20001,"Prepaid",Orders!$F$2:$F$20001,"RTO"))</f>
        <v/>
      </c>
      <c r="G1111" s="18" t="str">
        <f aca="false">IF($A1111="","",IFERROR(F1111/E1111,0))</f>
        <v/>
      </c>
      <c r="H1111" s="19" t="str">
        <f aca="false">IF($A1111="","",C1111*Settings!$B$11)</f>
        <v/>
      </c>
      <c r="I1111" s="20" t="str">
        <f aca="false">IF($A1111="","",IF(N(H1111)=0,"",RANK(H1111,$H$5:$H$2004)))</f>
        <v/>
      </c>
      <c r="J1111" s="21" t="str">
        <f aca="false">IF($A1111="","",IF(B1111=0,"No COD orders",IF(B1111&lt;Settings!$B$8,"Too few orders",IF(D1111&gt;=Settings!$B$9,"Restrict COD or verify","Keep COD"))))</f>
        <v/>
      </c>
    </row>
    <row r="1112" customFormat="false" ht="15" hidden="false" customHeight="false" outlineLevel="0" collapsed="false">
      <c r="A1112" s="27"/>
      <c r="B1112" s="17" t="str">
        <f aca="false">IF($A1112="","",COUNTIFS(Orders!$C$2:$C$20001,$A1112,Orders!$E$2:$E$20001,"COD",Orders!$F$2:$F$20001,"Delivered")+COUNTIFS(Orders!$C$2:$C$20001,$A1112,Orders!$E$2:$E$20001,"COD",Orders!$F$2:$F$20001,"RTO"))</f>
        <v/>
      </c>
      <c r="C1112" s="17" t="str">
        <f aca="false">IF($A1112="","",COUNTIFS(Orders!$C$2:$C$20001,$A1112,Orders!$E$2:$E$20001,"COD",Orders!$F$2:$F$20001,"RTO"))</f>
        <v/>
      </c>
      <c r="D1112" s="18" t="str">
        <f aca="false">IF($A1112="","",IFERROR(C1112/B1112,0))</f>
        <v/>
      </c>
      <c r="E1112" s="17" t="str">
        <f aca="false">IF($A1112="","",COUNTIFS(Orders!$C$2:$C$20001,$A1112,Orders!$E$2:$E$20001,"Prepaid",Orders!$F$2:$F$20001,"Delivered")+COUNTIFS(Orders!$C$2:$C$20001,$A1112,Orders!$E$2:$E$20001,"Prepaid",Orders!$F$2:$F$20001,"RTO"))</f>
        <v/>
      </c>
      <c r="F1112" s="17" t="str">
        <f aca="false">IF($A1112="","",COUNTIFS(Orders!$C$2:$C$20001,$A1112,Orders!$E$2:$E$20001,"Prepaid",Orders!$F$2:$F$20001,"RTO"))</f>
        <v/>
      </c>
      <c r="G1112" s="18" t="str">
        <f aca="false">IF($A1112="","",IFERROR(F1112/E1112,0))</f>
        <v/>
      </c>
      <c r="H1112" s="19" t="str">
        <f aca="false">IF($A1112="","",C1112*Settings!$B$11)</f>
        <v/>
      </c>
      <c r="I1112" s="20" t="str">
        <f aca="false">IF($A1112="","",IF(N(H1112)=0,"",RANK(H1112,$H$5:$H$2004)))</f>
        <v/>
      </c>
      <c r="J1112" s="21" t="str">
        <f aca="false">IF($A1112="","",IF(B1112=0,"No COD orders",IF(B1112&lt;Settings!$B$8,"Too few orders",IF(D1112&gt;=Settings!$B$9,"Restrict COD or verify","Keep COD"))))</f>
        <v/>
      </c>
    </row>
    <row r="1113" customFormat="false" ht="15" hidden="false" customHeight="false" outlineLevel="0" collapsed="false">
      <c r="A1113" s="27"/>
      <c r="B1113" s="17" t="str">
        <f aca="false">IF($A1113="","",COUNTIFS(Orders!$C$2:$C$20001,$A1113,Orders!$E$2:$E$20001,"COD",Orders!$F$2:$F$20001,"Delivered")+COUNTIFS(Orders!$C$2:$C$20001,$A1113,Orders!$E$2:$E$20001,"COD",Orders!$F$2:$F$20001,"RTO"))</f>
        <v/>
      </c>
      <c r="C1113" s="17" t="str">
        <f aca="false">IF($A1113="","",COUNTIFS(Orders!$C$2:$C$20001,$A1113,Orders!$E$2:$E$20001,"COD",Orders!$F$2:$F$20001,"RTO"))</f>
        <v/>
      </c>
      <c r="D1113" s="18" t="str">
        <f aca="false">IF($A1113="","",IFERROR(C1113/B1113,0))</f>
        <v/>
      </c>
      <c r="E1113" s="17" t="str">
        <f aca="false">IF($A1113="","",COUNTIFS(Orders!$C$2:$C$20001,$A1113,Orders!$E$2:$E$20001,"Prepaid",Orders!$F$2:$F$20001,"Delivered")+COUNTIFS(Orders!$C$2:$C$20001,$A1113,Orders!$E$2:$E$20001,"Prepaid",Orders!$F$2:$F$20001,"RTO"))</f>
        <v/>
      </c>
      <c r="F1113" s="17" t="str">
        <f aca="false">IF($A1113="","",COUNTIFS(Orders!$C$2:$C$20001,$A1113,Orders!$E$2:$E$20001,"Prepaid",Orders!$F$2:$F$20001,"RTO"))</f>
        <v/>
      </c>
      <c r="G1113" s="18" t="str">
        <f aca="false">IF($A1113="","",IFERROR(F1113/E1113,0))</f>
        <v/>
      </c>
      <c r="H1113" s="19" t="str">
        <f aca="false">IF($A1113="","",C1113*Settings!$B$11)</f>
        <v/>
      </c>
      <c r="I1113" s="20" t="str">
        <f aca="false">IF($A1113="","",IF(N(H1113)=0,"",RANK(H1113,$H$5:$H$2004)))</f>
        <v/>
      </c>
      <c r="J1113" s="21" t="str">
        <f aca="false">IF($A1113="","",IF(B1113=0,"No COD orders",IF(B1113&lt;Settings!$B$8,"Too few orders",IF(D1113&gt;=Settings!$B$9,"Restrict COD or verify","Keep COD"))))</f>
        <v/>
      </c>
    </row>
    <row r="1114" customFormat="false" ht="15" hidden="false" customHeight="false" outlineLevel="0" collapsed="false">
      <c r="A1114" s="27"/>
      <c r="B1114" s="17" t="str">
        <f aca="false">IF($A1114="","",COUNTIFS(Orders!$C$2:$C$20001,$A1114,Orders!$E$2:$E$20001,"COD",Orders!$F$2:$F$20001,"Delivered")+COUNTIFS(Orders!$C$2:$C$20001,$A1114,Orders!$E$2:$E$20001,"COD",Orders!$F$2:$F$20001,"RTO"))</f>
        <v/>
      </c>
      <c r="C1114" s="17" t="str">
        <f aca="false">IF($A1114="","",COUNTIFS(Orders!$C$2:$C$20001,$A1114,Orders!$E$2:$E$20001,"COD",Orders!$F$2:$F$20001,"RTO"))</f>
        <v/>
      </c>
      <c r="D1114" s="18" t="str">
        <f aca="false">IF($A1114="","",IFERROR(C1114/B1114,0))</f>
        <v/>
      </c>
      <c r="E1114" s="17" t="str">
        <f aca="false">IF($A1114="","",COUNTIFS(Orders!$C$2:$C$20001,$A1114,Orders!$E$2:$E$20001,"Prepaid",Orders!$F$2:$F$20001,"Delivered")+COUNTIFS(Orders!$C$2:$C$20001,$A1114,Orders!$E$2:$E$20001,"Prepaid",Orders!$F$2:$F$20001,"RTO"))</f>
        <v/>
      </c>
      <c r="F1114" s="17" t="str">
        <f aca="false">IF($A1114="","",COUNTIFS(Orders!$C$2:$C$20001,$A1114,Orders!$E$2:$E$20001,"Prepaid",Orders!$F$2:$F$20001,"RTO"))</f>
        <v/>
      </c>
      <c r="G1114" s="18" t="str">
        <f aca="false">IF($A1114="","",IFERROR(F1114/E1114,0))</f>
        <v/>
      </c>
      <c r="H1114" s="19" t="str">
        <f aca="false">IF($A1114="","",C1114*Settings!$B$11)</f>
        <v/>
      </c>
      <c r="I1114" s="20" t="str">
        <f aca="false">IF($A1114="","",IF(N(H1114)=0,"",RANK(H1114,$H$5:$H$2004)))</f>
        <v/>
      </c>
      <c r="J1114" s="21" t="str">
        <f aca="false">IF($A1114="","",IF(B1114=0,"No COD orders",IF(B1114&lt;Settings!$B$8,"Too few orders",IF(D1114&gt;=Settings!$B$9,"Restrict COD or verify","Keep COD"))))</f>
        <v/>
      </c>
    </row>
    <row r="1115" customFormat="false" ht="15" hidden="false" customHeight="false" outlineLevel="0" collapsed="false">
      <c r="A1115" s="27"/>
      <c r="B1115" s="17" t="str">
        <f aca="false">IF($A1115="","",COUNTIFS(Orders!$C$2:$C$20001,$A1115,Orders!$E$2:$E$20001,"COD",Orders!$F$2:$F$20001,"Delivered")+COUNTIFS(Orders!$C$2:$C$20001,$A1115,Orders!$E$2:$E$20001,"COD",Orders!$F$2:$F$20001,"RTO"))</f>
        <v/>
      </c>
      <c r="C1115" s="17" t="str">
        <f aca="false">IF($A1115="","",COUNTIFS(Orders!$C$2:$C$20001,$A1115,Orders!$E$2:$E$20001,"COD",Orders!$F$2:$F$20001,"RTO"))</f>
        <v/>
      </c>
      <c r="D1115" s="18" t="str">
        <f aca="false">IF($A1115="","",IFERROR(C1115/B1115,0))</f>
        <v/>
      </c>
      <c r="E1115" s="17" t="str">
        <f aca="false">IF($A1115="","",COUNTIFS(Orders!$C$2:$C$20001,$A1115,Orders!$E$2:$E$20001,"Prepaid",Orders!$F$2:$F$20001,"Delivered")+COUNTIFS(Orders!$C$2:$C$20001,$A1115,Orders!$E$2:$E$20001,"Prepaid",Orders!$F$2:$F$20001,"RTO"))</f>
        <v/>
      </c>
      <c r="F1115" s="17" t="str">
        <f aca="false">IF($A1115="","",COUNTIFS(Orders!$C$2:$C$20001,$A1115,Orders!$E$2:$E$20001,"Prepaid",Orders!$F$2:$F$20001,"RTO"))</f>
        <v/>
      </c>
      <c r="G1115" s="18" t="str">
        <f aca="false">IF($A1115="","",IFERROR(F1115/E1115,0))</f>
        <v/>
      </c>
      <c r="H1115" s="19" t="str">
        <f aca="false">IF($A1115="","",C1115*Settings!$B$11)</f>
        <v/>
      </c>
      <c r="I1115" s="20" t="str">
        <f aca="false">IF($A1115="","",IF(N(H1115)=0,"",RANK(H1115,$H$5:$H$2004)))</f>
        <v/>
      </c>
      <c r="J1115" s="21" t="str">
        <f aca="false">IF($A1115="","",IF(B1115=0,"No COD orders",IF(B1115&lt;Settings!$B$8,"Too few orders",IF(D1115&gt;=Settings!$B$9,"Restrict COD or verify","Keep COD"))))</f>
        <v/>
      </c>
    </row>
    <row r="1116" customFormat="false" ht="15" hidden="false" customHeight="false" outlineLevel="0" collapsed="false">
      <c r="A1116" s="27"/>
      <c r="B1116" s="17" t="str">
        <f aca="false">IF($A1116="","",COUNTIFS(Orders!$C$2:$C$20001,$A1116,Orders!$E$2:$E$20001,"COD",Orders!$F$2:$F$20001,"Delivered")+COUNTIFS(Orders!$C$2:$C$20001,$A1116,Orders!$E$2:$E$20001,"COD",Orders!$F$2:$F$20001,"RTO"))</f>
        <v/>
      </c>
      <c r="C1116" s="17" t="str">
        <f aca="false">IF($A1116="","",COUNTIFS(Orders!$C$2:$C$20001,$A1116,Orders!$E$2:$E$20001,"COD",Orders!$F$2:$F$20001,"RTO"))</f>
        <v/>
      </c>
      <c r="D1116" s="18" t="str">
        <f aca="false">IF($A1116="","",IFERROR(C1116/B1116,0))</f>
        <v/>
      </c>
      <c r="E1116" s="17" t="str">
        <f aca="false">IF($A1116="","",COUNTIFS(Orders!$C$2:$C$20001,$A1116,Orders!$E$2:$E$20001,"Prepaid",Orders!$F$2:$F$20001,"Delivered")+COUNTIFS(Orders!$C$2:$C$20001,$A1116,Orders!$E$2:$E$20001,"Prepaid",Orders!$F$2:$F$20001,"RTO"))</f>
        <v/>
      </c>
      <c r="F1116" s="17" t="str">
        <f aca="false">IF($A1116="","",COUNTIFS(Orders!$C$2:$C$20001,$A1116,Orders!$E$2:$E$20001,"Prepaid",Orders!$F$2:$F$20001,"RTO"))</f>
        <v/>
      </c>
      <c r="G1116" s="18" t="str">
        <f aca="false">IF($A1116="","",IFERROR(F1116/E1116,0))</f>
        <v/>
      </c>
      <c r="H1116" s="19" t="str">
        <f aca="false">IF($A1116="","",C1116*Settings!$B$11)</f>
        <v/>
      </c>
      <c r="I1116" s="20" t="str">
        <f aca="false">IF($A1116="","",IF(N(H1116)=0,"",RANK(H1116,$H$5:$H$2004)))</f>
        <v/>
      </c>
      <c r="J1116" s="21" t="str">
        <f aca="false">IF($A1116="","",IF(B1116=0,"No COD orders",IF(B1116&lt;Settings!$B$8,"Too few orders",IF(D1116&gt;=Settings!$B$9,"Restrict COD or verify","Keep COD"))))</f>
        <v/>
      </c>
    </row>
    <row r="1117" customFormat="false" ht="15" hidden="false" customHeight="false" outlineLevel="0" collapsed="false">
      <c r="A1117" s="27"/>
      <c r="B1117" s="17" t="str">
        <f aca="false">IF($A1117="","",COUNTIFS(Orders!$C$2:$C$20001,$A1117,Orders!$E$2:$E$20001,"COD",Orders!$F$2:$F$20001,"Delivered")+COUNTIFS(Orders!$C$2:$C$20001,$A1117,Orders!$E$2:$E$20001,"COD",Orders!$F$2:$F$20001,"RTO"))</f>
        <v/>
      </c>
      <c r="C1117" s="17" t="str">
        <f aca="false">IF($A1117="","",COUNTIFS(Orders!$C$2:$C$20001,$A1117,Orders!$E$2:$E$20001,"COD",Orders!$F$2:$F$20001,"RTO"))</f>
        <v/>
      </c>
      <c r="D1117" s="18" t="str">
        <f aca="false">IF($A1117="","",IFERROR(C1117/B1117,0))</f>
        <v/>
      </c>
      <c r="E1117" s="17" t="str">
        <f aca="false">IF($A1117="","",COUNTIFS(Orders!$C$2:$C$20001,$A1117,Orders!$E$2:$E$20001,"Prepaid",Orders!$F$2:$F$20001,"Delivered")+COUNTIFS(Orders!$C$2:$C$20001,$A1117,Orders!$E$2:$E$20001,"Prepaid",Orders!$F$2:$F$20001,"RTO"))</f>
        <v/>
      </c>
      <c r="F1117" s="17" t="str">
        <f aca="false">IF($A1117="","",COUNTIFS(Orders!$C$2:$C$20001,$A1117,Orders!$E$2:$E$20001,"Prepaid",Orders!$F$2:$F$20001,"RTO"))</f>
        <v/>
      </c>
      <c r="G1117" s="18" t="str">
        <f aca="false">IF($A1117="","",IFERROR(F1117/E1117,0))</f>
        <v/>
      </c>
      <c r="H1117" s="19" t="str">
        <f aca="false">IF($A1117="","",C1117*Settings!$B$11)</f>
        <v/>
      </c>
      <c r="I1117" s="20" t="str">
        <f aca="false">IF($A1117="","",IF(N(H1117)=0,"",RANK(H1117,$H$5:$H$2004)))</f>
        <v/>
      </c>
      <c r="J1117" s="21" t="str">
        <f aca="false">IF($A1117="","",IF(B1117=0,"No COD orders",IF(B1117&lt;Settings!$B$8,"Too few orders",IF(D1117&gt;=Settings!$B$9,"Restrict COD or verify","Keep COD"))))</f>
        <v/>
      </c>
    </row>
    <row r="1118" customFormat="false" ht="15" hidden="false" customHeight="false" outlineLevel="0" collapsed="false">
      <c r="A1118" s="27"/>
      <c r="B1118" s="17" t="str">
        <f aca="false">IF($A1118="","",COUNTIFS(Orders!$C$2:$C$20001,$A1118,Orders!$E$2:$E$20001,"COD",Orders!$F$2:$F$20001,"Delivered")+COUNTIFS(Orders!$C$2:$C$20001,$A1118,Orders!$E$2:$E$20001,"COD",Orders!$F$2:$F$20001,"RTO"))</f>
        <v/>
      </c>
      <c r="C1118" s="17" t="str">
        <f aca="false">IF($A1118="","",COUNTIFS(Orders!$C$2:$C$20001,$A1118,Orders!$E$2:$E$20001,"COD",Orders!$F$2:$F$20001,"RTO"))</f>
        <v/>
      </c>
      <c r="D1118" s="18" t="str">
        <f aca="false">IF($A1118="","",IFERROR(C1118/B1118,0))</f>
        <v/>
      </c>
      <c r="E1118" s="17" t="str">
        <f aca="false">IF($A1118="","",COUNTIFS(Orders!$C$2:$C$20001,$A1118,Orders!$E$2:$E$20001,"Prepaid",Orders!$F$2:$F$20001,"Delivered")+COUNTIFS(Orders!$C$2:$C$20001,$A1118,Orders!$E$2:$E$20001,"Prepaid",Orders!$F$2:$F$20001,"RTO"))</f>
        <v/>
      </c>
      <c r="F1118" s="17" t="str">
        <f aca="false">IF($A1118="","",COUNTIFS(Orders!$C$2:$C$20001,$A1118,Orders!$E$2:$E$20001,"Prepaid",Orders!$F$2:$F$20001,"RTO"))</f>
        <v/>
      </c>
      <c r="G1118" s="18" t="str">
        <f aca="false">IF($A1118="","",IFERROR(F1118/E1118,0))</f>
        <v/>
      </c>
      <c r="H1118" s="19" t="str">
        <f aca="false">IF($A1118="","",C1118*Settings!$B$11)</f>
        <v/>
      </c>
      <c r="I1118" s="20" t="str">
        <f aca="false">IF($A1118="","",IF(N(H1118)=0,"",RANK(H1118,$H$5:$H$2004)))</f>
        <v/>
      </c>
      <c r="J1118" s="21" t="str">
        <f aca="false">IF($A1118="","",IF(B1118=0,"No COD orders",IF(B1118&lt;Settings!$B$8,"Too few orders",IF(D1118&gt;=Settings!$B$9,"Restrict COD or verify","Keep COD"))))</f>
        <v/>
      </c>
    </row>
    <row r="1119" customFormat="false" ht="15" hidden="false" customHeight="false" outlineLevel="0" collapsed="false">
      <c r="A1119" s="27"/>
      <c r="B1119" s="17" t="str">
        <f aca="false">IF($A1119="","",COUNTIFS(Orders!$C$2:$C$20001,$A1119,Orders!$E$2:$E$20001,"COD",Orders!$F$2:$F$20001,"Delivered")+COUNTIFS(Orders!$C$2:$C$20001,$A1119,Orders!$E$2:$E$20001,"COD",Orders!$F$2:$F$20001,"RTO"))</f>
        <v/>
      </c>
      <c r="C1119" s="17" t="str">
        <f aca="false">IF($A1119="","",COUNTIFS(Orders!$C$2:$C$20001,$A1119,Orders!$E$2:$E$20001,"COD",Orders!$F$2:$F$20001,"RTO"))</f>
        <v/>
      </c>
      <c r="D1119" s="18" t="str">
        <f aca="false">IF($A1119="","",IFERROR(C1119/B1119,0))</f>
        <v/>
      </c>
      <c r="E1119" s="17" t="str">
        <f aca="false">IF($A1119="","",COUNTIFS(Orders!$C$2:$C$20001,$A1119,Orders!$E$2:$E$20001,"Prepaid",Orders!$F$2:$F$20001,"Delivered")+COUNTIFS(Orders!$C$2:$C$20001,$A1119,Orders!$E$2:$E$20001,"Prepaid",Orders!$F$2:$F$20001,"RTO"))</f>
        <v/>
      </c>
      <c r="F1119" s="17" t="str">
        <f aca="false">IF($A1119="","",COUNTIFS(Orders!$C$2:$C$20001,$A1119,Orders!$E$2:$E$20001,"Prepaid",Orders!$F$2:$F$20001,"RTO"))</f>
        <v/>
      </c>
      <c r="G1119" s="18" t="str">
        <f aca="false">IF($A1119="","",IFERROR(F1119/E1119,0))</f>
        <v/>
      </c>
      <c r="H1119" s="19" t="str">
        <f aca="false">IF($A1119="","",C1119*Settings!$B$11)</f>
        <v/>
      </c>
      <c r="I1119" s="20" t="str">
        <f aca="false">IF($A1119="","",IF(N(H1119)=0,"",RANK(H1119,$H$5:$H$2004)))</f>
        <v/>
      </c>
      <c r="J1119" s="21" t="str">
        <f aca="false">IF($A1119="","",IF(B1119=0,"No COD orders",IF(B1119&lt;Settings!$B$8,"Too few orders",IF(D1119&gt;=Settings!$B$9,"Restrict COD or verify","Keep COD"))))</f>
        <v/>
      </c>
    </row>
    <row r="1120" customFormat="false" ht="15" hidden="false" customHeight="false" outlineLevel="0" collapsed="false">
      <c r="A1120" s="27"/>
      <c r="B1120" s="17" t="str">
        <f aca="false">IF($A1120="","",COUNTIFS(Orders!$C$2:$C$20001,$A1120,Orders!$E$2:$E$20001,"COD",Orders!$F$2:$F$20001,"Delivered")+COUNTIFS(Orders!$C$2:$C$20001,$A1120,Orders!$E$2:$E$20001,"COD",Orders!$F$2:$F$20001,"RTO"))</f>
        <v/>
      </c>
      <c r="C1120" s="17" t="str">
        <f aca="false">IF($A1120="","",COUNTIFS(Orders!$C$2:$C$20001,$A1120,Orders!$E$2:$E$20001,"COD",Orders!$F$2:$F$20001,"RTO"))</f>
        <v/>
      </c>
      <c r="D1120" s="18" t="str">
        <f aca="false">IF($A1120="","",IFERROR(C1120/B1120,0))</f>
        <v/>
      </c>
      <c r="E1120" s="17" t="str">
        <f aca="false">IF($A1120="","",COUNTIFS(Orders!$C$2:$C$20001,$A1120,Orders!$E$2:$E$20001,"Prepaid",Orders!$F$2:$F$20001,"Delivered")+COUNTIFS(Orders!$C$2:$C$20001,$A1120,Orders!$E$2:$E$20001,"Prepaid",Orders!$F$2:$F$20001,"RTO"))</f>
        <v/>
      </c>
      <c r="F1120" s="17" t="str">
        <f aca="false">IF($A1120="","",COUNTIFS(Orders!$C$2:$C$20001,$A1120,Orders!$E$2:$E$20001,"Prepaid",Orders!$F$2:$F$20001,"RTO"))</f>
        <v/>
      </c>
      <c r="G1120" s="18" t="str">
        <f aca="false">IF($A1120="","",IFERROR(F1120/E1120,0))</f>
        <v/>
      </c>
      <c r="H1120" s="19" t="str">
        <f aca="false">IF($A1120="","",C1120*Settings!$B$11)</f>
        <v/>
      </c>
      <c r="I1120" s="20" t="str">
        <f aca="false">IF($A1120="","",IF(N(H1120)=0,"",RANK(H1120,$H$5:$H$2004)))</f>
        <v/>
      </c>
      <c r="J1120" s="21" t="str">
        <f aca="false">IF($A1120="","",IF(B1120=0,"No COD orders",IF(B1120&lt;Settings!$B$8,"Too few orders",IF(D1120&gt;=Settings!$B$9,"Restrict COD or verify","Keep COD"))))</f>
        <v/>
      </c>
    </row>
    <row r="1121" customFormat="false" ht="15" hidden="false" customHeight="false" outlineLevel="0" collapsed="false">
      <c r="A1121" s="27"/>
      <c r="B1121" s="17" t="str">
        <f aca="false">IF($A1121="","",COUNTIFS(Orders!$C$2:$C$20001,$A1121,Orders!$E$2:$E$20001,"COD",Orders!$F$2:$F$20001,"Delivered")+COUNTIFS(Orders!$C$2:$C$20001,$A1121,Orders!$E$2:$E$20001,"COD",Orders!$F$2:$F$20001,"RTO"))</f>
        <v/>
      </c>
      <c r="C1121" s="17" t="str">
        <f aca="false">IF($A1121="","",COUNTIFS(Orders!$C$2:$C$20001,$A1121,Orders!$E$2:$E$20001,"COD",Orders!$F$2:$F$20001,"RTO"))</f>
        <v/>
      </c>
      <c r="D1121" s="18" t="str">
        <f aca="false">IF($A1121="","",IFERROR(C1121/B1121,0))</f>
        <v/>
      </c>
      <c r="E1121" s="17" t="str">
        <f aca="false">IF($A1121="","",COUNTIFS(Orders!$C$2:$C$20001,$A1121,Orders!$E$2:$E$20001,"Prepaid",Orders!$F$2:$F$20001,"Delivered")+COUNTIFS(Orders!$C$2:$C$20001,$A1121,Orders!$E$2:$E$20001,"Prepaid",Orders!$F$2:$F$20001,"RTO"))</f>
        <v/>
      </c>
      <c r="F1121" s="17" t="str">
        <f aca="false">IF($A1121="","",COUNTIFS(Orders!$C$2:$C$20001,$A1121,Orders!$E$2:$E$20001,"Prepaid",Orders!$F$2:$F$20001,"RTO"))</f>
        <v/>
      </c>
      <c r="G1121" s="18" t="str">
        <f aca="false">IF($A1121="","",IFERROR(F1121/E1121,0))</f>
        <v/>
      </c>
      <c r="H1121" s="19" t="str">
        <f aca="false">IF($A1121="","",C1121*Settings!$B$11)</f>
        <v/>
      </c>
      <c r="I1121" s="20" t="str">
        <f aca="false">IF($A1121="","",IF(N(H1121)=0,"",RANK(H1121,$H$5:$H$2004)))</f>
        <v/>
      </c>
      <c r="J1121" s="21" t="str">
        <f aca="false">IF($A1121="","",IF(B1121=0,"No COD orders",IF(B1121&lt;Settings!$B$8,"Too few orders",IF(D1121&gt;=Settings!$B$9,"Restrict COD or verify","Keep COD"))))</f>
        <v/>
      </c>
    </row>
    <row r="1122" customFormat="false" ht="15" hidden="false" customHeight="false" outlineLevel="0" collapsed="false">
      <c r="A1122" s="27"/>
      <c r="B1122" s="17" t="str">
        <f aca="false">IF($A1122="","",COUNTIFS(Orders!$C$2:$C$20001,$A1122,Orders!$E$2:$E$20001,"COD",Orders!$F$2:$F$20001,"Delivered")+COUNTIFS(Orders!$C$2:$C$20001,$A1122,Orders!$E$2:$E$20001,"COD",Orders!$F$2:$F$20001,"RTO"))</f>
        <v/>
      </c>
      <c r="C1122" s="17" t="str">
        <f aca="false">IF($A1122="","",COUNTIFS(Orders!$C$2:$C$20001,$A1122,Orders!$E$2:$E$20001,"COD",Orders!$F$2:$F$20001,"RTO"))</f>
        <v/>
      </c>
      <c r="D1122" s="18" t="str">
        <f aca="false">IF($A1122="","",IFERROR(C1122/B1122,0))</f>
        <v/>
      </c>
      <c r="E1122" s="17" t="str">
        <f aca="false">IF($A1122="","",COUNTIFS(Orders!$C$2:$C$20001,$A1122,Orders!$E$2:$E$20001,"Prepaid",Orders!$F$2:$F$20001,"Delivered")+COUNTIFS(Orders!$C$2:$C$20001,$A1122,Orders!$E$2:$E$20001,"Prepaid",Orders!$F$2:$F$20001,"RTO"))</f>
        <v/>
      </c>
      <c r="F1122" s="17" t="str">
        <f aca="false">IF($A1122="","",COUNTIFS(Orders!$C$2:$C$20001,$A1122,Orders!$E$2:$E$20001,"Prepaid",Orders!$F$2:$F$20001,"RTO"))</f>
        <v/>
      </c>
      <c r="G1122" s="18" t="str">
        <f aca="false">IF($A1122="","",IFERROR(F1122/E1122,0))</f>
        <v/>
      </c>
      <c r="H1122" s="19" t="str">
        <f aca="false">IF($A1122="","",C1122*Settings!$B$11)</f>
        <v/>
      </c>
      <c r="I1122" s="20" t="str">
        <f aca="false">IF($A1122="","",IF(N(H1122)=0,"",RANK(H1122,$H$5:$H$2004)))</f>
        <v/>
      </c>
      <c r="J1122" s="21" t="str">
        <f aca="false">IF($A1122="","",IF(B1122=0,"No COD orders",IF(B1122&lt;Settings!$B$8,"Too few orders",IF(D1122&gt;=Settings!$B$9,"Restrict COD or verify","Keep COD"))))</f>
        <v/>
      </c>
    </row>
    <row r="1123" customFormat="false" ht="15" hidden="false" customHeight="false" outlineLevel="0" collapsed="false">
      <c r="A1123" s="27"/>
      <c r="B1123" s="17" t="str">
        <f aca="false">IF($A1123="","",COUNTIFS(Orders!$C$2:$C$20001,$A1123,Orders!$E$2:$E$20001,"COD",Orders!$F$2:$F$20001,"Delivered")+COUNTIFS(Orders!$C$2:$C$20001,$A1123,Orders!$E$2:$E$20001,"COD",Orders!$F$2:$F$20001,"RTO"))</f>
        <v/>
      </c>
      <c r="C1123" s="17" t="str">
        <f aca="false">IF($A1123="","",COUNTIFS(Orders!$C$2:$C$20001,$A1123,Orders!$E$2:$E$20001,"COD",Orders!$F$2:$F$20001,"RTO"))</f>
        <v/>
      </c>
      <c r="D1123" s="18" t="str">
        <f aca="false">IF($A1123="","",IFERROR(C1123/B1123,0))</f>
        <v/>
      </c>
      <c r="E1123" s="17" t="str">
        <f aca="false">IF($A1123="","",COUNTIFS(Orders!$C$2:$C$20001,$A1123,Orders!$E$2:$E$20001,"Prepaid",Orders!$F$2:$F$20001,"Delivered")+COUNTIFS(Orders!$C$2:$C$20001,$A1123,Orders!$E$2:$E$20001,"Prepaid",Orders!$F$2:$F$20001,"RTO"))</f>
        <v/>
      </c>
      <c r="F1123" s="17" t="str">
        <f aca="false">IF($A1123="","",COUNTIFS(Orders!$C$2:$C$20001,$A1123,Orders!$E$2:$E$20001,"Prepaid",Orders!$F$2:$F$20001,"RTO"))</f>
        <v/>
      </c>
      <c r="G1123" s="18" t="str">
        <f aca="false">IF($A1123="","",IFERROR(F1123/E1123,0))</f>
        <v/>
      </c>
      <c r="H1123" s="19" t="str">
        <f aca="false">IF($A1123="","",C1123*Settings!$B$11)</f>
        <v/>
      </c>
      <c r="I1123" s="20" t="str">
        <f aca="false">IF($A1123="","",IF(N(H1123)=0,"",RANK(H1123,$H$5:$H$2004)))</f>
        <v/>
      </c>
      <c r="J1123" s="21" t="str">
        <f aca="false">IF($A1123="","",IF(B1123=0,"No COD orders",IF(B1123&lt;Settings!$B$8,"Too few orders",IF(D1123&gt;=Settings!$B$9,"Restrict COD or verify","Keep COD"))))</f>
        <v/>
      </c>
    </row>
    <row r="1124" customFormat="false" ht="15" hidden="false" customHeight="false" outlineLevel="0" collapsed="false">
      <c r="A1124" s="27"/>
      <c r="B1124" s="17" t="str">
        <f aca="false">IF($A1124="","",COUNTIFS(Orders!$C$2:$C$20001,$A1124,Orders!$E$2:$E$20001,"COD",Orders!$F$2:$F$20001,"Delivered")+COUNTIFS(Orders!$C$2:$C$20001,$A1124,Orders!$E$2:$E$20001,"COD",Orders!$F$2:$F$20001,"RTO"))</f>
        <v/>
      </c>
      <c r="C1124" s="17" t="str">
        <f aca="false">IF($A1124="","",COUNTIFS(Orders!$C$2:$C$20001,$A1124,Orders!$E$2:$E$20001,"COD",Orders!$F$2:$F$20001,"RTO"))</f>
        <v/>
      </c>
      <c r="D1124" s="18" t="str">
        <f aca="false">IF($A1124="","",IFERROR(C1124/B1124,0))</f>
        <v/>
      </c>
      <c r="E1124" s="17" t="str">
        <f aca="false">IF($A1124="","",COUNTIFS(Orders!$C$2:$C$20001,$A1124,Orders!$E$2:$E$20001,"Prepaid",Orders!$F$2:$F$20001,"Delivered")+COUNTIFS(Orders!$C$2:$C$20001,$A1124,Orders!$E$2:$E$20001,"Prepaid",Orders!$F$2:$F$20001,"RTO"))</f>
        <v/>
      </c>
      <c r="F1124" s="17" t="str">
        <f aca="false">IF($A1124="","",COUNTIFS(Orders!$C$2:$C$20001,$A1124,Orders!$E$2:$E$20001,"Prepaid",Orders!$F$2:$F$20001,"RTO"))</f>
        <v/>
      </c>
      <c r="G1124" s="18" t="str">
        <f aca="false">IF($A1124="","",IFERROR(F1124/E1124,0))</f>
        <v/>
      </c>
      <c r="H1124" s="19" t="str">
        <f aca="false">IF($A1124="","",C1124*Settings!$B$11)</f>
        <v/>
      </c>
      <c r="I1124" s="20" t="str">
        <f aca="false">IF($A1124="","",IF(N(H1124)=0,"",RANK(H1124,$H$5:$H$2004)))</f>
        <v/>
      </c>
      <c r="J1124" s="21" t="str">
        <f aca="false">IF($A1124="","",IF(B1124=0,"No COD orders",IF(B1124&lt;Settings!$B$8,"Too few orders",IF(D1124&gt;=Settings!$B$9,"Restrict COD or verify","Keep COD"))))</f>
        <v/>
      </c>
    </row>
    <row r="1125" customFormat="false" ht="15" hidden="false" customHeight="false" outlineLevel="0" collapsed="false">
      <c r="A1125" s="27"/>
      <c r="B1125" s="17" t="str">
        <f aca="false">IF($A1125="","",COUNTIFS(Orders!$C$2:$C$20001,$A1125,Orders!$E$2:$E$20001,"COD",Orders!$F$2:$F$20001,"Delivered")+COUNTIFS(Orders!$C$2:$C$20001,$A1125,Orders!$E$2:$E$20001,"COD",Orders!$F$2:$F$20001,"RTO"))</f>
        <v/>
      </c>
      <c r="C1125" s="17" t="str">
        <f aca="false">IF($A1125="","",COUNTIFS(Orders!$C$2:$C$20001,$A1125,Orders!$E$2:$E$20001,"COD",Orders!$F$2:$F$20001,"RTO"))</f>
        <v/>
      </c>
      <c r="D1125" s="18" t="str">
        <f aca="false">IF($A1125="","",IFERROR(C1125/B1125,0))</f>
        <v/>
      </c>
      <c r="E1125" s="17" t="str">
        <f aca="false">IF($A1125="","",COUNTIFS(Orders!$C$2:$C$20001,$A1125,Orders!$E$2:$E$20001,"Prepaid",Orders!$F$2:$F$20001,"Delivered")+COUNTIFS(Orders!$C$2:$C$20001,$A1125,Orders!$E$2:$E$20001,"Prepaid",Orders!$F$2:$F$20001,"RTO"))</f>
        <v/>
      </c>
      <c r="F1125" s="17" t="str">
        <f aca="false">IF($A1125="","",COUNTIFS(Orders!$C$2:$C$20001,$A1125,Orders!$E$2:$E$20001,"Prepaid",Orders!$F$2:$F$20001,"RTO"))</f>
        <v/>
      </c>
      <c r="G1125" s="18" t="str">
        <f aca="false">IF($A1125="","",IFERROR(F1125/E1125,0))</f>
        <v/>
      </c>
      <c r="H1125" s="19" t="str">
        <f aca="false">IF($A1125="","",C1125*Settings!$B$11)</f>
        <v/>
      </c>
      <c r="I1125" s="20" t="str">
        <f aca="false">IF($A1125="","",IF(N(H1125)=0,"",RANK(H1125,$H$5:$H$2004)))</f>
        <v/>
      </c>
      <c r="J1125" s="21" t="str">
        <f aca="false">IF($A1125="","",IF(B1125=0,"No COD orders",IF(B1125&lt;Settings!$B$8,"Too few orders",IF(D1125&gt;=Settings!$B$9,"Restrict COD or verify","Keep COD"))))</f>
        <v/>
      </c>
    </row>
    <row r="1126" customFormat="false" ht="15" hidden="false" customHeight="false" outlineLevel="0" collapsed="false">
      <c r="A1126" s="27"/>
      <c r="B1126" s="17" t="str">
        <f aca="false">IF($A1126="","",COUNTIFS(Orders!$C$2:$C$20001,$A1126,Orders!$E$2:$E$20001,"COD",Orders!$F$2:$F$20001,"Delivered")+COUNTIFS(Orders!$C$2:$C$20001,$A1126,Orders!$E$2:$E$20001,"COD",Orders!$F$2:$F$20001,"RTO"))</f>
        <v/>
      </c>
      <c r="C1126" s="17" t="str">
        <f aca="false">IF($A1126="","",COUNTIFS(Orders!$C$2:$C$20001,$A1126,Orders!$E$2:$E$20001,"COD",Orders!$F$2:$F$20001,"RTO"))</f>
        <v/>
      </c>
      <c r="D1126" s="18" t="str">
        <f aca="false">IF($A1126="","",IFERROR(C1126/B1126,0))</f>
        <v/>
      </c>
      <c r="E1126" s="17" t="str">
        <f aca="false">IF($A1126="","",COUNTIFS(Orders!$C$2:$C$20001,$A1126,Orders!$E$2:$E$20001,"Prepaid",Orders!$F$2:$F$20001,"Delivered")+COUNTIFS(Orders!$C$2:$C$20001,$A1126,Orders!$E$2:$E$20001,"Prepaid",Orders!$F$2:$F$20001,"RTO"))</f>
        <v/>
      </c>
      <c r="F1126" s="17" t="str">
        <f aca="false">IF($A1126="","",COUNTIFS(Orders!$C$2:$C$20001,$A1126,Orders!$E$2:$E$20001,"Prepaid",Orders!$F$2:$F$20001,"RTO"))</f>
        <v/>
      </c>
      <c r="G1126" s="18" t="str">
        <f aca="false">IF($A1126="","",IFERROR(F1126/E1126,0))</f>
        <v/>
      </c>
      <c r="H1126" s="19" t="str">
        <f aca="false">IF($A1126="","",C1126*Settings!$B$11)</f>
        <v/>
      </c>
      <c r="I1126" s="20" t="str">
        <f aca="false">IF($A1126="","",IF(N(H1126)=0,"",RANK(H1126,$H$5:$H$2004)))</f>
        <v/>
      </c>
      <c r="J1126" s="21" t="str">
        <f aca="false">IF($A1126="","",IF(B1126=0,"No COD orders",IF(B1126&lt;Settings!$B$8,"Too few orders",IF(D1126&gt;=Settings!$B$9,"Restrict COD or verify","Keep COD"))))</f>
        <v/>
      </c>
    </row>
    <row r="1127" customFormat="false" ht="15" hidden="false" customHeight="false" outlineLevel="0" collapsed="false">
      <c r="A1127" s="27"/>
      <c r="B1127" s="17" t="str">
        <f aca="false">IF($A1127="","",COUNTIFS(Orders!$C$2:$C$20001,$A1127,Orders!$E$2:$E$20001,"COD",Orders!$F$2:$F$20001,"Delivered")+COUNTIFS(Orders!$C$2:$C$20001,$A1127,Orders!$E$2:$E$20001,"COD",Orders!$F$2:$F$20001,"RTO"))</f>
        <v/>
      </c>
      <c r="C1127" s="17" t="str">
        <f aca="false">IF($A1127="","",COUNTIFS(Orders!$C$2:$C$20001,$A1127,Orders!$E$2:$E$20001,"COD",Orders!$F$2:$F$20001,"RTO"))</f>
        <v/>
      </c>
      <c r="D1127" s="18" t="str">
        <f aca="false">IF($A1127="","",IFERROR(C1127/B1127,0))</f>
        <v/>
      </c>
      <c r="E1127" s="17" t="str">
        <f aca="false">IF($A1127="","",COUNTIFS(Orders!$C$2:$C$20001,$A1127,Orders!$E$2:$E$20001,"Prepaid",Orders!$F$2:$F$20001,"Delivered")+COUNTIFS(Orders!$C$2:$C$20001,$A1127,Orders!$E$2:$E$20001,"Prepaid",Orders!$F$2:$F$20001,"RTO"))</f>
        <v/>
      </c>
      <c r="F1127" s="17" t="str">
        <f aca="false">IF($A1127="","",COUNTIFS(Orders!$C$2:$C$20001,$A1127,Orders!$E$2:$E$20001,"Prepaid",Orders!$F$2:$F$20001,"RTO"))</f>
        <v/>
      </c>
      <c r="G1127" s="18" t="str">
        <f aca="false">IF($A1127="","",IFERROR(F1127/E1127,0))</f>
        <v/>
      </c>
      <c r="H1127" s="19" t="str">
        <f aca="false">IF($A1127="","",C1127*Settings!$B$11)</f>
        <v/>
      </c>
      <c r="I1127" s="20" t="str">
        <f aca="false">IF($A1127="","",IF(N(H1127)=0,"",RANK(H1127,$H$5:$H$2004)))</f>
        <v/>
      </c>
      <c r="J1127" s="21" t="str">
        <f aca="false">IF($A1127="","",IF(B1127=0,"No COD orders",IF(B1127&lt;Settings!$B$8,"Too few orders",IF(D1127&gt;=Settings!$B$9,"Restrict COD or verify","Keep COD"))))</f>
        <v/>
      </c>
    </row>
    <row r="1128" customFormat="false" ht="15" hidden="false" customHeight="false" outlineLevel="0" collapsed="false">
      <c r="A1128" s="27"/>
      <c r="B1128" s="17" t="str">
        <f aca="false">IF($A1128="","",COUNTIFS(Orders!$C$2:$C$20001,$A1128,Orders!$E$2:$E$20001,"COD",Orders!$F$2:$F$20001,"Delivered")+COUNTIFS(Orders!$C$2:$C$20001,$A1128,Orders!$E$2:$E$20001,"COD",Orders!$F$2:$F$20001,"RTO"))</f>
        <v/>
      </c>
      <c r="C1128" s="17" t="str">
        <f aca="false">IF($A1128="","",COUNTIFS(Orders!$C$2:$C$20001,$A1128,Orders!$E$2:$E$20001,"COD",Orders!$F$2:$F$20001,"RTO"))</f>
        <v/>
      </c>
      <c r="D1128" s="18" t="str">
        <f aca="false">IF($A1128="","",IFERROR(C1128/B1128,0))</f>
        <v/>
      </c>
      <c r="E1128" s="17" t="str">
        <f aca="false">IF($A1128="","",COUNTIFS(Orders!$C$2:$C$20001,$A1128,Orders!$E$2:$E$20001,"Prepaid",Orders!$F$2:$F$20001,"Delivered")+COUNTIFS(Orders!$C$2:$C$20001,$A1128,Orders!$E$2:$E$20001,"Prepaid",Orders!$F$2:$F$20001,"RTO"))</f>
        <v/>
      </c>
      <c r="F1128" s="17" t="str">
        <f aca="false">IF($A1128="","",COUNTIFS(Orders!$C$2:$C$20001,$A1128,Orders!$E$2:$E$20001,"Prepaid",Orders!$F$2:$F$20001,"RTO"))</f>
        <v/>
      </c>
      <c r="G1128" s="18" t="str">
        <f aca="false">IF($A1128="","",IFERROR(F1128/E1128,0))</f>
        <v/>
      </c>
      <c r="H1128" s="19" t="str">
        <f aca="false">IF($A1128="","",C1128*Settings!$B$11)</f>
        <v/>
      </c>
      <c r="I1128" s="20" t="str">
        <f aca="false">IF($A1128="","",IF(N(H1128)=0,"",RANK(H1128,$H$5:$H$2004)))</f>
        <v/>
      </c>
      <c r="J1128" s="21" t="str">
        <f aca="false">IF($A1128="","",IF(B1128=0,"No COD orders",IF(B1128&lt;Settings!$B$8,"Too few orders",IF(D1128&gt;=Settings!$B$9,"Restrict COD or verify","Keep COD"))))</f>
        <v/>
      </c>
    </row>
    <row r="1129" customFormat="false" ht="15" hidden="false" customHeight="false" outlineLevel="0" collapsed="false">
      <c r="A1129" s="27"/>
      <c r="B1129" s="17" t="str">
        <f aca="false">IF($A1129="","",COUNTIFS(Orders!$C$2:$C$20001,$A1129,Orders!$E$2:$E$20001,"COD",Orders!$F$2:$F$20001,"Delivered")+COUNTIFS(Orders!$C$2:$C$20001,$A1129,Orders!$E$2:$E$20001,"COD",Orders!$F$2:$F$20001,"RTO"))</f>
        <v/>
      </c>
      <c r="C1129" s="17" t="str">
        <f aca="false">IF($A1129="","",COUNTIFS(Orders!$C$2:$C$20001,$A1129,Orders!$E$2:$E$20001,"COD",Orders!$F$2:$F$20001,"RTO"))</f>
        <v/>
      </c>
      <c r="D1129" s="18" t="str">
        <f aca="false">IF($A1129="","",IFERROR(C1129/B1129,0))</f>
        <v/>
      </c>
      <c r="E1129" s="17" t="str">
        <f aca="false">IF($A1129="","",COUNTIFS(Orders!$C$2:$C$20001,$A1129,Orders!$E$2:$E$20001,"Prepaid",Orders!$F$2:$F$20001,"Delivered")+COUNTIFS(Orders!$C$2:$C$20001,$A1129,Orders!$E$2:$E$20001,"Prepaid",Orders!$F$2:$F$20001,"RTO"))</f>
        <v/>
      </c>
      <c r="F1129" s="17" t="str">
        <f aca="false">IF($A1129="","",COUNTIFS(Orders!$C$2:$C$20001,$A1129,Orders!$E$2:$E$20001,"Prepaid",Orders!$F$2:$F$20001,"RTO"))</f>
        <v/>
      </c>
      <c r="G1129" s="18" t="str">
        <f aca="false">IF($A1129="","",IFERROR(F1129/E1129,0))</f>
        <v/>
      </c>
      <c r="H1129" s="19" t="str">
        <f aca="false">IF($A1129="","",C1129*Settings!$B$11)</f>
        <v/>
      </c>
      <c r="I1129" s="20" t="str">
        <f aca="false">IF($A1129="","",IF(N(H1129)=0,"",RANK(H1129,$H$5:$H$2004)))</f>
        <v/>
      </c>
      <c r="J1129" s="21" t="str">
        <f aca="false">IF($A1129="","",IF(B1129=0,"No COD orders",IF(B1129&lt;Settings!$B$8,"Too few orders",IF(D1129&gt;=Settings!$B$9,"Restrict COD or verify","Keep COD"))))</f>
        <v/>
      </c>
    </row>
    <row r="1130" customFormat="false" ht="15" hidden="false" customHeight="false" outlineLevel="0" collapsed="false">
      <c r="A1130" s="27"/>
      <c r="B1130" s="17" t="str">
        <f aca="false">IF($A1130="","",COUNTIFS(Orders!$C$2:$C$20001,$A1130,Orders!$E$2:$E$20001,"COD",Orders!$F$2:$F$20001,"Delivered")+COUNTIFS(Orders!$C$2:$C$20001,$A1130,Orders!$E$2:$E$20001,"COD",Orders!$F$2:$F$20001,"RTO"))</f>
        <v/>
      </c>
      <c r="C1130" s="17" t="str">
        <f aca="false">IF($A1130="","",COUNTIFS(Orders!$C$2:$C$20001,$A1130,Orders!$E$2:$E$20001,"COD",Orders!$F$2:$F$20001,"RTO"))</f>
        <v/>
      </c>
      <c r="D1130" s="18" t="str">
        <f aca="false">IF($A1130="","",IFERROR(C1130/B1130,0))</f>
        <v/>
      </c>
      <c r="E1130" s="17" t="str">
        <f aca="false">IF($A1130="","",COUNTIFS(Orders!$C$2:$C$20001,$A1130,Orders!$E$2:$E$20001,"Prepaid",Orders!$F$2:$F$20001,"Delivered")+COUNTIFS(Orders!$C$2:$C$20001,$A1130,Orders!$E$2:$E$20001,"Prepaid",Orders!$F$2:$F$20001,"RTO"))</f>
        <v/>
      </c>
      <c r="F1130" s="17" t="str">
        <f aca="false">IF($A1130="","",COUNTIFS(Orders!$C$2:$C$20001,$A1130,Orders!$E$2:$E$20001,"Prepaid",Orders!$F$2:$F$20001,"RTO"))</f>
        <v/>
      </c>
      <c r="G1130" s="18" t="str">
        <f aca="false">IF($A1130="","",IFERROR(F1130/E1130,0))</f>
        <v/>
      </c>
      <c r="H1130" s="19" t="str">
        <f aca="false">IF($A1130="","",C1130*Settings!$B$11)</f>
        <v/>
      </c>
      <c r="I1130" s="20" t="str">
        <f aca="false">IF($A1130="","",IF(N(H1130)=0,"",RANK(H1130,$H$5:$H$2004)))</f>
        <v/>
      </c>
      <c r="J1130" s="21" t="str">
        <f aca="false">IF($A1130="","",IF(B1130=0,"No COD orders",IF(B1130&lt;Settings!$B$8,"Too few orders",IF(D1130&gt;=Settings!$B$9,"Restrict COD or verify","Keep COD"))))</f>
        <v/>
      </c>
    </row>
    <row r="1131" customFormat="false" ht="15" hidden="false" customHeight="false" outlineLevel="0" collapsed="false">
      <c r="A1131" s="27"/>
      <c r="B1131" s="17" t="str">
        <f aca="false">IF($A1131="","",COUNTIFS(Orders!$C$2:$C$20001,$A1131,Orders!$E$2:$E$20001,"COD",Orders!$F$2:$F$20001,"Delivered")+COUNTIFS(Orders!$C$2:$C$20001,$A1131,Orders!$E$2:$E$20001,"COD",Orders!$F$2:$F$20001,"RTO"))</f>
        <v/>
      </c>
      <c r="C1131" s="17" t="str">
        <f aca="false">IF($A1131="","",COUNTIFS(Orders!$C$2:$C$20001,$A1131,Orders!$E$2:$E$20001,"COD",Orders!$F$2:$F$20001,"RTO"))</f>
        <v/>
      </c>
      <c r="D1131" s="18" t="str">
        <f aca="false">IF($A1131="","",IFERROR(C1131/B1131,0))</f>
        <v/>
      </c>
      <c r="E1131" s="17" t="str">
        <f aca="false">IF($A1131="","",COUNTIFS(Orders!$C$2:$C$20001,$A1131,Orders!$E$2:$E$20001,"Prepaid",Orders!$F$2:$F$20001,"Delivered")+COUNTIFS(Orders!$C$2:$C$20001,$A1131,Orders!$E$2:$E$20001,"Prepaid",Orders!$F$2:$F$20001,"RTO"))</f>
        <v/>
      </c>
      <c r="F1131" s="17" t="str">
        <f aca="false">IF($A1131="","",COUNTIFS(Orders!$C$2:$C$20001,$A1131,Orders!$E$2:$E$20001,"Prepaid",Orders!$F$2:$F$20001,"RTO"))</f>
        <v/>
      </c>
      <c r="G1131" s="18" t="str">
        <f aca="false">IF($A1131="","",IFERROR(F1131/E1131,0))</f>
        <v/>
      </c>
      <c r="H1131" s="19" t="str">
        <f aca="false">IF($A1131="","",C1131*Settings!$B$11)</f>
        <v/>
      </c>
      <c r="I1131" s="20" t="str">
        <f aca="false">IF($A1131="","",IF(N(H1131)=0,"",RANK(H1131,$H$5:$H$2004)))</f>
        <v/>
      </c>
      <c r="J1131" s="21" t="str">
        <f aca="false">IF($A1131="","",IF(B1131=0,"No COD orders",IF(B1131&lt;Settings!$B$8,"Too few orders",IF(D1131&gt;=Settings!$B$9,"Restrict COD or verify","Keep COD"))))</f>
        <v/>
      </c>
    </row>
    <row r="1132" customFormat="false" ht="15" hidden="false" customHeight="false" outlineLevel="0" collapsed="false">
      <c r="A1132" s="27"/>
      <c r="B1132" s="17" t="str">
        <f aca="false">IF($A1132="","",COUNTIFS(Orders!$C$2:$C$20001,$A1132,Orders!$E$2:$E$20001,"COD",Orders!$F$2:$F$20001,"Delivered")+COUNTIFS(Orders!$C$2:$C$20001,$A1132,Orders!$E$2:$E$20001,"COD",Orders!$F$2:$F$20001,"RTO"))</f>
        <v/>
      </c>
      <c r="C1132" s="17" t="str">
        <f aca="false">IF($A1132="","",COUNTIFS(Orders!$C$2:$C$20001,$A1132,Orders!$E$2:$E$20001,"COD",Orders!$F$2:$F$20001,"RTO"))</f>
        <v/>
      </c>
      <c r="D1132" s="18" t="str">
        <f aca="false">IF($A1132="","",IFERROR(C1132/B1132,0))</f>
        <v/>
      </c>
      <c r="E1132" s="17" t="str">
        <f aca="false">IF($A1132="","",COUNTIFS(Orders!$C$2:$C$20001,$A1132,Orders!$E$2:$E$20001,"Prepaid",Orders!$F$2:$F$20001,"Delivered")+COUNTIFS(Orders!$C$2:$C$20001,$A1132,Orders!$E$2:$E$20001,"Prepaid",Orders!$F$2:$F$20001,"RTO"))</f>
        <v/>
      </c>
      <c r="F1132" s="17" t="str">
        <f aca="false">IF($A1132="","",COUNTIFS(Orders!$C$2:$C$20001,$A1132,Orders!$E$2:$E$20001,"Prepaid",Orders!$F$2:$F$20001,"RTO"))</f>
        <v/>
      </c>
      <c r="G1132" s="18" t="str">
        <f aca="false">IF($A1132="","",IFERROR(F1132/E1132,0))</f>
        <v/>
      </c>
      <c r="H1132" s="19" t="str">
        <f aca="false">IF($A1132="","",C1132*Settings!$B$11)</f>
        <v/>
      </c>
      <c r="I1132" s="20" t="str">
        <f aca="false">IF($A1132="","",IF(N(H1132)=0,"",RANK(H1132,$H$5:$H$2004)))</f>
        <v/>
      </c>
      <c r="J1132" s="21" t="str">
        <f aca="false">IF($A1132="","",IF(B1132=0,"No COD orders",IF(B1132&lt;Settings!$B$8,"Too few orders",IF(D1132&gt;=Settings!$B$9,"Restrict COD or verify","Keep COD"))))</f>
        <v/>
      </c>
    </row>
    <row r="1133" customFormat="false" ht="15" hidden="false" customHeight="false" outlineLevel="0" collapsed="false">
      <c r="A1133" s="27"/>
      <c r="B1133" s="17" t="str">
        <f aca="false">IF($A1133="","",COUNTIFS(Orders!$C$2:$C$20001,$A1133,Orders!$E$2:$E$20001,"COD",Orders!$F$2:$F$20001,"Delivered")+COUNTIFS(Orders!$C$2:$C$20001,$A1133,Orders!$E$2:$E$20001,"COD",Orders!$F$2:$F$20001,"RTO"))</f>
        <v/>
      </c>
      <c r="C1133" s="17" t="str">
        <f aca="false">IF($A1133="","",COUNTIFS(Orders!$C$2:$C$20001,$A1133,Orders!$E$2:$E$20001,"COD",Orders!$F$2:$F$20001,"RTO"))</f>
        <v/>
      </c>
      <c r="D1133" s="18" t="str">
        <f aca="false">IF($A1133="","",IFERROR(C1133/B1133,0))</f>
        <v/>
      </c>
      <c r="E1133" s="17" t="str">
        <f aca="false">IF($A1133="","",COUNTIFS(Orders!$C$2:$C$20001,$A1133,Orders!$E$2:$E$20001,"Prepaid",Orders!$F$2:$F$20001,"Delivered")+COUNTIFS(Orders!$C$2:$C$20001,$A1133,Orders!$E$2:$E$20001,"Prepaid",Orders!$F$2:$F$20001,"RTO"))</f>
        <v/>
      </c>
      <c r="F1133" s="17" t="str">
        <f aca="false">IF($A1133="","",COUNTIFS(Orders!$C$2:$C$20001,$A1133,Orders!$E$2:$E$20001,"Prepaid",Orders!$F$2:$F$20001,"RTO"))</f>
        <v/>
      </c>
      <c r="G1133" s="18" t="str">
        <f aca="false">IF($A1133="","",IFERROR(F1133/E1133,0))</f>
        <v/>
      </c>
      <c r="H1133" s="19" t="str">
        <f aca="false">IF($A1133="","",C1133*Settings!$B$11)</f>
        <v/>
      </c>
      <c r="I1133" s="20" t="str">
        <f aca="false">IF($A1133="","",IF(N(H1133)=0,"",RANK(H1133,$H$5:$H$2004)))</f>
        <v/>
      </c>
      <c r="J1133" s="21" t="str">
        <f aca="false">IF($A1133="","",IF(B1133=0,"No COD orders",IF(B1133&lt;Settings!$B$8,"Too few orders",IF(D1133&gt;=Settings!$B$9,"Restrict COD or verify","Keep COD"))))</f>
        <v/>
      </c>
    </row>
    <row r="1134" customFormat="false" ht="15" hidden="false" customHeight="false" outlineLevel="0" collapsed="false">
      <c r="A1134" s="27"/>
      <c r="B1134" s="17" t="str">
        <f aca="false">IF($A1134="","",COUNTIFS(Orders!$C$2:$C$20001,$A1134,Orders!$E$2:$E$20001,"COD",Orders!$F$2:$F$20001,"Delivered")+COUNTIFS(Orders!$C$2:$C$20001,$A1134,Orders!$E$2:$E$20001,"COD",Orders!$F$2:$F$20001,"RTO"))</f>
        <v/>
      </c>
      <c r="C1134" s="17" t="str">
        <f aca="false">IF($A1134="","",COUNTIFS(Orders!$C$2:$C$20001,$A1134,Orders!$E$2:$E$20001,"COD",Orders!$F$2:$F$20001,"RTO"))</f>
        <v/>
      </c>
      <c r="D1134" s="18" t="str">
        <f aca="false">IF($A1134="","",IFERROR(C1134/B1134,0))</f>
        <v/>
      </c>
      <c r="E1134" s="17" t="str">
        <f aca="false">IF($A1134="","",COUNTIFS(Orders!$C$2:$C$20001,$A1134,Orders!$E$2:$E$20001,"Prepaid",Orders!$F$2:$F$20001,"Delivered")+COUNTIFS(Orders!$C$2:$C$20001,$A1134,Orders!$E$2:$E$20001,"Prepaid",Orders!$F$2:$F$20001,"RTO"))</f>
        <v/>
      </c>
      <c r="F1134" s="17" t="str">
        <f aca="false">IF($A1134="","",COUNTIFS(Orders!$C$2:$C$20001,$A1134,Orders!$E$2:$E$20001,"Prepaid",Orders!$F$2:$F$20001,"RTO"))</f>
        <v/>
      </c>
      <c r="G1134" s="18" t="str">
        <f aca="false">IF($A1134="","",IFERROR(F1134/E1134,0))</f>
        <v/>
      </c>
      <c r="H1134" s="19" t="str">
        <f aca="false">IF($A1134="","",C1134*Settings!$B$11)</f>
        <v/>
      </c>
      <c r="I1134" s="20" t="str">
        <f aca="false">IF($A1134="","",IF(N(H1134)=0,"",RANK(H1134,$H$5:$H$2004)))</f>
        <v/>
      </c>
      <c r="J1134" s="21" t="str">
        <f aca="false">IF($A1134="","",IF(B1134=0,"No COD orders",IF(B1134&lt;Settings!$B$8,"Too few orders",IF(D1134&gt;=Settings!$B$9,"Restrict COD or verify","Keep COD"))))</f>
        <v/>
      </c>
    </row>
    <row r="1135" customFormat="false" ht="15" hidden="false" customHeight="false" outlineLevel="0" collapsed="false">
      <c r="A1135" s="27"/>
      <c r="B1135" s="17" t="str">
        <f aca="false">IF($A1135="","",COUNTIFS(Orders!$C$2:$C$20001,$A1135,Orders!$E$2:$E$20001,"COD",Orders!$F$2:$F$20001,"Delivered")+COUNTIFS(Orders!$C$2:$C$20001,$A1135,Orders!$E$2:$E$20001,"COD",Orders!$F$2:$F$20001,"RTO"))</f>
        <v/>
      </c>
      <c r="C1135" s="17" t="str">
        <f aca="false">IF($A1135="","",COUNTIFS(Orders!$C$2:$C$20001,$A1135,Orders!$E$2:$E$20001,"COD",Orders!$F$2:$F$20001,"RTO"))</f>
        <v/>
      </c>
      <c r="D1135" s="18" t="str">
        <f aca="false">IF($A1135="","",IFERROR(C1135/B1135,0))</f>
        <v/>
      </c>
      <c r="E1135" s="17" t="str">
        <f aca="false">IF($A1135="","",COUNTIFS(Orders!$C$2:$C$20001,$A1135,Orders!$E$2:$E$20001,"Prepaid",Orders!$F$2:$F$20001,"Delivered")+COUNTIFS(Orders!$C$2:$C$20001,$A1135,Orders!$E$2:$E$20001,"Prepaid",Orders!$F$2:$F$20001,"RTO"))</f>
        <v/>
      </c>
      <c r="F1135" s="17" t="str">
        <f aca="false">IF($A1135="","",COUNTIFS(Orders!$C$2:$C$20001,$A1135,Orders!$E$2:$E$20001,"Prepaid",Orders!$F$2:$F$20001,"RTO"))</f>
        <v/>
      </c>
      <c r="G1135" s="18" t="str">
        <f aca="false">IF($A1135="","",IFERROR(F1135/E1135,0))</f>
        <v/>
      </c>
      <c r="H1135" s="19" t="str">
        <f aca="false">IF($A1135="","",C1135*Settings!$B$11)</f>
        <v/>
      </c>
      <c r="I1135" s="20" t="str">
        <f aca="false">IF($A1135="","",IF(N(H1135)=0,"",RANK(H1135,$H$5:$H$2004)))</f>
        <v/>
      </c>
      <c r="J1135" s="21" t="str">
        <f aca="false">IF($A1135="","",IF(B1135=0,"No COD orders",IF(B1135&lt;Settings!$B$8,"Too few orders",IF(D1135&gt;=Settings!$B$9,"Restrict COD or verify","Keep COD"))))</f>
        <v/>
      </c>
    </row>
    <row r="1136" customFormat="false" ht="15" hidden="false" customHeight="false" outlineLevel="0" collapsed="false">
      <c r="A1136" s="27"/>
      <c r="B1136" s="17" t="str">
        <f aca="false">IF($A1136="","",COUNTIFS(Orders!$C$2:$C$20001,$A1136,Orders!$E$2:$E$20001,"COD",Orders!$F$2:$F$20001,"Delivered")+COUNTIFS(Orders!$C$2:$C$20001,$A1136,Orders!$E$2:$E$20001,"COD",Orders!$F$2:$F$20001,"RTO"))</f>
        <v/>
      </c>
      <c r="C1136" s="17" t="str">
        <f aca="false">IF($A1136="","",COUNTIFS(Orders!$C$2:$C$20001,$A1136,Orders!$E$2:$E$20001,"COD",Orders!$F$2:$F$20001,"RTO"))</f>
        <v/>
      </c>
      <c r="D1136" s="18" t="str">
        <f aca="false">IF($A1136="","",IFERROR(C1136/B1136,0))</f>
        <v/>
      </c>
      <c r="E1136" s="17" t="str">
        <f aca="false">IF($A1136="","",COUNTIFS(Orders!$C$2:$C$20001,$A1136,Orders!$E$2:$E$20001,"Prepaid",Orders!$F$2:$F$20001,"Delivered")+COUNTIFS(Orders!$C$2:$C$20001,$A1136,Orders!$E$2:$E$20001,"Prepaid",Orders!$F$2:$F$20001,"RTO"))</f>
        <v/>
      </c>
      <c r="F1136" s="17" t="str">
        <f aca="false">IF($A1136="","",COUNTIFS(Orders!$C$2:$C$20001,$A1136,Orders!$E$2:$E$20001,"Prepaid",Orders!$F$2:$F$20001,"RTO"))</f>
        <v/>
      </c>
      <c r="G1136" s="18" t="str">
        <f aca="false">IF($A1136="","",IFERROR(F1136/E1136,0))</f>
        <v/>
      </c>
      <c r="H1136" s="19" t="str">
        <f aca="false">IF($A1136="","",C1136*Settings!$B$11)</f>
        <v/>
      </c>
      <c r="I1136" s="20" t="str">
        <f aca="false">IF($A1136="","",IF(N(H1136)=0,"",RANK(H1136,$H$5:$H$2004)))</f>
        <v/>
      </c>
      <c r="J1136" s="21" t="str">
        <f aca="false">IF($A1136="","",IF(B1136=0,"No COD orders",IF(B1136&lt;Settings!$B$8,"Too few orders",IF(D1136&gt;=Settings!$B$9,"Restrict COD or verify","Keep COD"))))</f>
        <v/>
      </c>
    </row>
    <row r="1137" customFormat="false" ht="15" hidden="false" customHeight="false" outlineLevel="0" collapsed="false">
      <c r="A1137" s="27"/>
      <c r="B1137" s="17" t="str">
        <f aca="false">IF($A1137="","",COUNTIFS(Orders!$C$2:$C$20001,$A1137,Orders!$E$2:$E$20001,"COD",Orders!$F$2:$F$20001,"Delivered")+COUNTIFS(Orders!$C$2:$C$20001,$A1137,Orders!$E$2:$E$20001,"COD",Orders!$F$2:$F$20001,"RTO"))</f>
        <v/>
      </c>
      <c r="C1137" s="17" t="str">
        <f aca="false">IF($A1137="","",COUNTIFS(Orders!$C$2:$C$20001,$A1137,Orders!$E$2:$E$20001,"COD",Orders!$F$2:$F$20001,"RTO"))</f>
        <v/>
      </c>
      <c r="D1137" s="18" t="str">
        <f aca="false">IF($A1137="","",IFERROR(C1137/B1137,0))</f>
        <v/>
      </c>
      <c r="E1137" s="17" t="str">
        <f aca="false">IF($A1137="","",COUNTIFS(Orders!$C$2:$C$20001,$A1137,Orders!$E$2:$E$20001,"Prepaid",Orders!$F$2:$F$20001,"Delivered")+COUNTIFS(Orders!$C$2:$C$20001,$A1137,Orders!$E$2:$E$20001,"Prepaid",Orders!$F$2:$F$20001,"RTO"))</f>
        <v/>
      </c>
      <c r="F1137" s="17" t="str">
        <f aca="false">IF($A1137="","",COUNTIFS(Orders!$C$2:$C$20001,$A1137,Orders!$E$2:$E$20001,"Prepaid",Orders!$F$2:$F$20001,"RTO"))</f>
        <v/>
      </c>
      <c r="G1137" s="18" t="str">
        <f aca="false">IF($A1137="","",IFERROR(F1137/E1137,0))</f>
        <v/>
      </c>
      <c r="H1137" s="19" t="str">
        <f aca="false">IF($A1137="","",C1137*Settings!$B$11)</f>
        <v/>
      </c>
      <c r="I1137" s="20" t="str">
        <f aca="false">IF($A1137="","",IF(N(H1137)=0,"",RANK(H1137,$H$5:$H$2004)))</f>
        <v/>
      </c>
      <c r="J1137" s="21" t="str">
        <f aca="false">IF($A1137="","",IF(B1137=0,"No COD orders",IF(B1137&lt;Settings!$B$8,"Too few orders",IF(D1137&gt;=Settings!$B$9,"Restrict COD or verify","Keep COD"))))</f>
        <v/>
      </c>
    </row>
    <row r="1138" customFormat="false" ht="15" hidden="false" customHeight="false" outlineLevel="0" collapsed="false">
      <c r="A1138" s="27"/>
      <c r="B1138" s="17" t="str">
        <f aca="false">IF($A1138="","",COUNTIFS(Orders!$C$2:$C$20001,$A1138,Orders!$E$2:$E$20001,"COD",Orders!$F$2:$F$20001,"Delivered")+COUNTIFS(Orders!$C$2:$C$20001,$A1138,Orders!$E$2:$E$20001,"COD",Orders!$F$2:$F$20001,"RTO"))</f>
        <v/>
      </c>
      <c r="C1138" s="17" t="str">
        <f aca="false">IF($A1138="","",COUNTIFS(Orders!$C$2:$C$20001,$A1138,Orders!$E$2:$E$20001,"COD",Orders!$F$2:$F$20001,"RTO"))</f>
        <v/>
      </c>
      <c r="D1138" s="18" t="str">
        <f aca="false">IF($A1138="","",IFERROR(C1138/B1138,0))</f>
        <v/>
      </c>
      <c r="E1138" s="17" t="str">
        <f aca="false">IF($A1138="","",COUNTIFS(Orders!$C$2:$C$20001,$A1138,Orders!$E$2:$E$20001,"Prepaid",Orders!$F$2:$F$20001,"Delivered")+COUNTIFS(Orders!$C$2:$C$20001,$A1138,Orders!$E$2:$E$20001,"Prepaid",Orders!$F$2:$F$20001,"RTO"))</f>
        <v/>
      </c>
      <c r="F1138" s="17" t="str">
        <f aca="false">IF($A1138="","",COUNTIFS(Orders!$C$2:$C$20001,$A1138,Orders!$E$2:$E$20001,"Prepaid",Orders!$F$2:$F$20001,"RTO"))</f>
        <v/>
      </c>
      <c r="G1138" s="18" t="str">
        <f aca="false">IF($A1138="","",IFERROR(F1138/E1138,0))</f>
        <v/>
      </c>
      <c r="H1138" s="19" t="str">
        <f aca="false">IF($A1138="","",C1138*Settings!$B$11)</f>
        <v/>
      </c>
      <c r="I1138" s="20" t="str">
        <f aca="false">IF($A1138="","",IF(N(H1138)=0,"",RANK(H1138,$H$5:$H$2004)))</f>
        <v/>
      </c>
      <c r="J1138" s="21" t="str">
        <f aca="false">IF($A1138="","",IF(B1138=0,"No COD orders",IF(B1138&lt;Settings!$B$8,"Too few orders",IF(D1138&gt;=Settings!$B$9,"Restrict COD or verify","Keep COD"))))</f>
        <v/>
      </c>
    </row>
    <row r="1139" customFormat="false" ht="15" hidden="false" customHeight="false" outlineLevel="0" collapsed="false">
      <c r="A1139" s="27"/>
      <c r="B1139" s="17" t="str">
        <f aca="false">IF($A1139="","",COUNTIFS(Orders!$C$2:$C$20001,$A1139,Orders!$E$2:$E$20001,"COD",Orders!$F$2:$F$20001,"Delivered")+COUNTIFS(Orders!$C$2:$C$20001,$A1139,Orders!$E$2:$E$20001,"COD",Orders!$F$2:$F$20001,"RTO"))</f>
        <v/>
      </c>
      <c r="C1139" s="17" t="str">
        <f aca="false">IF($A1139="","",COUNTIFS(Orders!$C$2:$C$20001,$A1139,Orders!$E$2:$E$20001,"COD",Orders!$F$2:$F$20001,"RTO"))</f>
        <v/>
      </c>
      <c r="D1139" s="18" t="str">
        <f aca="false">IF($A1139="","",IFERROR(C1139/B1139,0))</f>
        <v/>
      </c>
      <c r="E1139" s="17" t="str">
        <f aca="false">IF($A1139="","",COUNTIFS(Orders!$C$2:$C$20001,$A1139,Orders!$E$2:$E$20001,"Prepaid",Orders!$F$2:$F$20001,"Delivered")+COUNTIFS(Orders!$C$2:$C$20001,$A1139,Orders!$E$2:$E$20001,"Prepaid",Orders!$F$2:$F$20001,"RTO"))</f>
        <v/>
      </c>
      <c r="F1139" s="17" t="str">
        <f aca="false">IF($A1139="","",COUNTIFS(Orders!$C$2:$C$20001,$A1139,Orders!$E$2:$E$20001,"Prepaid",Orders!$F$2:$F$20001,"RTO"))</f>
        <v/>
      </c>
      <c r="G1139" s="18" t="str">
        <f aca="false">IF($A1139="","",IFERROR(F1139/E1139,0))</f>
        <v/>
      </c>
      <c r="H1139" s="19" t="str">
        <f aca="false">IF($A1139="","",C1139*Settings!$B$11)</f>
        <v/>
      </c>
      <c r="I1139" s="20" t="str">
        <f aca="false">IF($A1139="","",IF(N(H1139)=0,"",RANK(H1139,$H$5:$H$2004)))</f>
        <v/>
      </c>
      <c r="J1139" s="21" t="str">
        <f aca="false">IF($A1139="","",IF(B1139=0,"No COD orders",IF(B1139&lt;Settings!$B$8,"Too few orders",IF(D1139&gt;=Settings!$B$9,"Restrict COD or verify","Keep COD"))))</f>
        <v/>
      </c>
    </row>
    <row r="1140" customFormat="false" ht="15" hidden="false" customHeight="false" outlineLevel="0" collapsed="false">
      <c r="A1140" s="27"/>
      <c r="B1140" s="17" t="str">
        <f aca="false">IF($A1140="","",COUNTIFS(Orders!$C$2:$C$20001,$A1140,Orders!$E$2:$E$20001,"COD",Orders!$F$2:$F$20001,"Delivered")+COUNTIFS(Orders!$C$2:$C$20001,$A1140,Orders!$E$2:$E$20001,"COD",Orders!$F$2:$F$20001,"RTO"))</f>
        <v/>
      </c>
      <c r="C1140" s="17" t="str">
        <f aca="false">IF($A1140="","",COUNTIFS(Orders!$C$2:$C$20001,$A1140,Orders!$E$2:$E$20001,"COD",Orders!$F$2:$F$20001,"RTO"))</f>
        <v/>
      </c>
      <c r="D1140" s="18" t="str">
        <f aca="false">IF($A1140="","",IFERROR(C1140/B1140,0))</f>
        <v/>
      </c>
      <c r="E1140" s="17" t="str">
        <f aca="false">IF($A1140="","",COUNTIFS(Orders!$C$2:$C$20001,$A1140,Orders!$E$2:$E$20001,"Prepaid",Orders!$F$2:$F$20001,"Delivered")+COUNTIFS(Orders!$C$2:$C$20001,$A1140,Orders!$E$2:$E$20001,"Prepaid",Orders!$F$2:$F$20001,"RTO"))</f>
        <v/>
      </c>
      <c r="F1140" s="17" t="str">
        <f aca="false">IF($A1140="","",COUNTIFS(Orders!$C$2:$C$20001,$A1140,Orders!$E$2:$E$20001,"Prepaid",Orders!$F$2:$F$20001,"RTO"))</f>
        <v/>
      </c>
      <c r="G1140" s="18" t="str">
        <f aca="false">IF($A1140="","",IFERROR(F1140/E1140,0))</f>
        <v/>
      </c>
      <c r="H1140" s="19" t="str">
        <f aca="false">IF($A1140="","",C1140*Settings!$B$11)</f>
        <v/>
      </c>
      <c r="I1140" s="20" t="str">
        <f aca="false">IF($A1140="","",IF(N(H1140)=0,"",RANK(H1140,$H$5:$H$2004)))</f>
        <v/>
      </c>
      <c r="J1140" s="21" t="str">
        <f aca="false">IF($A1140="","",IF(B1140=0,"No COD orders",IF(B1140&lt;Settings!$B$8,"Too few orders",IF(D1140&gt;=Settings!$B$9,"Restrict COD or verify","Keep COD"))))</f>
        <v/>
      </c>
    </row>
    <row r="1141" customFormat="false" ht="15" hidden="false" customHeight="false" outlineLevel="0" collapsed="false">
      <c r="A1141" s="27"/>
      <c r="B1141" s="17" t="str">
        <f aca="false">IF($A1141="","",COUNTIFS(Orders!$C$2:$C$20001,$A1141,Orders!$E$2:$E$20001,"COD",Orders!$F$2:$F$20001,"Delivered")+COUNTIFS(Orders!$C$2:$C$20001,$A1141,Orders!$E$2:$E$20001,"COD",Orders!$F$2:$F$20001,"RTO"))</f>
        <v/>
      </c>
      <c r="C1141" s="17" t="str">
        <f aca="false">IF($A1141="","",COUNTIFS(Orders!$C$2:$C$20001,$A1141,Orders!$E$2:$E$20001,"COD",Orders!$F$2:$F$20001,"RTO"))</f>
        <v/>
      </c>
      <c r="D1141" s="18" t="str">
        <f aca="false">IF($A1141="","",IFERROR(C1141/B1141,0))</f>
        <v/>
      </c>
      <c r="E1141" s="17" t="str">
        <f aca="false">IF($A1141="","",COUNTIFS(Orders!$C$2:$C$20001,$A1141,Orders!$E$2:$E$20001,"Prepaid",Orders!$F$2:$F$20001,"Delivered")+COUNTIFS(Orders!$C$2:$C$20001,$A1141,Orders!$E$2:$E$20001,"Prepaid",Orders!$F$2:$F$20001,"RTO"))</f>
        <v/>
      </c>
      <c r="F1141" s="17" t="str">
        <f aca="false">IF($A1141="","",COUNTIFS(Orders!$C$2:$C$20001,$A1141,Orders!$E$2:$E$20001,"Prepaid",Orders!$F$2:$F$20001,"RTO"))</f>
        <v/>
      </c>
      <c r="G1141" s="18" t="str">
        <f aca="false">IF($A1141="","",IFERROR(F1141/E1141,0))</f>
        <v/>
      </c>
      <c r="H1141" s="19" t="str">
        <f aca="false">IF($A1141="","",C1141*Settings!$B$11)</f>
        <v/>
      </c>
      <c r="I1141" s="20" t="str">
        <f aca="false">IF($A1141="","",IF(N(H1141)=0,"",RANK(H1141,$H$5:$H$2004)))</f>
        <v/>
      </c>
      <c r="J1141" s="21" t="str">
        <f aca="false">IF($A1141="","",IF(B1141=0,"No COD orders",IF(B1141&lt;Settings!$B$8,"Too few orders",IF(D1141&gt;=Settings!$B$9,"Restrict COD or verify","Keep COD"))))</f>
        <v/>
      </c>
    </row>
    <row r="1142" customFormat="false" ht="15" hidden="false" customHeight="false" outlineLevel="0" collapsed="false">
      <c r="A1142" s="27"/>
      <c r="B1142" s="17" t="str">
        <f aca="false">IF($A1142="","",COUNTIFS(Orders!$C$2:$C$20001,$A1142,Orders!$E$2:$E$20001,"COD",Orders!$F$2:$F$20001,"Delivered")+COUNTIFS(Orders!$C$2:$C$20001,$A1142,Orders!$E$2:$E$20001,"COD",Orders!$F$2:$F$20001,"RTO"))</f>
        <v/>
      </c>
      <c r="C1142" s="17" t="str">
        <f aca="false">IF($A1142="","",COUNTIFS(Orders!$C$2:$C$20001,$A1142,Orders!$E$2:$E$20001,"COD",Orders!$F$2:$F$20001,"RTO"))</f>
        <v/>
      </c>
      <c r="D1142" s="18" t="str">
        <f aca="false">IF($A1142="","",IFERROR(C1142/B1142,0))</f>
        <v/>
      </c>
      <c r="E1142" s="17" t="str">
        <f aca="false">IF($A1142="","",COUNTIFS(Orders!$C$2:$C$20001,$A1142,Orders!$E$2:$E$20001,"Prepaid",Orders!$F$2:$F$20001,"Delivered")+COUNTIFS(Orders!$C$2:$C$20001,$A1142,Orders!$E$2:$E$20001,"Prepaid",Orders!$F$2:$F$20001,"RTO"))</f>
        <v/>
      </c>
      <c r="F1142" s="17" t="str">
        <f aca="false">IF($A1142="","",COUNTIFS(Orders!$C$2:$C$20001,$A1142,Orders!$E$2:$E$20001,"Prepaid",Orders!$F$2:$F$20001,"RTO"))</f>
        <v/>
      </c>
      <c r="G1142" s="18" t="str">
        <f aca="false">IF($A1142="","",IFERROR(F1142/E1142,0))</f>
        <v/>
      </c>
      <c r="H1142" s="19" t="str">
        <f aca="false">IF($A1142="","",C1142*Settings!$B$11)</f>
        <v/>
      </c>
      <c r="I1142" s="20" t="str">
        <f aca="false">IF($A1142="","",IF(N(H1142)=0,"",RANK(H1142,$H$5:$H$2004)))</f>
        <v/>
      </c>
      <c r="J1142" s="21" t="str">
        <f aca="false">IF($A1142="","",IF(B1142=0,"No COD orders",IF(B1142&lt;Settings!$B$8,"Too few orders",IF(D1142&gt;=Settings!$B$9,"Restrict COD or verify","Keep COD"))))</f>
        <v/>
      </c>
    </row>
    <row r="1143" customFormat="false" ht="15" hidden="false" customHeight="false" outlineLevel="0" collapsed="false">
      <c r="A1143" s="27"/>
      <c r="B1143" s="17" t="str">
        <f aca="false">IF($A1143="","",COUNTIFS(Orders!$C$2:$C$20001,$A1143,Orders!$E$2:$E$20001,"COD",Orders!$F$2:$F$20001,"Delivered")+COUNTIFS(Orders!$C$2:$C$20001,$A1143,Orders!$E$2:$E$20001,"COD",Orders!$F$2:$F$20001,"RTO"))</f>
        <v/>
      </c>
      <c r="C1143" s="17" t="str">
        <f aca="false">IF($A1143="","",COUNTIFS(Orders!$C$2:$C$20001,$A1143,Orders!$E$2:$E$20001,"COD",Orders!$F$2:$F$20001,"RTO"))</f>
        <v/>
      </c>
      <c r="D1143" s="18" t="str">
        <f aca="false">IF($A1143="","",IFERROR(C1143/B1143,0))</f>
        <v/>
      </c>
      <c r="E1143" s="17" t="str">
        <f aca="false">IF($A1143="","",COUNTIFS(Orders!$C$2:$C$20001,$A1143,Orders!$E$2:$E$20001,"Prepaid",Orders!$F$2:$F$20001,"Delivered")+COUNTIFS(Orders!$C$2:$C$20001,$A1143,Orders!$E$2:$E$20001,"Prepaid",Orders!$F$2:$F$20001,"RTO"))</f>
        <v/>
      </c>
      <c r="F1143" s="17" t="str">
        <f aca="false">IF($A1143="","",COUNTIFS(Orders!$C$2:$C$20001,$A1143,Orders!$E$2:$E$20001,"Prepaid",Orders!$F$2:$F$20001,"RTO"))</f>
        <v/>
      </c>
      <c r="G1143" s="18" t="str">
        <f aca="false">IF($A1143="","",IFERROR(F1143/E1143,0))</f>
        <v/>
      </c>
      <c r="H1143" s="19" t="str">
        <f aca="false">IF($A1143="","",C1143*Settings!$B$11)</f>
        <v/>
      </c>
      <c r="I1143" s="20" t="str">
        <f aca="false">IF($A1143="","",IF(N(H1143)=0,"",RANK(H1143,$H$5:$H$2004)))</f>
        <v/>
      </c>
      <c r="J1143" s="21" t="str">
        <f aca="false">IF($A1143="","",IF(B1143=0,"No COD orders",IF(B1143&lt;Settings!$B$8,"Too few orders",IF(D1143&gt;=Settings!$B$9,"Restrict COD or verify","Keep COD"))))</f>
        <v/>
      </c>
    </row>
    <row r="1144" customFormat="false" ht="15" hidden="false" customHeight="false" outlineLevel="0" collapsed="false">
      <c r="A1144" s="27"/>
      <c r="B1144" s="17" t="str">
        <f aca="false">IF($A1144="","",COUNTIFS(Orders!$C$2:$C$20001,$A1144,Orders!$E$2:$E$20001,"COD",Orders!$F$2:$F$20001,"Delivered")+COUNTIFS(Orders!$C$2:$C$20001,$A1144,Orders!$E$2:$E$20001,"COD",Orders!$F$2:$F$20001,"RTO"))</f>
        <v/>
      </c>
      <c r="C1144" s="17" t="str">
        <f aca="false">IF($A1144="","",COUNTIFS(Orders!$C$2:$C$20001,$A1144,Orders!$E$2:$E$20001,"COD",Orders!$F$2:$F$20001,"RTO"))</f>
        <v/>
      </c>
      <c r="D1144" s="18" t="str">
        <f aca="false">IF($A1144="","",IFERROR(C1144/B1144,0))</f>
        <v/>
      </c>
      <c r="E1144" s="17" t="str">
        <f aca="false">IF($A1144="","",COUNTIFS(Orders!$C$2:$C$20001,$A1144,Orders!$E$2:$E$20001,"Prepaid",Orders!$F$2:$F$20001,"Delivered")+COUNTIFS(Orders!$C$2:$C$20001,$A1144,Orders!$E$2:$E$20001,"Prepaid",Orders!$F$2:$F$20001,"RTO"))</f>
        <v/>
      </c>
      <c r="F1144" s="17" t="str">
        <f aca="false">IF($A1144="","",COUNTIFS(Orders!$C$2:$C$20001,$A1144,Orders!$E$2:$E$20001,"Prepaid",Orders!$F$2:$F$20001,"RTO"))</f>
        <v/>
      </c>
      <c r="G1144" s="18" t="str">
        <f aca="false">IF($A1144="","",IFERROR(F1144/E1144,0))</f>
        <v/>
      </c>
      <c r="H1144" s="19" t="str">
        <f aca="false">IF($A1144="","",C1144*Settings!$B$11)</f>
        <v/>
      </c>
      <c r="I1144" s="20" t="str">
        <f aca="false">IF($A1144="","",IF(N(H1144)=0,"",RANK(H1144,$H$5:$H$2004)))</f>
        <v/>
      </c>
      <c r="J1144" s="21" t="str">
        <f aca="false">IF($A1144="","",IF(B1144=0,"No COD orders",IF(B1144&lt;Settings!$B$8,"Too few orders",IF(D1144&gt;=Settings!$B$9,"Restrict COD or verify","Keep COD"))))</f>
        <v/>
      </c>
    </row>
    <row r="1145" customFormat="false" ht="15" hidden="false" customHeight="false" outlineLevel="0" collapsed="false">
      <c r="A1145" s="27"/>
      <c r="B1145" s="17" t="str">
        <f aca="false">IF($A1145="","",COUNTIFS(Orders!$C$2:$C$20001,$A1145,Orders!$E$2:$E$20001,"COD",Orders!$F$2:$F$20001,"Delivered")+COUNTIFS(Orders!$C$2:$C$20001,$A1145,Orders!$E$2:$E$20001,"COD",Orders!$F$2:$F$20001,"RTO"))</f>
        <v/>
      </c>
      <c r="C1145" s="17" t="str">
        <f aca="false">IF($A1145="","",COUNTIFS(Orders!$C$2:$C$20001,$A1145,Orders!$E$2:$E$20001,"COD",Orders!$F$2:$F$20001,"RTO"))</f>
        <v/>
      </c>
      <c r="D1145" s="18" t="str">
        <f aca="false">IF($A1145="","",IFERROR(C1145/B1145,0))</f>
        <v/>
      </c>
      <c r="E1145" s="17" t="str">
        <f aca="false">IF($A1145="","",COUNTIFS(Orders!$C$2:$C$20001,$A1145,Orders!$E$2:$E$20001,"Prepaid",Orders!$F$2:$F$20001,"Delivered")+COUNTIFS(Orders!$C$2:$C$20001,$A1145,Orders!$E$2:$E$20001,"Prepaid",Orders!$F$2:$F$20001,"RTO"))</f>
        <v/>
      </c>
      <c r="F1145" s="17" t="str">
        <f aca="false">IF($A1145="","",COUNTIFS(Orders!$C$2:$C$20001,$A1145,Orders!$E$2:$E$20001,"Prepaid",Orders!$F$2:$F$20001,"RTO"))</f>
        <v/>
      </c>
      <c r="G1145" s="18" t="str">
        <f aca="false">IF($A1145="","",IFERROR(F1145/E1145,0))</f>
        <v/>
      </c>
      <c r="H1145" s="19" t="str">
        <f aca="false">IF($A1145="","",C1145*Settings!$B$11)</f>
        <v/>
      </c>
      <c r="I1145" s="20" t="str">
        <f aca="false">IF($A1145="","",IF(N(H1145)=0,"",RANK(H1145,$H$5:$H$2004)))</f>
        <v/>
      </c>
      <c r="J1145" s="21" t="str">
        <f aca="false">IF($A1145="","",IF(B1145=0,"No COD orders",IF(B1145&lt;Settings!$B$8,"Too few orders",IF(D1145&gt;=Settings!$B$9,"Restrict COD or verify","Keep COD"))))</f>
        <v/>
      </c>
    </row>
    <row r="1146" customFormat="false" ht="15" hidden="false" customHeight="false" outlineLevel="0" collapsed="false">
      <c r="A1146" s="27"/>
      <c r="B1146" s="17" t="str">
        <f aca="false">IF($A1146="","",COUNTIFS(Orders!$C$2:$C$20001,$A1146,Orders!$E$2:$E$20001,"COD",Orders!$F$2:$F$20001,"Delivered")+COUNTIFS(Orders!$C$2:$C$20001,$A1146,Orders!$E$2:$E$20001,"COD",Orders!$F$2:$F$20001,"RTO"))</f>
        <v/>
      </c>
      <c r="C1146" s="17" t="str">
        <f aca="false">IF($A1146="","",COUNTIFS(Orders!$C$2:$C$20001,$A1146,Orders!$E$2:$E$20001,"COD",Orders!$F$2:$F$20001,"RTO"))</f>
        <v/>
      </c>
      <c r="D1146" s="18" t="str">
        <f aca="false">IF($A1146="","",IFERROR(C1146/B1146,0))</f>
        <v/>
      </c>
      <c r="E1146" s="17" t="str">
        <f aca="false">IF($A1146="","",COUNTIFS(Orders!$C$2:$C$20001,$A1146,Orders!$E$2:$E$20001,"Prepaid",Orders!$F$2:$F$20001,"Delivered")+COUNTIFS(Orders!$C$2:$C$20001,$A1146,Orders!$E$2:$E$20001,"Prepaid",Orders!$F$2:$F$20001,"RTO"))</f>
        <v/>
      </c>
      <c r="F1146" s="17" t="str">
        <f aca="false">IF($A1146="","",COUNTIFS(Orders!$C$2:$C$20001,$A1146,Orders!$E$2:$E$20001,"Prepaid",Orders!$F$2:$F$20001,"RTO"))</f>
        <v/>
      </c>
      <c r="G1146" s="18" t="str">
        <f aca="false">IF($A1146="","",IFERROR(F1146/E1146,0))</f>
        <v/>
      </c>
      <c r="H1146" s="19" t="str">
        <f aca="false">IF($A1146="","",C1146*Settings!$B$11)</f>
        <v/>
      </c>
      <c r="I1146" s="20" t="str">
        <f aca="false">IF($A1146="","",IF(N(H1146)=0,"",RANK(H1146,$H$5:$H$2004)))</f>
        <v/>
      </c>
      <c r="J1146" s="21" t="str">
        <f aca="false">IF($A1146="","",IF(B1146=0,"No COD orders",IF(B1146&lt;Settings!$B$8,"Too few orders",IF(D1146&gt;=Settings!$B$9,"Restrict COD or verify","Keep COD"))))</f>
        <v/>
      </c>
    </row>
    <row r="1147" customFormat="false" ht="15" hidden="false" customHeight="false" outlineLevel="0" collapsed="false">
      <c r="A1147" s="27"/>
      <c r="B1147" s="17" t="str">
        <f aca="false">IF($A1147="","",COUNTIFS(Orders!$C$2:$C$20001,$A1147,Orders!$E$2:$E$20001,"COD",Orders!$F$2:$F$20001,"Delivered")+COUNTIFS(Orders!$C$2:$C$20001,$A1147,Orders!$E$2:$E$20001,"COD",Orders!$F$2:$F$20001,"RTO"))</f>
        <v/>
      </c>
      <c r="C1147" s="17" t="str">
        <f aca="false">IF($A1147="","",COUNTIFS(Orders!$C$2:$C$20001,$A1147,Orders!$E$2:$E$20001,"COD",Orders!$F$2:$F$20001,"RTO"))</f>
        <v/>
      </c>
      <c r="D1147" s="18" t="str">
        <f aca="false">IF($A1147="","",IFERROR(C1147/B1147,0))</f>
        <v/>
      </c>
      <c r="E1147" s="17" t="str">
        <f aca="false">IF($A1147="","",COUNTIFS(Orders!$C$2:$C$20001,$A1147,Orders!$E$2:$E$20001,"Prepaid",Orders!$F$2:$F$20001,"Delivered")+COUNTIFS(Orders!$C$2:$C$20001,$A1147,Orders!$E$2:$E$20001,"Prepaid",Orders!$F$2:$F$20001,"RTO"))</f>
        <v/>
      </c>
      <c r="F1147" s="17" t="str">
        <f aca="false">IF($A1147="","",COUNTIFS(Orders!$C$2:$C$20001,$A1147,Orders!$E$2:$E$20001,"Prepaid",Orders!$F$2:$F$20001,"RTO"))</f>
        <v/>
      </c>
      <c r="G1147" s="18" t="str">
        <f aca="false">IF($A1147="","",IFERROR(F1147/E1147,0))</f>
        <v/>
      </c>
      <c r="H1147" s="19" t="str">
        <f aca="false">IF($A1147="","",C1147*Settings!$B$11)</f>
        <v/>
      </c>
      <c r="I1147" s="20" t="str">
        <f aca="false">IF($A1147="","",IF(N(H1147)=0,"",RANK(H1147,$H$5:$H$2004)))</f>
        <v/>
      </c>
      <c r="J1147" s="21" t="str">
        <f aca="false">IF($A1147="","",IF(B1147=0,"No COD orders",IF(B1147&lt;Settings!$B$8,"Too few orders",IF(D1147&gt;=Settings!$B$9,"Restrict COD or verify","Keep COD"))))</f>
        <v/>
      </c>
    </row>
    <row r="1148" customFormat="false" ht="15" hidden="false" customHeight="false" outlineLevel="0" collapsed="false">
      <c r="A1148" s="27"/>
      <c r="B1148" s="17" t="str">
        <f aca="false">IF($A1148="","",COUNTIFS(Orders!$C$2:$C$20001,$A1148,Orders!$E$2:$E$20001,"COD",Orders!$F$2:$F$20001,"Delivered")+COUNTIFS(Orders!$C$2:$C$20001,$A1148,Orders!$E$2:$E$20001,"COD",Orders!$F$2:$F$20001,"RTO"))</f>
        <v/>
      </c>
      <c r="C1148" s="17" t="str">
        <f aca="false">IF($A1148="","",COUNTIFS(Orders!$C$2:$C$20001,$A1148,Orders!$E$2:$E$20001,"COD",Orders!$F$2:$F$20001,"RTO"))</f>
        <v/>
      </c>
      <c r="D1148" s="18" t="str">
        <f aca="false">IF($A1148="","",IFERROR(C1148/B1148,0))</f>
        <v/>
      </c>
      <c r="E1148" s="17" t="str">
        <f aca="false">IF($A1148="","",COUNTIFS(Orders!$C$2:$C$20001,$A1148,Orders!$E$2:$E$20001,"Prepaid",Orders!$F$2:$F$20001,"Delivered")+COUNTIFS(Orders!$C$2:$C$20001,$A1148,Orders!$E$2:$E$20001,"Prepaid",Orders!$F$2:$F$20001,"RTO"))</f>
        <v/>
      </c>
      <c r="F1148" s="17" t="str">
        <f aca="false">IF($A1148="","",COUNTIFS(Orders!$C$2:$C$20001,$A1148,Orders!$E$2:$E$20001,"Prepaid",Orders!$F$2:$F$20001,"RTO"))</f>
        <v/>
      </c>
      <c r="G1148" s="18" t="str">
        <f aca="false">IF($A1148="","",IFERROR(F1148/E1148,0))</f>
        <v/>
      </c>
      <c r="H1148" s="19" t="str">
        <f aca="false">IF($A1148="","",C1148*Settings!$B$11)</f>
        <v/>
      </c>
      <c r="I1148" s="20" t="str">
        <f aca="false">IF($A1148="","",IF(N(H1148)=0,"",RANK(H1148,$H$5:$H$2004)))</f>
        <v/>
      </c>
      <c r="J1148" s="21" t="str">
        <f aca="false">IF($A1148="","",IF(B1148=0,"No COD orders",IF(B1148&lt;Settings!$B$8,"Too few orders",IF(D1148&gt;=Settings!$B$9,"Restrict COD or verify","Keep COD"))))</f>
        <v/>
      </c>
    </row>
    <row r="1149" customFormat="false" ht="15" hidden="false" customHeight="false" outlineLevel="0" collapsed="false">
      <c r="A1149" s="27"/>
      <c r="B1149" s="17" t="str">
        <f aca="false">IF($A1149="","",COUNTIFS(Orders!$C$2:$C$20001,$A1149,Orders!$E$2:$E$20001,"COD",Orders!$F$2:$F$20001,"Delivered")+COUNTIFS(Orders!$C$2:$C$20001,$A1149,Orders!$E$2:$E$20001,"COD",Orders!$F$2:$F$20001,"RTO"))</f>
        <v/>
      </c>
      <c r="C1149" s="17" t="str">
        <f aca="false">IF($A1149="","",COUNTIFS(Orders!$C$2:$C$20001,$A1149,Orders!$E$2:$E$20001,"COD",Orders!$F$2:$F$20001,"RTO"))</f>
        <v/>
      </c>
      <c r="D1149" s="18" t="str">
        <f aca="false">IF($A1149="","",IFERROR(C1149/B1149,0))</f>
        <v/>
      </c>
      <c r="E1149" s="17" t="str">
        <f aca="false">IF($A1149="","",COUNTIFS(Orders!$C$2:$C$20001,$A1149,Orders!$E$2:$E$20001,"Prepaid",Orders!$F$2:$F$20001,"Delivered")+COUNTIFS(Orders!$C$2:$C$20001,$A1149,Orders!$E$2:$E$20001,"Prepaid",Orders!$F$2:$F$20001,"RTO"))</f>
        <v/>
      </c>
      <c r="F1149" s="17" t="str">
        <f aca="false">IF($A1149="","",COUNTIFS(Orders!$C$2:$C$20001,$A1149,Orders!$E$2:$E$20001,"Prepaid",Orders!$F$2:$F$20001,"RTO"))</f>
        <v/>
      </c>
      <c r="G1149" s="18" t="str">
        <f aca="false">IF($A1149="","",IFERROR(F1149/E1149,0))</f>
        <v/>
      </c>
      <c r="H1149" s="19" t="str">
        <f aca="false">IF($A1149="","",C1149*Settings!$B$11)</f>
        <v/>
      </c>
      <c r="I1149" s="20" t="str">
        <f aca="false">IF($A1149="","",IF(N(H1149)=0,"",RANK(H1149,$H$5:$H$2004)))</f>
        <v/>
      </c>
      <c r="J1149" s="21" t="str">
        <f aca="false">IF($A1149="","",IF(B1149=0,"No COD orders",IF(B1149&lt;Settings!$B$8,"Too few orders",IF(D1149&gt;=Settings!$B$9,"Restrict COD or verify","Keep COD"))))</f>
        <v/>
      </c>
    </row>
    <row r="1150" customFormat="false" ht="15" hidden="false" customHeight="false" outlineLevel="0" collapsed="false">
      <c r="A1150" s="27"/>
      <c r="B1150" s="17" t="str">
        <f aca="false">IF($A1150="","",COUNTIFS(Orders!$C$2:$C$20001,$A1150,Orders!$E$2:$E$20001,"COD",Orders!$F$2:$F$20001,"Delivered")+COUNTIFS(Orders!$C$2:$C$20001,$A1150,Orders!$E$2:$E$20001,"COD",Orders!$F$2:$F$20001,"RTO"))</f>
        <v/>
      </c>
      <c r="C1150" s="17" t="str">
        <f aca="false">IF($A1150="","",COUNTIFS(Orders!$C$2:$C$20001,$A1150,Orders!$E$2:$E$20001,"COD",Orders!$F$2:$F$20001,"RTO"))</f>
        <v/>
      </c>
      <c r="D1150" s="18" t="str">
        <f aca="false">IF($A1150="","",IFERROR(C1150/B1150,0))</f>
        <v/>
      </c>
      <c r="E1150" s="17" t="str">
        <f aca="false">IF($A1150="","",COUNTIFS(Orders!$C$2:$C$20001,$A1150,Orders!$E$2:$E$20001,"Prepaid",Orders!$F$2:$F$20001,"Delivered")+COUNTIFS(Orders!$C$2:$C$20001,$A1150,Orders!$E$2:$E$20001,"Prepaid",Orders!$F$2:$F$20001,"RTO"))</f>
        <v/>
      </c>
      <c r="F1150" s="17" t="str">
        <f aca="false">IF($A1150="","",COUNTIFS(Orders!$C$2:$C$20001,$A1150,Orders!$E$2:$E$20001,"Prepaid",Orders!$F$2:$F$20001,"RTO"))</f>
        <v/>
      </c>
      <c r="G1150" s="18" t="str">
        <f aca="false">IF($A1150="","",IFERROR(F1150/E1150,0))</f>
        <v/>
      </c>
      <c r="H1150" s="19" t="str">
        <f aca="false">IF($A1150="","",C1150*Settings!$B$11)</f>
        <v/>
      </c>
      <c r="I1150" s="20" t="str">
        <f aca="false">IF($A1150="","",IF(N(H1150)=0,"",RANK(H1150,$H$5:$H$2004)))</f>
        <v/>
      </c>
      <c r="J1150" s="21" t="str">
        <f aca="false">IF($A1150="","",IF(B1150=0,"No COD orders",IF(B1150&lt;Settings!$B$8,"Too few orders",IF(D1150&gt;=Settings!$B$9,"Restrict COD or verify","Keep COD"))))</f>
        <v/>
      </c>
    </row>
    <row r="1151" customFormat="false" ht="15" hidden="false" customHeight="false" outlineLevel="0" collapsed="false">
      <c r="A1151" s="27"/>
      <c r="B1151" s="17" t="str">
        <f aca="false">IF($A1151="","",COUNTIFS(Orders!$C$2:$C$20001,$A1151,Orders!$E$2:$E$20001,"COD",Orders!$F$2:$F$20001,"Delivered")+COUNTIFS(Orders!$C$2:$C$20001,$A1151,Orders!$E$2:$E$20001,"COD",Orders!$F$2:$F$20001,"RTO"))</f>
        <v/>
      </c>
      <c r="C1151" s="17" t="str">
        <f aca="false">IF($A1151="","",COUNTIFS(Orders!$C$2:$C$20001,$A1151,Orders!$E$2:$E$20001,"COD",Orders!$F$2:$F$20001,"RTO"))</f>
        <v/>
      </c>
      <c r="D1151" s="18" t="str">
        <f aca="false">IF($A1151="","",IFERROR(C1151/B1151,0))</f>
        <v/>
      </c>
      <c r="E1151" s="17" t="str">
        <f aca="false">IF($A1151="","",COUNTIFS(Orders!$C$2:$C$20001,$A1151,Orders!$E$2:$E$20001,"Prepaid",Orders!$F$2:$F$20001,"Delivered")+COUNTIFS(Orders!$C$2:$C$20001,$A1151,Orders!$E$2:$E$20001,"Prepaid",Orders!$F$2:$F$20001,"RTO"))</f>
        <v/>
      </c>
      <c r="F1151" s="17" t="str">
        <f aca="false">IF($A1151="","",COUNTIFS(Orders!$C$2:$C$20001,$A1151,Orders!$E$2:$E$20001,"Prepaid",Orders!$F$2:$F$20001,"RTO"))</f>
        <v/>
      </c>
      <c r="G1151" s="18" t="str">
        <f aca="false">IF($A1151="","",IFERROR(F1151/E1151,0))</f>
        <v/>
      </c>
      <c r="H1151" s="19" t="str">
        <f aca="false">IF($A1151="","",C1151*Settings!$B$11)</f>
        <v/>
      </c>
      <c r="I1151" s="20" t="str">
        <f aca="false">IF($A1151="","",IF(N(H1151)=0,"",RANK(H1151,$H$5:$H$2004)))</f>
        <v/>
      </c>
      <c r="J1151" s="21" t="str">
        <f aca="false">IF($A1151="","",IF(B1151=0,"No COD orders",IF(B1151&lt;Settings!$B$8,"Too few orders",IF(D1151&gt;=Settings!$B$9,"Restrict COD or verify","Keep COD"))))</f>
        <v/>
      </c>
    </row>
    <row r="1152" customFormat="false" ht="15" hidden="false" customHeight="false" outlineLevel="0" collapsed="false">
      <c r="A1152" s="27"/>
      <c r="B1152" s="17" t="str">
        <f aca="false">IF($A1152="","",COUNTIFS(Orders!$C$2:$C$20001,$A1152,Orders!$E$2:$E$20001,"COD",Orders!$F$2:$F$20001,"Delivered")+COUNTIFS(Orders!$C$2:$C$20001,$A1152,Orders!$E$2:$E$20001,"COD",Orders!$F$2:$F$20001,"RTO"))</f>
        <v/>
      </c>
      <c r="C1152" s="17" t="str">
        <f aca="false">IF($A1152="","",COUNTIFS(Orders!$C$2:$C$20001,$A1152,Orders!$E$2:$E$20001,"COD",Orders!$F$2:$F$20001,"RTO"))</f>
        <v/>
      </c>
      <c r="D1152" s="18" t="str">
        <f aca="false">IF($A1152="","",IFERROR(C1152/B1152,0))</f>
        <v/>
      </c>
      <c r="E1152" s="17" t="str">
        <f aca="false">IF($A1152="","",COUNTIFS(Orders!$C$2:$C$20001,$A1152,Orders!$E$2:$E$20001,"Prepaid",Orders!$F$2:$F$20001,"Delivered")+COUNTIFS(Orders!$C$2:$C$20001,$A1152,Orders!$E$2:$E$20001,"Prepaid",Orders!$F$2:$F$20001,"RTO"))</f>
        <v/>
      </c>
      <c r="F1152" s="17" t="str">
        <f aca="false">IF($A1152="","",COUNTIFS(Orders!$C$2:$C$20001,$A1152,Orders!$E$2:$E$20001,"Prepaid",Orders!$F$2:$F$20001,"RTO"))</f>
        <v/>
      </c>
      <c r="G1152" s="18" t="str">
        <f aca="false">IF($A1152="","",IFERROR(F1152/E1152,0))</f>
        <v/>
      </c>
      <c r="H1152" s="19" t="str">
        <f aca="false">IF($A1152="","",C1152*Settings!$B$11)</f>
        <v/>
      </c>
      <c r="I1152" s="20" t="str">
        <f aca="false">IF($A1152="","",IF(N(H1152)=0,"",RANK(H1152,$H$5:$H$2004)))</f>
        <v/>
      </c>
      <c r="J1152" s="21" t="str">
        <f aca="false">IF($A1152="","",IF(B1152=0,"No COD orders",IF(B1152&lt;Settings!$B$8,"Too few orders",IF(D1152&gt;=Settings!$B$9,"Restrict COD or verify","Keep COD"))))</f>
        <v/>
      </c>
    </row>
    <row r="1153" customFormat="false" ht="15" hidden="false" customHeight="false" outlineLevel="0" collapsed="false">
      <c r="A1153" s="27"/>
      <c r="B1153" s="17" t="str">
        <f aca="false">IF($A1153="","",COUNTIFS(Orders!$C$2:$C$20001,$A1153,Orders!$E$2:$E$20001,"COD",Orders!$F$2:$F$20001,"Delivered")+COUNTIFS(Orders!$C$2:$C$20001,$A1153,Orders!$E$2:$E$20001,"COD",Orders!$F$2:$F$20001,"RTO"))</f>
        <v/>
      </c>
      <c r="C1153" s="17" t="str">
        <f aca="false">IF($A1153="","",COUNTIFS(Orders!$C$2:$C$20001,$A1153,Orders!$E$2:$E$20001,"COD",Orders!$F$2:$F$20001,"RTO"))</f>
        <v/>
      </c>
      <c r="D1153" s="18" t="str">
        <f aca="false">IF($A1153="","",IFERROR(C1153/B1153,0))</f>
        <v/>
      </c>
      <c r="E1153" s="17" t="str">
        <f aca="false">IF($A1153="","",COUNTIFS(Orders!$C$2:$C$20001,$A1153,Orders!$E$2:$E$20001,"Prepaid",Orders!$F$2:$F$20001,"Delivered")+COUNTIFS(Orders!$C$2:$C$20001,$A1153,Orders!$E$2:$E$20001,"Prepaid",Orders!$F$2:$F$20001,"RTO"))</f>
        <v/>
      </c>
      <c r="F1153" s="17" t="str">
        <f aca="false">IF($A1153="","",COUNTIFS(Orders!$C$2:$C$20001,$A1153,Orders!$E$2:$E$20001,"Prepaid",Orders!$F$2:$F$20001,"RTO"))</f>
        <v/>
      </c>
      <c r="G1153" s="18" t="str">
        <f aca="false">IF($A1153="","",IFERROR(F1153/E1153,0))</f>
        <v/>
      </c>
      <c r="H1153" s="19" t="str">
        <f aca="false">IF($A1153="","",C1153*Settings!$B$11)</f>
        <v/>
      </c>
      <c r="I1153" s="20" t="str">
        <f aca="false">IF($A1153="","",IF(N(H1153)=0,"",RANK(H1153,$H$5:$H$2004)))</f>
        <v/>
      </c>
      <c r="J1153" s="21" t="str">
        <f aca="false">IF($A1153="","",IF(B1153=0,"No COD orders",IF(B1153&lt;Settings!$B$8,"Too few orders",IF(D1153&gt;=Settings!$B$9,"Restrict COD or verify","Keep COD"))))</f>
        <v/>
      </c>
    </row>
    <row r="1154" customFormat="false" ht="15" hidden="false" customHeight="false" outlineLevel="0" collapsed="false">
      <c r="A1154" s="27"/>
      <c r="B1154" s="17" t="str">
        <f aca="false">IF($A1154="","",COUNTIFS(Orders!$C$2:$C$20001,$A1154,Orders!$E$2:$E$20001,"COD",Orders!$F$2:$F$20001,"Delivered")+COUNTIFS(Orders!$C$2:$C$20001,$A1154,Orders!$E$2:$E$20001,"COD",Orders!$F$2:$F$20001,"RTO"))</f>
        <v/>
      </c>
      <c r="C1154" s="17" t="str">
        <f aca="false">IF($A1154="","",COUNTIFS(Orders!$C$2:$C$20001,$A1154,Orders!$E$2:$E$20001,"COD",Orders!$F$2:$F$20001,"RTO"))</f>
        <v/>
      </c>
      <c r="D1154" s="18" t="str">
        <f aca="false">IF($A1154="","",IFERROR(C1154/B1154,0))</f>
        <v/>
      </c>
      <c r="E1154" s="17" t="str">
        <f aca="false">IF($A1154="","",COUNTIFS(Orders!$C$2:$C$20001,$A1154,Orders!$E$2:$E$20001,"Prepaid",Orders!$F$2:$F$20001,"Delivered")+COUNTIFS(Orders!$C$2:$C$20001,$A1154,Orders!$E$2:$E$20001,"Prepaid",Orders!$F$2:$F$20001,"RTO"))</f>
        <v/>
      </c>
      <c r="F1154" s="17" t="str">
        <f aca="false">IF($A1154="","",COUNTIFS(Orders!$C$2:$C$20001,$A1154,Orders!$E$2:$E$20001,"Prepaid",Orders!$F$2:$F$20001,"RTO"))</f>
        <v/>
      </c>
      <c r="G1154" s="18" t="str">
        <f aca="false">IF($A1154="","",IFERROR(F1154/E1154,0))</f>
        <v/>
      </c>
      <c r="H1154" s="19" t="str">
        <f aca="false">IF($A1154="","",C1154*Settings!$B$11)</f>
        <v/>
      </c>
      <c r="I1154" s="20" t="str">
        <f aca="false">IF($A1154="","",IF(N(H1154)=0,"",RANK(H1154,$H$5:$H$2004)))</f>
        <v/>
      </c>
      <c r="J1154" s="21" t="str">
        <f aca="false">IF($A1154="","",IF(B1154=0,"No COD orders",IF(B1154&lt;Settings!$B$8,"Too few orders",IF(D1154&gt;=Settings!$B$9,"Restrict COD or verify","Keep COD"))))</f>
        <v/>
      </c>
    </row>
    <row r="1155" customFormat="false" ht="15" hidden="false" customHeight="false" outlineLevel="0" collapsed="false">
      <c r="A1155" s="27"/>
      <c r="B1155" s="17" t="str">
        <f aca="false">IF($A1155="","",COUNTIFS(Orders!$C$2:$C$20001,$A1155,Orders!$E$2:$E$20001,"COD",Orders!$F$2:$F$20001,"Delivered")+COUNTIFS(Orders!$C$2:$C$20001,$A1155,Orders!$E$2:$E$20001,"COD",Orders!$F$2:$F$20001,"RTO"))</f>
        <v/>
      </c>
      <c r="C1155" s="17" t="str">
        <f aca="false">IF($A1155="","",COUNTIFS(Orders!$C$2:$C$20001,$A1155,Orders!$E$2:$E$20001,"COD",Orders!$F$2:$F$20001,"RTO"))</f>
        <v/>
      </c>
      <c r="D1155" s="18" t="str">
        <f aca="false">IF($A1155="","",IFERROR(C1155/B1155,0))</f>
        <v/>
      </c>
      <c r="E1155" s="17" t="str">
        <f aca="false">IF($A1155="","",COUNTIFS(Orders!$C$2:$C$20001,$A1155,Orders!$E$2:$E$20001,"Prepaid",Orders!$F$2:$F$20001,"Delivered")+COUNTIFS(Orders!$C$2:$C$20001,$A1155,Orders!$E$2:$E$20001,"Prepaid",Orders!$F$2:$F$20001,"RTO"))</f>
        <v/>
      </c>
      <c r="F1155" s="17" t="str">
        <f aca="false">IF($A1155="","",COUNTIFS(Orders!$C$2:$C$20001,$A1155,Orders!$E$2:$E$20001,"Prepaid",Orders!$F$2:$F$20001,"RTO"))</f>
        <v/>
      </c>
      <c r="G1155" s="18" t="str">
        <f aca="false">IF($A1155="","",IFERROR(F1155/E1155,0))</f>
        <v/>
      </c>
      <c r="H1155" s="19" t="str">
        <f aca="false">IF($A1155="","",C1155*Settings!$B$11)</f>
        <v/>
      </c>
      <c r="I1155" s="20" t="str">
        <f aca="false">IF($A1155="","",IF(N(H1155)=0,"",RANK(H1155,$H$5:$H$2004)))</f>
        <v/>
      </c>
      <c r="J1155" s="21" t="str">
        <f aca="false">IF($A1155="","",IF(B1155=0,"No COD orders",IF(B1155&lt;Settings!$B$8,"Too few orders",IF(D1155&gt;=Settings!$B$9,"Restrict COD or verify","Keep COD"))))</f>
        <v/>
      </c>
    </row>
    <row r="1156" customFormat="false" ht="15" hidden="false" customHeight="false" outlineLevel="0" collapsed="false">
      <c r="A1156" s="27"/>
      <c r="B1156" s="17" t="str">
        <f aca="false">IF($A1156="","",COUNTIFS(Orders!$C$2:$C$20001,$A1156,Orders!$E$2:$E$20001,"COD",Orders!$F$2:$F$20001,"Delivered")+COUNTIFS(Orders!$C$2:$C$20001,$A1156,Orders!$E$2:$E$20001,"COD",Orders!$F$2:$F$20001,"RTO"))</f>
        <v/>
      </c>
      <c r="C1156" s="17" t="str">
        <f aca="false">IF($A1156="","",COUNTIFS(Orders!$C$2:$C$20001,$A1156,Orders!$E$2:$E$20001,"COD",Orders!$F$2:$F$20001,"RTO"))</f>
        <v/>
      </c>
      <c r="D1156" s="18" t="str">
        <f aca="false">IF($A1156="","",IFERROR(C1156/B1156,0))</f>
        <v/>
      </c>
      <c r="E1156" s="17" t="str">
        <f aca="false">IF($A1156="","",COUNTIFS(Orders!$C$2:$C$20001,$A1156,Orders!$E$2:$E$20001,"Prepaid",Orders!$F$2:$F$20001,"Delivered")+COUNTIFS(Orders!$C$2:$C$20001,$A1156,Orders!$E$2:$E$20001,"Prepaid",Orders!$F$2:$F$20001,"RTO"))</f>
        <v/>
      </c>
      <c r="F1156" s="17" t="str">
        <f aca="false">IF($A1156="","",COUNTIFS(Orders!$C$2:$C$20001,$A1156,Orders!$E$2:$E$20001,"Prepaid",Orders!$F$2:$F$20001,"RTO"))</f>
        <v/>
      </c>
      <c r="G1156" s="18" t="str">
        <f aca="false">IF($A1156="","",IFERROR(F1156/E1156,0))</f>
        <v/>
      </c>
      <c r="H1156" s="19" t="str">
        <f aca="false">IF($A1156="","",C1156*Settings!$B$11)</f>
        <v/>
      </c>
      <c r="I1156" s="20" t="str">
        <f aca="false">IF($A1156="","",IF(N(H1156)=0,"",RANK(H1156,$H$5:$H$2004)))</f>
        <v/>
      </c>
      <c r="J1156" s="21" t="str">
        <f aca="false">IF($A1156="","",IF(B1156=0,"No COD orders",IF(B1156&lt;Settings!$B$8,"Too few orders",IF(D1156&gt;=Settings!$B$9,"Restrict COD or verify","Keep COD"))))</f>
        <v/>
      </c>
    </row>
    <row r="1157" customFormat="false" ht="15" hidden="false" customHeight="false" outlineLevel="0" collapsed="false">
      <c r="A1157" s="27"/>
      <c r="B1157" s="17" t="str">
        <f aca="false">IF($A1157="","",COUNTIFS(Orders!$C$2:$C$20001,$A1157,Orders!$E$2:$E$20001,"COD",Orders!$F$2:$F$20001,"Delivered")+COUNTIFS(Orders!$C$2:$C$20001,$A1157,Orders!$E$2:$E$20001,"COD",Orders!$F$2:$F$20001,"RTO"))</f>
        <v/>
      </c>
      <c r="C1157" s="17" t="str">
        <f aca="false">IF($A1157="","",COUNTIFS(Orders!$C$2:$C$20001,$A1157,Orders!$E$2:$E$20001,"COD",Orders!$F$2:$F$20001,"RTO"))</f>
        <v/>
      </c>
      <c r="D1157" s="18" t="str">
        <f aca="false">IF($A1157="","",IFERROR(C1157/B1157,0))</f>
        <v/>
      </c>
      <c r="E1157" s="17" t="str">
        <f aca="false">IF($A1157="","",COUNTIFS(Orders!$C$2:$C$20001,$A1157,Orders!$E$2:$E$20001,"Prepaid",Orders!$F$2:$F$20001,"Delivered")+COUNTIFS(Orders!$C$2:$C$20001,$A1157,Orders!$E$2:$E$20001,"Prepaid",Orders!$F$2:$F$20001,"RTO"))</f>
        <v/>
      </c>
      <c r="F1157" s="17" t="str">
        <f aca="false">IF($A1157="","",COUNTIFS(Orders!$C$2:$C$20001,$A1157,Orders!$E$2:$E$20001,"Prepaid",Orders!$F$2:$F$20001,"RTO"))</f>
        <v/>
      </c>
      <c r="G1157" s="18" t="str">
        <f aca="false">IF($A1157="","",IFERROR(F1157/E1157,0))</f>
        <v/>
      </c>
      <c r="H1157" s="19" t="str">
        <f aca="false">IF($A1157="","",C1157*Settings!$B$11)</f>
        <v/>
      </c>
      <c r="I1157" s="20" t="str">
        <f aca="false">IF($A1157="","",IF(N(H1157)=0,"",RANK(H1157,$H$5:$H$2004)))</f>
        <v/>
      </c>
      <c r="J1157" s="21" t="str">
        <f aca="false">IF($A1157="","",IF(B1157=0,"No COD orders",IF(B1157&lt;Settings!$B$8,"Too few orders",IF(D1157&gt;=Settings!$B$9,"Restrict COD or verify","Keep COD"))))</f>
        <v/>
      </c>
    </row>
    <row r="1158" customFormat="false" ht="15" hidden="false" customHeight="false" outlineLevel="0" collapsed="false">
      <c r="A1158" s="27"/>
      <c r="B1158" s="17" t="str">
        <f aca="false">IF($A1158="","",COUNTIFS(Orders!$C$2:$C$20001,$A1158,Orders!$E$2:$E$20001,"COD",Orders!$F$2:$F$20001,"Delivered")+COUNTIFS(Orders!$C$2:$C$20001,$A1158,Orders!$E$2:$E$20001,"COD",Orders!$F$2:$F$20001,"RTO"))</f>
        <v/>
      </c>
      <c r="C1158" s="17" t="str">
        <f aca="false">IF($A1158="","",COUNTIFS(Orders!$C$2:$C$20001,$A1158,Orders!$E$2:$E$20001,"COD",Orders!$F$2:$F$20001,"RTO"))</f>
        <v/>
      </c>
      <c r="D1158" s="18" t="str">
        <f aca="false">IF($A1158="","",IFERROR(C1158/B1158,0))</f>
        <v/>
      </c>
      <c r="E1158" s="17" t="str">
        <f aca="false">IF($A1158="","",COUNTIFS(Orders!$C$2:$C$20001,$A1158,Orders!$E$2:$E$20001,"Prepaid",Orders!$F$2:$F$20001,"Delivered")+COUNTIFS(Orders!$C$2:$C$20001,$A1158,Orders!$E$2:$E$20001,"Prepaid",Orders!$F$2:$F$20001,"RTO"))</f>
        <v/>
      </c>
      <c r="F1158" s="17" t="str">
        <f aca="false">IF($A1158="","",COUNTIFS(Orders!$C$2:$C$20001,$A1158,Orders!$E$2:$E$20001,"Prepaid",Orders!$F$2:$F$20001,"RTO"))</f>
        <v/>
      </c>
      <c r="G1158" s="18" t="str">
        <f aca="false">IF($A1158="","",IFERROR(F1158/E1158,0))</f>
        <v/>
      </c>
      <c r="H1158" s="19" t="str">
        <f aca="false">IF($A1158="","",C1158*Settings!$B$11)</f>
        <v/>
      </c>
      <c r="I1158" s="20" t="str">
        <f aca="false">IF($A1158="","",IF(N(H1158)=0,"",RANK(H1158,$H$5:$H$2004)))</f>
        <v/>
      </c>
      <c r="J1158" s="21" t="str">
        <f aca="false">IF($A1158="","",IF(B1158=0,"No COD orders",IF(B1158&lt;Settings!$B$8,"Too few orders",IF(D1158&gt;=Settings!$B$9,"Restrict COD or verify","Keep COD"))))</f>
        <v/>
      </c>
    </row>
    <row r="1159" customFormat="false" ht="15" hidden="false" customHeight="false" outlineLevel="0" collapsed="false">
      <c r="A1159" s="27"/>
      <c r="B1159" s="17" t="str">
        <f aca="false">IF($A1159="","",COUNTIFS(Orders!$C$2:$C$20001,$A1159,Orders!$E$2:$E$20001,"COD",Orders!$F$2:$F$20001,"Delivered")+COUNTIFS(Orders!$C$2:$C$20001,$A1159,Orders!$E$2:$E$20001,"COD",Orders!$F$2:$F$20001,"RTO"))</f>
        <v/>
      </c>
      <c r="C1159" s="17" t="str">
        <f aca="false">IF($A1159="","",COUNTIFS(Orders!$C$2:$C$20001,$A1159,Orders!$E$2:$E$20001,"COD",Orders!$F$2:$F$20001,"RTO"))</f>
        <v/>
      </c>
      <c r="D1159" s="18" t="str">
        <f aca="false">IF($A1159="","",IFERROR(C1159/B1159,0))</f>
        <v/>
      </c>
      <c r="E1159" s="17" t="str">
        <f aca="false">IF($A1159="","",COUNTIFS(Orders!$C$2:$C$20001,$A1159,Orders!$E$2:$E$20001,"Prepaid",Orders!$F$2:$F$20001,"Delivered")+COUNTIFS(Orders!$C$2:$C$20001,$A1159,Orders!$E$2:$E$20001,"Prepaid",Orders!$F$2:$F$20001,"RTO"))</f>
        <v/>
      </c>
      <c r="F1159" s="17" t="str">
        <f aca="false">IF($A1159="","",COUNTIFS(Orders!$C$2:$C$20001,$A1159,Orders!$E$2:$E$20001,"Prepaid",Orders!$F$2:$F$20001,"RTO"))</f>
        <v/>
      </c>
      <c r="G1159" s="18" t="str">
        <f aca="false">IF($A1159="","",IFERROR(F1159/E1159,0))</f>
        <v/>
      </c>
      <c r="H1159" s="19" t="str">
        <f aca="false">IF($A1159="","",C1159*Settings!$B$11)</f>
        <v/>
      </c>
      <c r="I1159" s="20" t="str">
        <f aca="false">IF($A1159="","",IF(N(H1159)=0,"",RANK(H1159,$H$5:$H$2004)))</f>
        <v/>
      </c>
      <c r="J1159" s="21" t="str">
        <f aca="false">IF($A1159="","",IF(B1159=0,"No COD orders",IF(B1159&lt;Settings!$B$8,"Too few orders",IF(D1159&gt;=Settings!$B$9,"Restrict COD or verify","Keep COD"))))</f>
        <v/>
      </c>
    </row>
    <row r="1160" customFormat="false" ht="15" hidden="false" customHeight="false" outlineLevel="0" collapsed="false">
      <c r="A1160" s="27"/>
      <c r="B1160" s="17" t="str">
        <f aca="false">IF($A1160="","",COUNTIFS(Orders!$C$2:$C$20001,$A1160,Orders!$E$2:$E$20001,"COD",Orders!$F$2:$F$20001,"Delivered")+COUNTIFS(Orders!$C$2:$C$20001,$A1160,Orders!$E$2:$E$20001,"COD",Orders!$F$2:$F$20001,"RTO"))</f>
        <v/>
      </c>
      <c r="C1160" s="17" t="str">
        <f aca="false">IF($A1160="","",COUNTIFS(Orders!$C$2:$C$20001,$A1160,Orders!$E$2:$E$20001,"COD",Orders!$F$2:$F$20001,"RTO"))</f>
        <v/>
      </c>
      <c r="D1160" s="18" t="str">
        <f aca="false">IF($A1160="","",IFERROR(C1160/B1160,0))</f>
        <v/>
      </c>
      <c r="E1160" s="17" t="str">
        <f aca="false">IF($A1160="","",COUNTIFS(Orders!$C$2:$C$20001,$A1160,Orders!$E$2:$E$20001,"Prepaid",Orders!$F$2:$F$20001,"Delivered")+COUNTIFS(Orders!$C$2:$C$20001,$A1160,Orders!$E$2:$E$20001,"Prepaid",Orders!$F$2:$F$20001,"RTO"))</f>
        <v/>
      </c>
      <c r="F1160" s="17" t="str">
        <f aca="false">IF($A1160="","",COUNTIFS(Orders!$C$2:$C$20001,$A1160,Orders!$E$2:$E$20001,"Prepaid",Orders!$F$2:$F$20001,"RTO"))</f>
        <v/>
      </c>
      <c r="G1160" s="18" t="str">
        <f aca="false">IF($A1160="","",IFERROR(F1160/E1160,0))</f>
        <v/>
      </c>
      <c r="H1160" s="19" t="str">
        <f aca="false">IF($A1160="","",C1160*Settings!$B$11)</f>
        <v/>
      </c>
      <c r="I1160" s="20" t="str">
        <f aca="false">IF($A1160="","",IF(N(H1160)=0,"",RANK(H1160,$H$5:$H$2004)))</f>
        <v/>
      </c>
      <c r="J1160" s="21" t="str">
        <f aca="false">IF($A1160="","",IF(B1160=0,"No COD orders",IF(B1160&lt;Settings!$B$8,"Too few orders",IF(D1160&gt;=Settings!$B$9,"Restrict COD or verify","Keep COD"))))</f>
        <v/>
      </c>
    </row>
    <row r="1161" customFormat="false" ht="15" hidden="false" customHeight="false" outlineLevel="0" collapsed="false">
      <c r="A1161" s="27"/>
      <c r="B1161" s="17" t="str">
        <f aca="false">IF($A1161="","",COUNTIFS(Orders!$C$2:$C$20001,$A1161,Orders!$E$2:$E$20001,"COD",Orders!$F$2:$F$20001,"Delivered")+COUNTIFS(Orders!$C$2:$C$20001,$A1161,Orders!$E$2:$E$20001,"COD",Orders!$F$2:$F$20001,"RTO"))</f>
        <v/>
      </c>
      <c r="C1161" s="17" t="str">
        <f aca="false">IF($A1161="","",COUNTIFS(Orders!$C$2:$C$20001,$A1161,Orders!$E$2:$E$20001,"COD",Orders!$F$2:$F$20001,"RTO"))</f>
        <v/>
      </c>
      <c r="D1161" s="18" t="str">
        <f aca="false">IF($A1161="","",IFERROR(C1161/B1161,0))</f>
        <v/>
      </c>
      <c r="E1161" s="17" t="str">
        <f aca="false">IF($A1161="","",COUNTIFS(Orders!$C$2:$C$20001,$A1161,Orders!$E$2:$E$20001,"Prepaid",Orders!$F$2:$F$20001,"Delivered")+COUNTIFS(Orders!$C$2:$C$20001,$A1161,Orders!$E$2:$E$20001,"Prepaid",Orders!$F$2:$F$20001,"RTO"))</f>
        <v/>
      </c>
      <c r="F1161" s="17" t="str">
        <f aca="false">IF($A1161="","",COUNTIFS(Orders!$C$2:$C$20001,$A1161,Orders!$E$2:$E$20001,"Prepaid",Orders!$F$2:$F$20001,"RTO"))</f>
        <v/>
      </c>
      <c r="G1161" s="18" t="str">
        <f aca="false">IF($A1161="","",IFERROR(F1161/E1161,0))</f>
        <v/>
      </c>
      <c r="H1161" s="19" t="str">
        <f aca="false">IF($A1161="","",C1161*Settings!$B$11)</f>
        <v/>
      </c>
      <c r="I1161" s="20" t="str">
        <f aca="false">IF($A1161="","",IF(N(H1161)=0,"",RANK(H1161,$H$5:$H$2004)))</f>
        <v/>
      </c>
      <c r="J1161" s="21" t="str">
        <f aca="false">IF($A1161="","",IF(B1161=0,"No COD orders",IF(B1161&lt;Settings!$B$8,"Too few orders",IF(D1161&gt;=Settings!$B$9,"Restrict COD or verify","Keep COD"))))</f>
        <v/>
      </c>
    </row>
    <row r="1162" customFormat="false" ht="15" hidden="false" customHeight="false" outlineLevel="0" collapsed="false">
      <c r="A1162" s="27"/>
      <c r="B1162" s="17" t="str">
        <f aca="false">IF($A1162="","",COUNTIFS(Orders!$C$2:$C$20001,$A1162,Orders!$E$2:$E$20001,"COD",Orders!$F$2:$F$20001,"Delivered")+COUNTIFS(Orders!$C$2:$C$20001,$A1162,Orders!$E$2:$E$20001,"COD",Orders!$F$2:$F$20001,"RTO"))</f>
        <v/>
      </c>
      <c r="C1162" s="17" t="str">
        <f aca="false">IF($A1162="","",COUNTIFS(Orders!$C$2:$C$20001,$A1162,Orders!$E$2:$E$20001,"COD",Orders!$F$2:$F$20001,"RTO"))</f>
        <v/>
      </c>
      <c r="D1162" s="18" t="str">
        <f aca="false">IF($A1162="","",IFERROR(C1162/B1162,0))</f>
        <v/>
      </c>
      <c r="E1162" s="17" t="str">
        <f aca="false">IF($A1162="","",COUNTIFS(Orders!$C$2:$C$20001,$A1162,Orders!$E$2:$E$20001,"Prepaid",Orders!$F$2:$F$20001,"Delivered")+COUNTIFS(Orders!$C$2:$C$20001,$A1162,Orders!$E$2:$E$20001,"Prepaid",Orders!$F$2:$F$20001,"RTO"))</f>
        <v/>
      </c>
      <c r="F1162" s="17" t="str">
        <f aca="false">IF($A1162="","",COUNTIFS(Orders!$C$2:$C$20001,$A1162,Orders!$E$2:$E$20001,"Prepaid",Orders!$F$2:$F$20001,"RTO"))</f>
        <v/>
      </c>
      <c r="G1162" s="18" t="str">
        <f aca="false">IF($A1162="","",IFERROR(F1162/E1162,0))</f>
        <v/>
      </c>
      <c r="H1162" s="19" t="str">
        <f aca="false">IF($A1162="","",C1162*Settings!$B$11)</f>
        <v/>
      </c>
      <c r="I1162" s="20" t="str">
        <f aca="false">IF($A1162="","",IF(N(H1162)=0,"",RANK(H1162,$H$5:$H$2004)))</f>
        <v/>
      </c>
      <c r="J1162" s="21" t="str">
        <f aca="false">IF($A1162="","",IF(B1162=0,"No COD orders",IF(B1162&lt;Settings!$B$8,"Too few orders",IF(D1162&gt;=Settings!$B$9,"Restrict COD or verify","Keep COD"))))</f>
        <v/>
      </c>
    </row>
    <row r="1163" customFormat="false" ht="15" hidden="false" customHeight="false" outlineLevel="0" collapsed="false">
      <c r="A1163" s="27"/>
      <c r="B1163" s="17" t="str">
        <f aca="false">IF($A1163="","",COUNTIFS(Orders!$C$2:$C$20001,$A1163,Orders!$E$2:$E$20001,"COD",Orders!$F$2:$F$20001,"Delivered")+COUNTIFS(Orders!$C$2:$C$20001,$A1163,Orders!$E$2:$E$20001,"COD",Orders!$F$2:$F$20001,"RTO"))</f>
        <v/>
      </c>
      <c r="C1163" s="17" t="str">
        <f aca="false">IF($A1163="","",COUNTIFS(Orders!$C$2:$C$20001,$A1163,Orders!$E$2:$E$20001,"COD",Orders!$F$2:$F$20001,"RTO"))</f>
        <v/>
      </c>
      <c r="D1163" s="18" t="str">
        <f aca="false">IF($A1163="","",IFERROR(C1163/B1163,0))</f>
        <v/>
      </c>
      <c r="E1163" s="17" t="str">
        <f aca="false">IF($A1163="","",COUNTIFS(Orders!$C$2:$C$20001,$A1163,Orders!$E$2:$E$20001,"Prepaid",Orders!$F$2:$F$20001,"Delivered")+COUNTIFS(Orders!$C$2:$C$20001,$A1163,Orders!$E$2:$E$20001,"Prepaid",Orders!$F$2:$F$20001,"RTO"))</f>
        <v/>
      </c>
      <c r="F1163" s="17" t="str">
        <f aca="false">IF($A1163="","",COUNTIFS(Orders!$C$2:$C$20001,$A1163,Orders!$E$2:$E$20001,"Prepaid",Orders!$F$2:$F$20001,"RTO"))</f>
        <v/>
      </c>
      <c r="G1163" s="18" t="str">
        <f aca="false">IF($A1163="","",IFERROR(F1163/E1163,0))</f>
        <v/>
      </c>
      <c r="H1163" s="19" t="str">
        <f aca="false">IF($A1163="","",C1163*Settings!$B$11)</f>
        <v/>
      </c>
      <c r="I1163" s="20" t="str">
        <f aca="false">IF($A1163="","",IF(N(H1163)=0,"",RANK(H1163,$H$5:$H$2004)))</f>
        <v/>
      </c>
      <c r="J1163" s="21" t="str">
        <f aca="false">IF($A1163="","",IF(B1163=0,"No COD orders",IF(B1163&lt;Settings!$B$8,"Too few orders",IF(D1163&gt;=Settings!$B$9,"Restrict COD or verify","Keep COD"))))</f>
        <v/>
      </c>
    </row>
    <row r="1164" customFormat="false" ht="15" hidden="false" customHeight="false" outlineLevel="0" collapsed="false">
      <c r="A1164" s="27"/>
      <c r="B1164" s="17" t="str">
        <f aca="false">IF($A1164="","",COUNTIFS(Orders!$C$2:$C$20001,$A1164,Orders!$E$2:$E$20001,"COD",Orders!$F$2:$F$20001,"Delivered")+COUNTIFS(Orders!$C$2:$C$20001,$A1164,Orders!$E$2:$E$20001,"COD",Orders!$F$2:$F$20001,"RTO"))</f>
        <v/>
      </c>
      <c r="C1164" s="17" t="str">
        <f aca="false">IF($A1164="","",COUNTIFS(Orders!$C$2:$C$20001,$A1164,Orders!$E$2:$E$20001,"COD",Orders!$F$2:$F$20001,"RTO"))</f>
        <v/>
      </c>
      <c r="D1164" s="18" t="str">
        <f aca="false">IF($A1164="","",IFERROR(C1164/B1164,0))</f>
        <v/>
      </c>
      <c r="E1164" s="17" t="str">
        <f aca="false">IF($A1164="","",COUNTIFS(Orders!$C$2:$C$20001,$A1164,Orders!$E$2:$E$20001,"Prepaid",Orders!$F$2:$F$20001,"Delivered")+COUNTIFS(Orders!$C$2:$C$20001,$A1164,Orders!$E$2:$E$20001,"Prepaid",Orders!$F$2:$F$20001,"RTO"))</f>
        <v/>
      </c>
      <c r="F1164" s="17" t="str">
        <f aca="false">IF($A1164="","",COUNTIFS(Orders!$C$2:$C$20001,$A1164,Orders!$E$2:$E$20001,"Prepaid",Orders!$F$2:$F$20001,"RTO"))</f>
        <v/>
      </c>
      <c r="G1164" s="18" t="str">
        <f aca="false">IF($A1164="","",IFERROR(F1164/E1164,0))</f>
        <v/>
      </c>
      <c r="H1164" s="19" t="str">
        <f aca="false">IF($A1164="","",C1164*Settings!$B$11)</f>
        <v/>
      </c>
      <c r="I1164" s="20" t="str">
        <f aca="false">IF($A1164="","",IF(N(H1164)=0,"",RANK(H1164,$H$5:$H$2004)))</f>
        <v/>
      </c>
      <c r="J1164" s="21" t="str">
        <f aca="false">IF($A1164="","",IF(B1164=0,"No COD orders",IF(B1164&lt;Settings!$B$8,"Too few orders",IF(D1164&gt;=Settings!$B$9,"Restrict COD or verify","Keep COD"))))</f>
        <v/>
      </c>
    </row>
    <row r="1165" customFormat="false" ht="15" hidden="false" customHeight="false" outlineLevel="0" collapsed="false">
      <c r="A1165" s="27"/>
      <c r="B1165" s="17" t="str">
        <f aca="false">IF($A1165="","",COUNTIFS(Orders!$C$2:$C$20001,$A1165,Orders!$E$2:$E$20001,"COD",Orders!$F$2:$F$20001,"Delivered")+COUNTIFS(Orders!$C$2:$C$20001,$A1165,Orders!$E$2:$E$20001,"COD",Orders!$F$2:$F$20001,"RTO"))</f>
        <v/>
      </c>
      <c r="C1165" s="17" t="str">
        <f aca="false">IF($A1165="","",COUNTIFS(Orders!$C$2:$C$20001,$A1165,Orders!$E$2:$E$20001,"COD",Orders!$F$2:$F$20001,"RTO"))</f>
        <v/>
      </c>
      <c r="D1165" s="18" t="str">
        <f aca="false">IF($A1165="","",IFERROR(C1165/B1165,0))</f>
        <v/>
      </c>
      <c r="E1165" s="17" t="str">
        <f aca="false">IF($A1165="","",COUNTIFS(Orders!$C$2:$C$20001,$A1165,Orders!$E$2:$E$20001,"Prepaid",Orders!$F$2:$F$20001,"Delivered")+COUNTIFS(Orders!$C$2:$C$20001,$A1165,Orders!$E$2:$E$20001,"Prepaid",Orders!$F$2:$F$20001,"RTO"))</f>
        <v/>
      </c>
      <c r="F1165" s="17" t="str">
        <f aca="false">IF($A1165="","",COUNTIFS(Orders!$C$2:$C$20001,$A1165,Orders!$E$2:$E$20001,"Prepaid",Orders!$F$2:$F$20001,"RTO"))</f>
        <v/>
      </c>
      <c r="G1165" s="18" t="str">
        <f aca="false">IF($A1165="","",IFERROR(F1165/E1165,0))</f>
        <v/>
      </c>
      <c r="H1165" s="19" t="str">
        <f aca="false">IF($A1165="","",C1165*Settings!$B$11)</f>
        <v/>
      </c>
      <c r="I1165" s="20" t="str">
        <f aca="false">IF($A1165="","",IF(N(H1165)=0,"",RANK(H1165,$H$5:$H$2004)))</f>
        <v/>
      </c>
      <c r="J1165" s="21" t="str">
        <f aca="false">IF($A1165="","",IF(B1165=0,"No COD orders",IF(B1165&lt;Settings!$B$8,"Too few orders",IF(D1165&gt;=Settings!$B$9,"Restrict COD or verify","Keep COD"))))</f>
        <v/>
      </c>
    </row>
    <row r="1166" customFormat="false" ht="15" hidden="false" customHeight="false" outlineLevel="0" collapsed="false">
      <c r="A1166" s="27"/>
      <c r="B1166" s="17" t="str">
        <f aca="false">IF($A1166="","",COUNTIFS(Orders!$C$2:$C$20001,$A1166,Orders!$E$2:$E$20001,"COD",Orders!$F$2:$F$20001,"Delivered")+COUNTIFS(Orders!$C$2:$C$20001,$A1166,Orders!$E$2:$E$20001,"COD",Orders!$F$2:$F$20001,"RTO"))</f>
        <v/>
      </c>
      <c r="C1166" s="17" t="str">
        <f aca="false">IF($A1166="","",COUNTIFS(Orders!$C$2:$C$20001,$A1166,Orders!$E$2:$E$20001,"COD",Orders!$F$2:$F$20001,"RTO"))</f>
        <v/>
      </c>
      <c r="D1166" s="18" t="str">
        <f aca="false">IF($A1166="","",IFERROR(C1166/B1166,0))</f>
        <v/>
      </c>
      <c r="E1166" s="17" t="str">
        <f aca="false">IF($A1166="","",COUNTIFS(Orders!$C$2:$C$20001,$A1166,Orders!$E$2:$E$20001,"Prepaid",Orders!$F$2:$F$20001,"Delivered")+COUNTIFS(Orders!$C$2:$C$20001,$A1166,Orders!$E$2:$E$20001,"Prepaid",Orders!$F$2:$F$20001,"RTO"))</f>
        <v/>
      </c>
      <c r="F1166" s="17" t="str">
        <f aca="false">IF($A1166="","",COUNTIFS(Orders!$C$2:$C$20001,$A1166,Orders!$E$2:$E$20001,"Prepaid",Orders!$F$2:$F$20001,"RTO"))</f>
        <v/>
      </c>
      <c r="G1166" s="18" t="str">
        <f aca="false">IF($A1166="","",IFERROR(F1166/E1166,0))</f>
        <v/>
      </c>
      <c r="H1166" s="19" t="str">
        <f aca="false">IF($A1166="","",C1166*Settings!$B$11)</f>
        <v/>
      </c>
      <c r="I1166" s="20" t="str">
        <f aca="false">IF($A1166="","",IF(N(H1166)=0,"",RANK(H1166,$H$5:$H$2004)))</f>
        <v/>
      </c>
      <c r="J1166" s="21" t="str">
        <f aca="false">IF($A1166="","",IF(B1166=0,"No COD orders",IF(B1166&lt;Settings!$B$8,"Too few orders",IF(D1166&gt;=Settings!$B$9,"Restrict COD or verify","Keep COD"))))</f>
        <v/>
      </c>
    </row>
    <row r="1167" customFormat="false" ht="15" hidden="false" customHeight="false" outlineLevel="0" collapsed="false">
      <c r="A1167" s="27"/>
      <c r="B1167" s="17" t="str">
        <f aca="false">IF($A1167="","",COUNTIFS(Orders!$C$2:$C$20001,$A1167,Orders!$E$2:$E$20001,"COD",Orders!$F$2:$F$20001,"Delivered")+COUNTIFS(Orders!$C$2:$C$20001,$A1167,Orders!$E$2:$E$20001,"COD",Orders!$F$2:$F$20001,"RTO"))</f>
        <v/>
      </c>
      <c r="C1167" s="17" t="str">
        <f aca="false">IF($A1167="","",COUNTIFS(Orders!$C$2:$C$20001,$A1167,Orders!$E$2:$E$20001,"COD",Orders!$F$2:$F$20001,"RTO"))</f>
        <v/>
      </c>
      <c r="D1167" s="18" t="str">
        <f aca="false">IF($A1167="","",IFERROR(C1167/B1167,0))</f>
        <v/>
      </c>
      <c r="E1167" s="17" t="str">
        <f aca="false">IF($A1167="","",COUNTIFS(Orders!$C$2:$C$20001,$A1167,Orders!$E$2:$E$20001,"Prepaid",Orders!$F$2:$F$20001,"Delivered")+COUNTIFS(Orders!$C$2:$C$20001,$A1167,Orders!$E$2:$E$20001,"Prepaid",Orders!$F$2:$F$20001,"RTO"))</f>
        <v/>
      </c>
      <c r="F1167" s="17" t="str">
        <f aca="false">IF($A1167="","",COUNTIFS(Orders!$C$2:$C$20001,$A1167,Orders!$E$2:$E$20001,"Prepaid",Orders!$F$2:$F$20001,"RTO"))</f>
        <v/>
      </c>
      <c r="G1167" s="18" t="str">
        <f aca="false">IF($A1167="","",IFERROR(F1167/E1167,0))</f>
        <v/>
      </c>
      <c r="H1167" s="19" t="str">
        <f aca="false">IF($A1167="","",C1167*Settings!$B$11)</f>
        <v/>
      </c>
      <c r="I1167" s="20" t="str">
        <f aca="false">IF($A1167="","",IF(N(H1167)=0,"",RANK(H1167,$H$5:$H$2004)))</f>
        <v/>
      </c>
      <c r="J1167" s="21" t="str">
        <f aca="false">IF($A1167="","",IF(B1167=0,"No COD orders",IF(B1167&lt;Settings!$B$8,"Too few orders",IF(D1167&gt;=Settings!$B$9,"Restrict COD or verify","Keep COD"))))</f>
        <v/>
      </c>
    </row>
    <row r="1168" customFormat="false" ht="15" hidden="false" customHeight="false" outlineLevel="0" collapsed="false">
      <c r="A1168" s="27"/>
      <c r="B1168" s="17" t="str">
        <f aca="false">IF($A1168="","",COUNTIFS(Orders!$C$2:$C$20001,$A1168,Orders!$E$2:$E$20001,"COD",Orders!$F$2:$F$20001,"Delivered")+COUNTIFS(Orders!$C$2:$C$20001,$A1168,Orders!$E$2:$E$20001,"COD",Orders!$F$2:$F$20001,"RTO"))</f>
        <v/>
      </c>
      <c r="C1168" s="17" t="str">
        <f aca="false">IF($A1168="","",COUNTIFS(Orders!$C$2:$C$20001,$A1168,Orders!$E$2:$E$20001,"COD",Orders!$F$2:$F$20001,"RTO"))</f>
        <v/>
      </c>
      <c r="D1168" s="18" t="str">
        <f aca="false">IF($A1168="","",IFERROR(C1168/B1168,0))</f>
        <v/>
      </c>
      <c r="E1168" s="17" t="str">
        <f aca="false">IF($A1168="","",COUNTIFS(Orders!$C$2:$C$20001,$A1168,Orders!$E$2:$E$20001,"Prepaid",Orders!$F$2:$F$20001,"Delivered")+COUNTIFS(Orders!$C$2:$C$20001,$A1168,Orders!$E$2:$E$20001,"Prepaid",Orders!$F$2:$F$20001,"RTO"))</f>
        <v/>
      </c>
      <c r="F1168" s="17" t="str">
        <f aca="false">IF($A1168="","",COUNTIFS(Orders!$C$2:$C$20001,$A1168,Orders!$E$2:$E$20001,"Prepaid",Orders!$F$2:$F$20001,"RTO"))</f>
        <v/>
      </c>
      <c r="G1168" s="18" t="str">
        <f aca="false">IF($A1168="","",IFERROR(F1168/E1168,0))</f>
        <v/>
      </c>
      <c r="H1168" s="19" t="str">
        <f aca="false">IF($A1168="","",C1168*Settings!$B$11)</f>
        <v/>
      </c>
      <c r="I1168" s="20" t="str">
        <f aca="false">IF($A1168="","",IF(N(H1168)=0,"",RANK(H1168,$H$5:$H$2004)))</f>
        <v/>
      </c>
      <c r="J1168" s="21" t="str">
        <f aca="false">IF($A1168="","",IF(B1168=0,"No COD orders",IF(B1168&lt;Settings!$B$8,"Too few orders",IF(D1168&gt;=Settings!$B$9,"Restrict COD or verify","Keep COD"))))</f>
        <v/>
      </c>
    </row>
    <row r="1169" customFormat="false" ht="15" hidden="false" customHeight="false" outlineLevel="0" collapsed="false">
      <c r="A1169" s="27"/>
      <c r="B1169" s="17" t="str">
        <f aca="false">IF($A1169="","",COUNTIFS(Orders!$C$2:$C$20001,$A1169,Orders!$E$2:$E$20001,"COD",Orders!$F$2:$F$20001,"Delivered")+COUNTIFS(Orders!$C$2:$C$20001,$A1169,Orders!$E$2:$E$20001,"COD",Orders!$F$2:$F$20001,"RTO"))</f>
        <v/>
      </c>
      <c r="C1169" s="17" t="str">
        <f aca="false">IF($A1169="","",COUNTIFS(Orders!$C$2:$C$20001,$A1169,Orders!$E$2:$E$20001,"COD",Orders!$F$2:$F$20001,"RTO"))</f>
        <v/>
      </c>
      <c r="D1169" s="18" t="str">
        <f aca="false">IF($A1169="","",IFERROR(C1169/B1169,0))</f>
        <v/>
      </c>
      <c r="E1169" s="17" t="str">
        <f aca="false">IF($A1169="","",COUNTIFS(Orders!$C$2:$C$20001,$A1169,Orders!$E$2:$E$20001,"Prepaid",Orders!$F$2:$F$20001,"Delivered")+COUNTIFS(Orders!$C$2:$C$20001,$A1169,Orders!$E$2:$E$20001,"Prepaid",Orders!$F$2:$F$20001,"RTO"))</f>
        <v/>
      </c>
      <c r="F1169" s="17" t="str">
        <f aca="false">IF($A1169="","",COUNTIFS(Orders!$C$2:$C$20001,$A1169,Orders!$E$2:$E$20001,"Prepaid",Orders!$F$2:$F$20001,"RTO"))</f>
        <v/>
      </c>
      <c r="G1169" s="18" t="str">
        <f aca="false">IF($A1169="","",IFERROR(F1169/E1169,0))</f>
        <v/>
      </c>
      <c r="H1169" s="19" t="str">
        <f aca="false">IF($A1169="","",C1169*Settings!$B$11)</f>
        <v/>
      </c>
      <c r="I1169" s="20" t="str">
        <f aca="false">IF($A1169="","",IF(N(H1169)=0,"",RANK(H1169,$H$5:$H$2004)))</f>
        <v/>
      </c>
      <c r="J1169" s="21" t="str">
        <f aca="false">IF($A1169="","",IF(B1169=0,"No COD orders",IF(B1169&lt;Settings!$B$8,"Too few orders",IF(D1169&gt;=Settings!$B$9,"Restrict COD or verify","Keep COD"))))</f>
        <v/>
      </c>
    </row>
    <row r="1170" customFormat="false" ht="15" hidden="false" customHeight="false" outlineLevel="0" collapsed="false">
      <c r="A1170" s="27"/>
      <c r="B1170" s="17" t="str">
        <f aca="false">IF($A1170="","",COUNTIFS(Orders!$C$2:$C$20001,$A1170,Orders!$E$2:$E$20001,"COD",Orders!$F$2:$F$20001,"Delivered")+COUNTIFS(Orders!$C$2:$C$20001,$A1170,Orders!$E$2:$E$20001,"COD",Orders!$F$2:$F$20001,"RTO"))</f>
        <v/>
      </c>
      <c r="C1170" s="17" t="str">
        <f aca="false">IF($A1170="","",COUNTIFS(Orders!$C$2:$C$20001,$A1170,Orders!$E$2:$E$20001,"COD",Orders!$F$2:$F$20001,"RTO"))</f>
        <v/>
      </c>
      <c r="D1170" s="18" t="str">
        <f aca="false">IF($A1170="","",IFERROR(C1170/B1170,0))</f>
        <v/>
      </c>
      <c r="E1170" s="17" t="str">
        <f aca="false">IF($A1170="","",COUNTIFS(Orders!$C$2:$C$20001,$A1170,Orders!$E$2:$E$20001,"Prepaid",Orders!$F$2:$F$20001,"Delivered")+COUNTIFS(Orders!$C$2:$C$20001,$A1170,Orders!$E$2:$E$20001,"Prepaid",Orders!$F$2:$F$20001,"RTO"))</f>
        <v/>
      </c>
      <c r="F1170" s="17" t="str">
        <f aca="false">IF($A1170="","",COUNTIFS(Orders!$C$2:$C$20001,$A1170,Orders!$E$2:$E$20001,"Prepaid",Orders!$F$2:$F$20001,"RTO"))</f>
        <v/>
      </c>
      <c r="G1170" s="18" t="str">
        <f aca="false">IF($A1170="","",IFERROR(F1170/E1170,0))</f>
        <v/>
      </c>
      <c r="H1170" s="19" t="str">
        <f aca="false">IF($A1170="","",C1170*Settings!$B$11)</f>
        <v/>
      </c>
      <c r="I1170" s="20" t="str">
        <f aca="false">IF($A1170="","",IF(N(H1170)=0,"",RANK(H1170,$H$5:$H$2004)))</f>
        <v/>
      </c>
      <c r="J1170" s="21" t="str">
        <f aca="false">IF($A1170="","",IF(B1170=0,"No COD orders",IF(B1170&lt;Settings!$B$8,"Too few orders",IF(D1170&gt;=Settings!$B$9,"Restrict COD or verify","Keep COD"))))</f>
        <v/>
      </c>
    </row>
    <row r="1171" customFormat="false" ht="15" hidden="false" customHeight="false" outlineLevel="0" collapsed="false">
      <c r="A1171" s="27"/>
      <c r="B1171" s="17" t="str">
        <f aca="false">IF($A1171="","",COUNTIFS(Orders!$C$2:$C$20001,$A1171,Orders!$E$2:$E$20001,"COD",Orders!$F$2:$F$20001,"Delivered")+COUNTIFS(Orders!$C$2:$C$20001,$A1171,Orders!$E$2:$E$20001,"COD",Orders!$F$2:$F$20001,"RTO"))</f>
        <v/>
      </c>
      <c r="C1171" s="17" t="str">
        <f aca="false">IF($A1171="","",COUNTIFS(Orders!$C$2:$C$20001,$A1171,Orders!$E$2:$E$20001,"COD",Orders!$F$2:$F$20001,"RTO"))</f>
        <v/>
      </c>
      <c r="D1171" s="18" t="str">
        <f aca="false">IF($A1171="","",IFERROR(C1171/B1171,0))</f>
        <v/>
      </c>
      <c r="E1171" s="17" t="str">
        <f aca="false">IF($A1171="","",COUNTIFS(Orders!$C$2:$C$20001,$A1171,Orders!$E$2:$E$20001,"Prepaid",Orders!$F$2:$F$20001,"Delivered")+COUNTIFS(Orders!$C$2:$C$20001,$A1171,Orders!$E$2:$E$20001,"Prepaid",Orders!$F$2:$F$20001,"RTO"))</f>
        <v/>
      </c>
      <c r="F1171" s="17" t="str">
        <f aca="false">IF($A1171="","",COUNTIFS(Orders!$C$2:$C$20001,$A1171,Orders!$E$2:$E$20001,"Prepaid",Orders!$F$2:$F$20001,"RTO"))</f>
        <v/>
      </c>
      <c r="G1171" s="18" t="str">
        <f aca="false">IF($A1171="","",IFERROR(F1171/E1171,0))</f>
        <v/>
      </c>
      <c r="H1171" s="19" t="str">
        <f aca="false">IF($A1171="","",C1171*Settings!$B$11)</f>
        <v/>
      </c>
      <c r="I1171" s="20" t="str">
        <f aca="false">IF($A1171="","",IF(N(H1171)=0,"",RANK(H1171,$H$5:$H$2004)))</f>
        <v/>
      </c>
      <c r="J1171" s="21" t="str">
        <f aca="false">IF($A1171="","",IF(B1171=0,"No COD orders",IF(B1171&lt;Settings!$B$8,"Too few orders",IF(D1171&gt;=Settings!$B$9,"Restrict COD or verify","Keep COD"))))</f>
        <v/>
      </c>
    </row>
    <row r="1172" customFormat="false" ht="15" hidden="false" customHeight="false" outlineLevel="0" collapsed="false">
      <c r="A1172" s="27"/>
      <c r="B1172" s="17" t="str">
        <f aca="false">IF($A1172="","",COUNTIFS(Orders!$C$2:$C$20001,$A1172,Orders!$E$2:$E$20001,"COD",Orders!$F$2:$F$20001,"Delivered")+COUNTIFS(Orders!$C$2:$C$20001,$A1172,Orders!$E$2:$E$20001,"COD",Orders!$F$2:$F$20001,"RTO"))</f>
        <v/>
      </c>
      <c r="C1172" s="17" t="str">
        <f aca="false">IF($A1172="","",COUNTIFS(Orders!$C$2:$C$20001,$A1172,Orders!$E$2:$E$20001,"COD",Orders!$F$2:$F$20001,"RTO"))</f>
        <v/>
      </c>
      <c r="D1172" s="18" t="str">
        <f aca="false">IF($A1172="","",IFERROR(C1172/B1172,0))</f>
        <v/>
      </c>
      <c r="E1172" s="17" t="str">
        <f aca="false">IF($A1172="","",COUNTIFS(Orders!$C$2:$C$20001,$A1172,Orders!$E$2:$E$20001,"Prepaid",Orders!$F$2:$F$20001,"Delivered")+COUNTIFS(Orders!$C$2:$C$20001,$A1172,Orders!$E$2:$E$20001,"Prepaid",Orders!$F$2:$F$20001,"RTO"))</f>
        <v/>
      </c>
      <c r="F1172" s="17" t="str">
        <f aca="false">IF($A1172="","",COUNTIFS(Orders!$C$2:$C$20001,$A1172,Orders!$E$2:$E$20001,"Prepaid",Orders!$F$2:$F$20001,"RTO"))</f>
        <v/>
      </c>
      <c r="G1172" s="18" t="str">
        <f aca="false">IF($A1172="","",IFERROR(F1172/E1172,0))</f>
        <v/>
      </c>
      <c r="H1172" s="19" t="str">
        <f aca="false">IF($A1172="","",C1172*Settings!$B$11)</f>
        <v/>
      </c>
      <c r="I1172" s="20" t="str">
        <f aca="false">IF($A1172="","",IF(N(H1172)=0,"",RANK(H1172,$H$5:$H$2004)))</f>
        <v/>
      </c>
      <c r="J1172" s="21" t="str">
        <f aca="false">IF($A1172="","",IF(B1172=0,"No COD orders",IF(B1172&lt;Settings!$B$8,"Too few orders",IF(D1172&gt;=Settings!$B$9,"Restrict COD or verify","Keep COD"))))</f>
        <v/>
      </c>
    </row>
    <row r="1173" customFormat="false" ht="15" hidden="false" customHeight="false" outlineLevel="0" collapsed="false">
      <c r="A1173" s="27"/>
      <c r="B1173" s="17" t="str">
        <f aca="false">IF($A1173="","",COUNTIFS(Orders!$C$2:$C$20001,$A1173,Orders!$E$2:$E$20001,"COD",Orders!$F$2:$F$20001,"Delivered")+COUNTIFS(Orders!$C$2:$C$20001,$A1173,Orders!$E$2:$E$20001,"COD",Orders!$F$2:$F$20001,"RTO"))</f>
        <v/>
      </c>
      <c r="C1173" s="17" t="str">
        <f aca="false">IF($A1173="","",COUNTIFS(Orders!$C$2:$C$20001,$A1173,Orders!$E$2:$E$20001,"COD",Orders!$F$2:$F$20001,"RTO"))</f>
        <v/>
      </c>
      <c r="D1173" s="18" t="str">
        <f aca="false">IF($A1173="","",IFERROR(C1173/B1173,0))</f>
        <v/>
      </c>
      <c r="E1173" s="17" t="str">
        <f aca="false">IF($A1173="","",COUNTIFS(Orders!$C$2:$C$20001,$A1173,Orders!$E$2:$E$20001,"Prepaid",Orders!$F$2:$F$20001,"Delivered")+COUNTIFS(Orders!$C$2:$C$20001,$A1173,Orders!$E$2:$E$20001,"Prepaid",Orders!$F$2:$F$20001,"RTO"))</f>
        <v/>
      </c>
      <c r="F1173" s="17" t="str">
        <f aca="false">IF($A1173="","",COUNTIFS(Orders!$C$2:$C$20001,$A1173,Orders!$E$2:$E$20001,"Prepaid",Orders!$F$2:$F$20001,"RTO"))</f>
        <v/>
      </c>
      <c r="G1173" s="18" t="str">
        <f aca="false">IF($A1173="","",IFERROR(F1173/E1173,0))</f>
        <v/>
      </c>
      <c r="H1173" s="19" t="str">
        <f aca="false">IF($A1173="","",C1173*Settings!$B$11)</f>
        <v/>
      </c>
      <c r="I1173" s="20" t="str">
        <f aca="false">IF($A1173="","",IF(N(H1173)=0,"",RANK(H1173,$H$5:$H$2004)))</f>
        <v/>
      </c>
      <c r="J1173" s="21" t="str">
        <f aca="false">IF($A1173="","",IF(B1173=0,"No COD orders",IF(B1173&lt;Settings!$B$8,"Too few orders",IF(D1173&gt;=Settings!$B$9,"Restrict COD or verify","Keep COD"))))</f>
        <v/>
      </c>
    </row>
    <row r="1174" customFormat="false" ht="15" hidden="false" customHeight="false" outlineLevel="0" collapsed="false">
      <c r="A1174" s="27"/>
      <c r="B1174" s="17" t="str">
        <f aca="false">IF($A1174="","",COUNTIFS(Orders!$C$2:$C$20001,$A1174,Orders!$E$2:$E$20001,"COD",Orders!$F$2:$F$20001,"Delivered")+COUNTIFS(Orders!$C$2:$C$20001,$A1174,Orders!$E$2:$E$20001,"COD",Orders!$F$2:$F$20001,"RTO"))</f>
        <v/>
      </c>
      <c r="C1174" s="17" t="str">
        <f aca="false">IF($A1174="","",COUNTIFS(Orders!$C$2:$C$20001,$A1174,Orders!$E$2:$E$20001,"COD",Orders!$F$2:$F$20001,"RTO"))</f>
        <v/>
      </c>
      <c r="D1174" s="18" t="str">
        <f aca="false">IF($A1174="","",IFERROR(C1174/B1174,0))</f>
        <v/>
      </c>
      <c r="E1174" s="17" t="str">
        <f aca="false">IF($A1174="","",COUNTIFS(Orders!$C$2:$C$20001,$A1174,Orders!$E$2:$E$20001,"Prepaid",Orders!$F$2:$F$20001,"Delivered")+COUNTIFS(Orders!$C$2:$C$20001,$A1174,Orders!$E$2:$E$20001,"Prepaid",Orders!$F$2:$F$20001,"RTO"))</f>
        <v/>
      </c>
      <c r="F1174" s="17" t="str">
        <f aca="false">IF($A1174="","",COUNTIFS(Orders!$C$2:$C$20001,$A1174,Orders!$E$2:$E$20001,"Prepaid",Orders!$F$2:$F$20001,"RTO"))</f>
        <v/>
      </c>
      <c r="G1174" s="18" t="str">
        <f aca="false">IF($A1174="","",IFERROR(F1174/E1174,0))</f>
        <v/>
      </c>
      <c r="H1174" s="19" t="str">
        <f aca="false">IF($A1174="","",C1174*Settings!$B$11)</f>
        <v/>
      </c>
      <c r="I1174" s="20" t="str">
        <f aca="false">IF($A1174="","",IF(N(H1174)=0,"",RANK(H1174,$H$5:$H$2004)))</f>
        <v/>
      </c>
      <c r="J1174" s="21" t="str">
        <f aca="false">IF($A1174="","",IF(B1174=0,"No COD orders",IF(B1174&lt;Settings!$B$8,"Too few orders",IF(D1174&gt;=Settings!$B$9,"Restrict COD or verify","Keep COD"))))</f>
        <v/>
      </c>
    </row>
    <row r="1175" customFormat="false" ht="15" hidden="false" customHeight="false" outlineLevel="0" collapsed="false">
      <c r="A1175" s="27"/>
      <c r="B1175" s="17" t="str">
        <f aca="false">IF($A1175="","",COUNTIFS(Orders!$C$2:$C$20001,$A1175,Orders!$E$2:$E$20001,"COD",Orders!$F$2:$F$20001,"Delivered")+COUNTIFS(Orders!$C$2:$C$20001,$A1175,Orders!$E$2:$E$20001,"COD",Orders!$F$2:$F$20001,"RTO"))</f>
        <v/>
      </c>
      <c r="C1175" s="17" t="str">
        <f aca="false">IF($A1175="","",COUNTIFS(Orders!$C$2:$C$20001,$A1175,Orders!$E$2:$E$20001,"COD",Orders!$F$2:$F$20001,"RTO"))</f>
        <v/>
      </c>
      <c r="D1175" s="18" t="str">
        <f aca="false">IF($A1175="","",IFERROR(C1175/B1175,0))</f>
        <v/>
      </c>
      <c r="E1175" s="17" t="str">
        <f aca="false">IF($A1175="","",COUNTIFS(Orders!$C$2:$C$20001,$A1175,Orders!$E$2:$E$20001,"Prepaid",Orders!$F$2:$F$20001,"Delivered")+COUNTIFS(Orders!$C$2:$C$20001,$A1175,Orders!$E$2:$E$20001,"Prepaid",Orders!$F$2:$F$20001,"RTO"))</f>
        <v/>
      </c>
      <c r="F1175" s="17" t="str">
        <f aca="false">IF($A1175="","",COUNTIFS(Orders!$C$2:$C$20001,$A1175,Orders!$E$2:$E$20001,"Prepaid",Orders!$F$2:$F$20001,"RTO"))</f>
        <v/>
      </c>
      <c r="G1175" s="18" t="str">
        <f aca="false">IF($A1175="","",IFERROR(F1175/E1175,0))</f>
        <v/>
      </c>
      <c r="H1175" s="19" t="str">
        <f aca="false">IF($A1175="","",C1175*Settings!$B$11)</f>
        <v/>
      </c>
      <c r="I1175" s="20" t="str">
        <f aca="false">IF($A1175="","",IF(N(H1175)=0,"",RANK(H1175,$H$5:$H$2004)))</f>
        <v/>
      </c>
      <c r="J1175" s="21" t="str">
        <f aca="false">IF($A1175="","",IF(B1175=0,"No COD orders",IF(B1175&lt;Settings!$B$8,"Too few orders",IF(D1175&gt;=Settings!$B$9,"Restrict COD or verify","Keep COD"))))</f>
        <v/>
      </c>
    </row>
    <row r="1176" customFormat="false" ht="15" hidden="false" customHeight="false" outlineLevel="0" collapsed="false">
      <c r="A1176" s="27"/>
      <c r="B1176" s="17" t="str">
        <f aca="false">IF($A1176="","",COUNTIFS(Orders!$C$2:$C$20001,$A1176,Orders!$E$2:$E$20001,"COD",Orders!$F$2:$F$20001,"Delivered")+COUNTIFS(Orders!$C$2:$C$20001,$A1176,Orders!$E$2:$E$20001,"COD",Orders!$F$2:$F$20001,"RTO"))</f>
        <v/>
      </c>
      <c r="C1176" s="17" t="str">
        <f aca="false">IF($A1176="","",COUNTIFS(Orders!$C$2:$C$20001,$A1176,Orders!$E$2:$E$20001,"COD",Orders!$F$2:$F$20001,"RTO"))</f>
        <v/>
      </c>
      <c r="D1176" s="18" t="str">
        <f aca="false">IF($A1176="","",IFERROR(C1176/B1176,0))</f>
        <v/>
      </c>
      <c r="E1176" s="17" t="str">
        <f aca="false">IF($A1176="","",COUNTIFS(Orders!$C$2:$C$20001,$A1176,Orders!$E$2:$E$20001,"Prepaid",Orders!$F$2:$F$20001,"Delivered")+COUNTIFS(Orders!$C$2:$C$20001,$A1176,Orders!$E$2:$E$20001,"Prepaid",Orders!$F$2:$F$20001,"RTO"))</f>
        <v/>
      </c>
      <c r="F1176" s="17" t="str">
        <f aca="false">IF($A1176="","",COUNTIFS(Orders!$C$2:$C$20001,$A1176,Orders!$E$2:$E$20001,"Prepaid",Orders!$F$2:$F$20001,"RTO"))</f>
        <v/>
      </c>
      <c r="G1176" s="18" t="str">
        <f aca="false">IF($A1176="","",IFERROR(F1176/E1176,0))</f>
        <v/>
      </c>
      <c r="H1176" s="19" t="str">
        <f aca="false">IF($A1176="","",C1176*Settings!$B$11)</f>
        <v/>
      </c>
      <c r="I1176" s="20" t="str">
        <f aca="false">IF($A1176="","",IF(N(H1176)=0,"",RANK(H1176,$H$5:$H$2004)))</f>
        <v/>
      </c>
      <c r="J1176" s="21" t="str">
        <f aca="false">IF($A1176="","",IF(B1176=0,"No COD orders",IF(B1176&lt;Settings!$B$8,"Too few orders",IF(D1176&gt;=Settings!$B$9,"Restrict COD or verify","Keep COD"))))</f>
        <v/>
      </c>
    </row>
    <row r="1177" customFormat="false" ht="15" hidden="false" customHeight="false" outlineLevel="0" collapsed="false">
      <c r="A1177" s="27"/>
      <c r="B1177" s="17" t="str">
        <f aca="false">IF($A1177="","",COUNTIFS(Orders!$C$2:$C$20001,$A1177,Orders!$E$2:$E$20001,"COD",Orders!$F$2:$F$20001,"Delivered")+COUNTIFS(Orders!$C$2:$C$20001,$A1177,Orders!$E$2:$E$20001,"COD",Orders!$F$2:$F$20001,"RTO"))</f>
        <v/>
      </c>
      <c r="C1177" s="17" t="str">
        <f aca="false">IF($A1177="","",COUNTIFS(Orders!$C$2:$C$20001,$A1177,Orders!$E$2:$E$20001,"COD",Orders!$F$2:$F$20001,"RTO"))</f>
        <v/>
      </c>
      <c r="D1177" s="18" t="str">
        <f aca="false">IF($A1177="","",IFERROR(C1177/B1177,0))</f>
        <v/>
      </c>
      <c r="E1177" s="17" t="str">
        <f aca="false">IF($A1177="","",COUNTIFS(Orders!$C$2:$C$20001,$A1177,Orders!$E$2:$E$20001,"Prepaid",Orders!$F$2:$F$20001,"Delivered")+COUNTIFS(Orders!$C$2:$C$20001,$A1177,Orders!$E$2:$E$20001,"Prepaid",Orders!$F$2:$F$20001,"RTO"))</f>
        <v/>
      </c>
      <c r="F1177" s="17" t="str">
        <f aca="false">IF($A1177="","",COUNTIFS(Orders!$C$2:$C$20001,$A1177,Orders!$E$2:$E$20001,"Prepaid",Orders!$F$2:$F$20001,"RTO"))</f>
        <v/>
      </c>
      <c r="G1177" s="18" t="str">
        <f aca="false">IF($A1177="","",IFERROR(F1177/E1177,0))</f>
        <v/>
      </c>
      <c r="H1177" s="19" t="str">
        <f aca="false">IF($A1177="","",C1177*Settings!$B$11)</f>
        <v/>
      </c>
      <c r="I1177" s="20" t="str">
        <f aca="false">IF($A1177="","",IF(N(H1177)=0,"",RANK(H1177,$H$5:$H$2004)))</f>
        <v/>
      </c>
      <c r="J1177" s="21" t="str">
        <f aca="false">IF($A1177="","",IF(B1177=0,"No COD orders",IF(B1177&lt;Settings!$B$8,"Too few orders",IF(D1177&gt;=Settings!$B$9,"Restrict COD or verify","Keep COD"))))</f>
        <v/>
      </c>
    </row>
    <row r="1178" customFormat="false" ht="15" hidden="false" customHeight="false" outlineLevel="0" collapsed="false">
      <c r="A1178" s="27"/>
      <c r="B1178" s="17" t="str">
        <f aca="false">IF($A1178="","",COUNTIFS(Orders!$C$2:$C$20001,$A1178,Orders!$E$2:$E$20001,"COD",Orders!$F$2:$F$20001,"Delivered")+COUNTIFS(Orders!$C$2:$C$20001,$A1178,Orders!$E$2:$E$20001,"COD",Orders!$F$2:$F$20001,"RTO"))</f>
        <v/>
      </c>
      <c r="C1178" s="17" t="str">
        <f aca="false">IF($A1178="","",COUNTIFS(Orders!$C$2:$C$20001,$A1178,Orders!$E$2:$E$20001,"COD",Orders!$F$2:$F$20001,"RTO"))</f>
        <v/>
      </c>
      <c r="D1178" s="18" t="str">
        <f aca="false">IF($A1178="","",IFERROR(C1178/B1178,0))</f>
        <v/>
      </c>
      <c r="E1178" s="17" t="str">
        <f aca="false">IF($A1178="","",COUNTIFS(Orders!$C$2:$C$20001,$A1178,Orders!$E$2:$E$20001,"Prepaid",Orders!$F$2:$F$20001,"Delivered")+COUNTIFS(Orders!$C$2:$C$20001,$A1178,Orders!$E$2:$E$20001,"Prepaid",Orders!$F$2:$F$20001,"RTO"))</f>
        <v/>
      </c>
      <c r="F1178" s="17" t="str">
        <f aca="false">IF($A1178="","",COUNTIFS(Orders!$C$2:$C$20001,$A1178,Orders!$E$2:$E$20001,"Prepaid",Orders!$F$2:$F$20001,"RTO"))</f>
        <v/>
      </c>
      <c r="G1178" s="18" t="str">
        <f aca="false">IF($A1178="","",IFERROR(F1178/E1178,0))</f>
        <v/>
      </c>
      <c r="H1178" s="19" t="str">
        <f aca="false">IF($A1178="","",C1178*Settings!$B$11)</f>
        <v/>
      </c>
      <c r="I1178" s="20" t="str">
        <f aca="false">IF($A1178="","",IF(N(H1178)=0,"",RANK(H1178,$H$5:$H$2004)))</f>
        <v/>
      </c>
      <c r="J1178" s="21" t="str">
        <f aca="false">IF($A1178="","",IF(B1178=0,"No COD orders",IF(B1178&lt;Settings!$B$8,"Too few orders",IF(D1178&gt;=Settings!$B$9,"Restrict COD or verify","Keep COD"))))</f>
        <v/>
      </c>
    </row>
    <row r="1179" customFormat="false" ht="15" hidden="false" customHeight="false" outlineLevel="0" collapsed="false">
      <c r="A1179" s="27"/>
      <c r="B1179" s="17" t="str">
        <f aca="false">IF($A1179="","",COUNTIFS(Orders!$C$2:$C$20001,$A1179,Orders!$E$2:$E$20001,"COD",Orders!$F$2:$F$20001,"Delivered")+COUNTIFS(Orders!$C$2:$C$20001,$A1179,Orders!$E$2:$E$20001,"COD",Orders!$F$2:$F$20001,"RTO"))</f>
        <v/>
      </c>
      <c r="C1179" s="17" t="str">
        <f aca="false">IF($A1179="","",COUNTIFS(Orders!$C$2:$C$20001,$A1179,Orders!$E$2:$E$20001,"COD",Orders!$F$2:$F$20001,"RTO"))</f>
        <v/>
      </c>
      <c r="D1179" s="18" t="str">
        <f aca="false">IF($A1179="","",IFERROR(C1179/B1179,0))</f>
        <v/>
      </c>
      <c r="E1179" s="17" t="str">
        <f aca="false">IF($A1179="","",COUNTIFS(Orders!$C$2:$C$20001,$A1179,Orders!$E$2:$E$20001,"Prepaid",Orders!$F$2:$F$20001,"Delivered")+COUNTIFS(Orders!$C$2:$C$20001,$A1179,Orders!$E$2:$E$20001,"Prepaid",Orders!$F$2:$F$20001,"RTO"))</f>
        <v/>
      </c>
      <c r="F1179" s="17" t="str">
        <f aca="false">IF($A1179="","",COUNTIFS(Orders!$C$2:$C$20001,$A1179,Orders!$E$2:$E$20001,"Prepaid",Orders!$F$2:$F$20001,"RTO"))</f>
        <v/>
      </c>
      <c r="G1179" s="18" t="str">
        <f aca="false">IF($A1179="","",IFERROR(F1179/E1179,0))</f>
        <v/>
      </c>
      <c r="H1179" s="19" t="str">
        <f aca="false">IF($A1179="","",C1179*Settings!$B$11)</f>
        <v/>
      </c>
      <c r="I1179" s="20" t="str">
        <f aca="false">IF($A1179="","",IF(N(H1179)=0,"",RANK(H1179,$H$5:$H$2004)))</f>
        <v/>
      </c>
      <c r="J1179" s="21" t="str">
        <f aca="false">IF($A1179="","",IF(B1179=0,"No COD orders",IF(B1179&lt;Settings!$B$8,"Too few orders",IF(D1179&gt;=Settings!$B$9,"Restrict COD or verify","Keep COD"))))</f>
        <v/>
      </c>
    </row>
    <row r="1180" customFormat="false" ht="15" hidden="false" customHeight="false" outlineLevel="0" collapsed="false">
      <c r="A1180" s="27"/>
      <c r="B1180" s="17" t="str">
        <f aca="false">IF($A1180="","",COUNTIFS(Orders!$C$2:$C$20001,$A1180,Orders!$E$2:$E$20001,"COD",Orders!$F$2:$F$20001,"Delivered")+COUNTIFS(Orders!$C$2:$C$20001,$A1180,Orders!$E$2:$E$20001,"COD",Orders!$F$2:$F$20001,"RTO"))</f>
        <v/>
      </c>
      <c r="C1180" s="17" t="str">
        <f aca="false">IF($A1180="","",COUNTIFS(Orders!$C$2:$C$20001,$A1180,Orders!$E$2:$E$20001,"COD",Orders!$F$2:$F$20001,"RTO"))</f>
        <v/>
      </c>
      <c r="D1180" s="18" t="str">
        <f aca="false">IF($A1180="","",IFERROR(C1180/B1180,0))</f>
        <v/>
      </c>
      <c r="E1180" s="17" t="str">
        <f aca="false">IF($A1180="","",COUNTIFS(Orders!$C$2:$C$20001,$A1180,Orders!$E$2:$E$20001,"Prepaid",Orders!$F$2:$F$20001,"Delivered")+COUNTIFS(Orders!$C$2:$C$20001,$A1180,Orders!$E$2:$E$20001,"Prepaid",Orders!$F$2:$F$20001,"RTO"))</f>
        <v/>
      </c>
      <c r="F1180" s="17" t="str">
        <f aca="false">IF($A1180="","",COUNTIFS(Orders!$C$2:$C$20001,$A1180,Orders!$E$2:$E$20001,"Prepaid",Orders!$F$2:$F$20001,"RTO"))</f>
        <v/>
      </c>
      <c r="G1180" s="18" t="str">
        <f aca="false">IF($A1180="","",IFERROR(F1180/E1180,0))</f>
        <v/>
      </c>
      <c r="H1180" s="19" t="str">
        <f aca="false">IF($A1180="","",C1180*Settings!$B$11)</f>
        <v/>
      </c>
      <c r="I1180" s="20" t="str">
        <f aca="false">IF($A1180="","",IF(N(H1180)=0,"",RANK(H1180,$H$5:$H$2004)))</f>
        <v/>
      </c>
      <c r="J1180" s="21" t="str">
        <f aca="false">IF($A1180="","",IF(B1180=0,"No COD orders",IF(B1180&lt;Settings!$B$8,"Too few orders",IF(D1180&gt;=Settings!$B$9,"Restrict COD or verify","Keep COD"))))</f>
        <v/>
      </c>
    </row>
    <row r="1181" customFormat="false" ht="15" hidden="false" customHeight="false" outlineLevel="0" collapsed="false">
      <c r="A1181" s="27"/>
      <c r="B1181" s="17" t="str">
        <f aca="false">IF($A1181="","",COUNTIFS(Orders!$C$2:$C$20001,$A1181,Orders!$E$2:$E$20001,"COD",Orders!$F$2:$F$20001,"Delivered")+COUNTIFS(Orders!$C$2:$C$20001,$A1181,Orders!$E$2:$E$20001,"COD",Orders!$F$2:$F$20001,"RTO"))</f>
        <v/>
      </c>
      <c r="C1181" s="17" t="str">
        <f aca="false">IF($A1181="","",COUNTIFS(Orders!$C$2:$C$20001,$A1181,Orders!$E$2:$E$20001,"COD",Orders!$F$2:$F$20001,"RTO"))</f>
        <v/>
      </c>
      <c r="D1181" s="18" t="str">
        <f aca="false">IF($A1181="","",IFERROR(C1181/B1181,0))</f>
        <v/>
      </c>
      <c r="E1181" s="17" t="str">
        <f aca="false">IF($A1181="","",COUNTIFS(Orders!$C$2:$C$20001,$A1181,Orders!$E$2:$E$20001,"Prepaid",Orders!$F$2:$F$20001,"Delivered")+COUNTIFS(Orders!$C$2:$C$20001,$A1181,Orders!$E$2:$E$20001,"Prepaid",Orders!$F$2:$F$20001,"RTO"))</f>
        <v/>
      </c>
      <c r="F1181" s="17" t="str">
        <f aca="false">IF($A1181="","",COUNTIFS(Orders!$C$2:$C$20001,$A1181,Orders!$E$2:$E$20001,"Prepaid",Orders!$F$2:$F$20001,"RTO"))</f>
        <v/>
      </c>
      <c r="G1181" s="18" t="str">
        <f aca="false">IF($A1181="","",IFERROR(F1181/E1181,0))</f>
        <v/>
      </c>
      <c r="H1181" s="19" t="str">
        <f aca="false">IF($A1181="","",C1181*Settings!$B$11)</f>
        <v/>
      </c>
      <c r="I1181" s="20" t="str">
        <f aca="false">IF($A1181="","",IF(N(H1181)=0,"",RANK(H1181,$H$5:$H$2004)))</f>
        <v/>
      </c>
      <c r="J1181" s="21" t="str">
        <f aca="false">IF($A1181="","",IF(B1181=0,"No COD orders",IF(B1181&lt;Settings!$B$8,"Too few orders",IF(D1181&gt;=Settings!$B$9,"Restrict COD or verify","Keep COD"))))</f>
        <v/>
      </c>
    </row>
    <row r="1182" customFormat="false" ht="15" hidden="false" customHeight="false" outlineLevel="0" collapsed="false">
      <c r="A1182" s="27"/>
      <c r="B1182" s="17" t="str">
        <f aca="false">IF($A1182="","",COUNTIFS(Orders!$C$2:$C$20001,$A1182,Orders!$E$2:$E$20001,"COD",Orders!$F$2:$F$20001,"Delivered")+COUNTIFS(Orders!$C$2:$C$20001,$A1182,Orders!$E$2:$E$20001,"COD",Orders!$F$2:$F$20001,"RTO"))</f>
        <v/>
      </c>
      <c r="C1182" s="17" t="str">
        <f aca="false">IF($A1182="","",COUNTIFS(Orders!$C$2:$C$20001,$A1182,Orders!$E$2:$E$20001,"COD",Orders!$F$2:$F$20001,"RTO"))</f>
        <v/>
      </c>
      <c r="D1182" s="18" t="str">
        <f aca="false">IF($A1182="","",IFERROR(C1182/B1182,0))</f>
        <v/>
      </c>
      <c r="E1182" s="17" t="str">
        <f aca="false">IF($A1182="","",COUNTIFS(Orders!$C$2:$C$20001,$A1182,Orders!$E$2:$E$20001,"Prepaid",Orders!$F$2:$F$20001,"Delivered")+COUNTIFS(Orders!$C$2:$C$20001,$A1182,Orders!$E$2:$E$20001,"Prepaid",Orders!$F$2:$F$20001,"RTO"))</f>
        <v/>
      </c>
      <c r="F1182" s="17" t="str">
        <f aca="false">IF($A1182="","",COUNTIFS(Orders!$C$2:$C$20001,$A1182,Orders!$E$2:$E$20001,"Prepaid",Orders!$F$2:$F$20001,"RTO"))</f>
        <v/>
      </c>
      <c r="G1182" s="18" t="str">
        <f aca="false">IF($A1182="","",IFERROR(F1182/E1182,0))</f>
        <v/>
      </c>
      <c r="H1182" s="19" t="str">
        <f aca="false">IF($A1182="","",C1182*Settings!$B$11)</f>
        <v/>
      </c>
      <c r="I1182" s="20" t="str">
        <f aca="false">IF($A1182="","",IF(N(H1182)=0,"",RANK(H1182,$H$5:$H$2004)))</f>
        <v/>
      </c>
      <c r="J1182" s="21" t="str">
        <f aca="false">IF($A1182="","",IF(B1182=0,"No COD orders",IF(B1182&lt;Settings!$B$8,"Too few orders",IF(D1182&gt;=Settings!$B$9,"Restrict COD or verify","Keep COD"))))</f>
        <v/>
      </c>
    </row>
    <row r="1183" customFormat="false" ht="15" hidden="false" customHeight="false" outlineLevel="0" collapsed="false">
      <c r="A1183" s="27"/>
      <c r="B1183" s="17" t="str">
        <f aca="false">IF($A1183="","",COUNTIFS(Orders!$C$2:$C$20001,$A1183,Orders!$E$2:$E$20001,"COD",Orders!$F$2:$F$20001,"Delivered")+COUNTIFS(Orders!$C$2:$C$20001,$A1183,Orders!$E$2:$E$20001,"COD",Orders!$F$2:$F$20001,"RTO"))</f>
        <v/>
      </c>
      <c r="C1183" s="17" t="str">
        <f aca="false">IF($A1183="","",COUNTIFS(Orders!$C$2:$C$20001,$A1183,Orders!$E$2:$E$20001,"COD",Orders!$F$2:$F$20001,"RTO"))</f>
        <v/>
      </c>
      <c r="D1183" s="18" t="str">
        <f aca="false">IF($A1183="","",IFERROR(C1183/B1183,0))</f>
        <v/>
      </c>
      <c r="E1183" s="17" t="str">
        <f aca="false">IF($A1183="","",COUNTIFS(Orders!$C$2:$C$20001,$A1183,Orders!$E$2:$E$20001,"Prepaid",Orders!$F$2:$F$20001,"Delivered")+COUNTIFS(Orders!$C$2:$C$20001,$A1183,Orders!$E$2:$E$20001,"Prepaid",Orders!$F$2:$F$20001,"RTO"))</f>
        <v/>
      </c>
      <c r="F1183" s="17" t="str">
        <f aca="false">IF($A1183="","",COUNTIFS(Orders!$C$2:$C$20001,$A1183,Orders!$E$2:$E$20001,"Prepaid",Orders!$F$2:$F$20001,"RTO"))</f>
        <v/>
      </c>
      <c r="G1183" s="18" t="str">
        <f aca="false">IF($A1183="","",IFERROR(F1183/E1183,0))</f>
        <v/>
      </c>
      <c r="H1183" s="19" t="str">
        <f aca="false">IF($A1183="","",C1183*Settings!$B$11)</f>
        <v/>
      </c>
      <c r="I1183" s="20" t="str">
        <f aca="false">IF($A1183="","",IF(N(H1183)=0,"",RANK(H1183,$H$5:$H$2004)))</f>
        <v/>
      </c>
      <c r="J1183" s="21" t="str">
        <f aca="false">IF($A1183="","",IF(B1183=0,"No COD orders",IF(B1183&lt;Settings!$B$8,"Too few orders",IF(D1183&gt;=Settings!$B$9,"Restrict COD or verify","Keep COD"))))</f>
        <v/>
      </c>
    </row>
    <row r="1184" customFormat="false" ht="15" hidden="false" customHeight="false" outlineLevel="0" collapsed="false">
      <c r="A1184" s="27"/>
      <c r="B1184" s="17" t="str">
        <f aca="false">IF($A1184="","",COUNTIFS(Orders!$C$2:$C$20001,$A1184,Orders!$E$2:$E$20001,"COD",Orders!$F$2:$F$20001,"Delivered")+COUNTIFS(Orders!$C$2:$C$20001,$A1184,Orders!$E$2:$E$20001,"COD",Orders!$F$2:$F$20001,"RTO"))</f>
        <v/>
      </c>
      <c r="C1184" s="17" t="str">
        <f aca="false">IF($A1184="","",COUNTIFS(Orders!$C$2:$C$20001,$A1184,Orders!$E$2:$E$20001,"COD",Orders!$F$2:$F$20001,"RTO"))</f>
        <v/>
      </c>
      <c r="D1184" s="18" t="str">
        <f aca="false">IF($A1184="","",IFERROR(C1184/B1184,0))</f>
        <v/>
      </c>
      <c r="E1184" s="17" t="str">
        <f aca="false">IF($A1184="","",COUNTIFS(Orders!$C$2:$C$20001,$A1184,Orders!$E$2:$E$20001,"Prepaid",Orders!$F$2:$F$20001,"Delivered")+COUNTIFS(Orders!$C$2:$C$20001,$A1184,Orders!$E$2:$E$20001,"Prepaid",Orders!$F$2:$F$20001,"RTO"))</f>
        <v/>
      </c>
      <c r="F1184" s="17" t="str">
        <f aca="false">IF($A1184="","",COUNTIFS(Orders!$C$2:$C$20001,$A1184,Orders!$E$2:$E$20001,"Prepaid",Orders!$F$2:$F$20001,"RTO"))</f>
        <v/>
      </c>
      <c r="G1184" s="18" t="str">
        <f aca="false">IF($A1184="","",IFERROR(F1184/E1184,0))</f>
        <v/>
      </c>
      <c r="H1184" s="19" t="str">
        <f aca="false">IF($A1184="","",C1184*Settings!$B$11)</f>
        <v/>
      </c>
      <c r="I1184" s="20" t="str">
        <f aca="false">IF($A1184="","",IF(N(H1184)=0,"",RANK(H1184,$H$5:$H$2004)))</f>
        <v/>
      </c>
      <c r="J1184" s="21" t="str">
        <f aca="false">IF($A1184="","",IF(B1184=0,"No COD orders",IF(B1184&lt;Settings!$B$8,"Too few orders",IF(D1184&gt;=Settings!$B$9,"Restrict COD or verify","Keep COD"))))</f>
        <v/>
      </c>
    </row>
    <row r="1185" customFormat="false" ht="15" hidden="false" customHeight="false" outlineLevel="0" collapsed="false">
      <c r="A1185" s="27"/>
      <c r="B1185" s="17" t="str">
        <f aca="false">IF($A1185="","",COUNTIFS(Orders!$C$2:$C$20001,$A1185,Orders!$E$2:$E$20001,"COD",Orders!$F$2:$F$20001,"Delivered")+COUNTIFS(Orders!$C$2:$C$20001,$A1185,Orders!$E$2:$E$20001,"COD",Orders!$F$2:$F$20001,"RTO"))</f>
        <v/>
      </c>
      <c r="C1185" s="17" t="str">
        <f aca="false">IF($A1185="","",COUNTIFS(Orders!$C$2:$C$20001,$A1185,Orders!$E$2:$E$20001,"COD",Orders!$F$2:$F$20001,"RTO"))</f>
        <v/>
      </c>
      <c r="D1185" s="18" t="str">
        <f aca="false">IF($A1185="","",IFERROR(C1185/B1185,0))</f>
        <v/>
      </c>
      <c r="E1185" s="17" t="str">
        <f aca="false">IF($A1185="","",COUNTIFS(Orders!$C$2:$C$20001,$A1185,Orders!$E$2:$E$20001,"Prepaid",Orders!$F$2:$F$20001,"Delivered")+COUNTIFS(Orders!$C$2:$C$20001,$A1185,Orders!$E$2:$E$20001,"Prepaid",Orders!$F$2:$F$20001,"RTO"))</f>
        <v/>
      </c>
      <c r="F1185" s="17" t="str">
        <f aca="false">IF($A1185="","",COUNTIFS(Orders!$C$2:$C$20001,$A1185,Orders!$E$2:$E$20001,"Prepaid",Orders!$F$2:$F$20001,"RTO"))</f>
        <v/>
      </c>
      <c r="G1185" s="18" t="str">
        <f aca="false">IF($A1185="","",IFERROR(F1185/E1185,0))</f>
        <v/>
      </c>
      <c r="H1185" s="19" t="str">
        <f aca="false">IF($A1185="","",C1185*Settings!$B$11)</f>
        <v/>
      </c>
      <c r="I1185" s="20" t="str">
        <f aca="false">IF($A1185="","",IF(N(H1185)=0,"",RANK(H1185,$H$5:$H$2004)))</f>
        <v/>
      </c>
      <c r="J1185" s="21" t="str">
        <f aca="false">IF($A1185="","",IF(B1185=0,"No COD orders",IF(B1185&lt;Settings!$B$8,"Too few orders",IF(D1185&gt;=Settings!$B$9,"Restrict COD or verify","Keep COD"))))</f>
        <v/>
      </c>
    </row>
    <row r="1186" customFormat="false" ht="15" hidden="false" customHeight="false" outlineLevel="0" collapsed="false">
      <c r="A1186" s="27"/>
      <c r="B1186" s="17" t="str">
        <f aca="false">IF($A1186="","",COUNTIFS(Orders!$C$2:$C$20001,$A1186,Orders!$E$2:$E$20001,"COD",Orders!$F$2:$F$20001,"Delivered")+COUNTIFS(Orders!$C$2:$C$20001,$A1186,Orders!$E$2:$E$20001,"COD",Orders!$F$2:$F$20001,"RTO"))</f>
        <v/>
      </c>
      <c r="C1186" s="17" t="str">
        <f aca="false">IF($A1186="","",COUNTIFS(Orders!$C$2:$C$20001,$A1186,Orders!$E$2:$E$20001,"COD",Orders!$F$2:$F$20001,"RTO"))</f>
        <v/>
      </c>
      <c r="D1186" s="18" t="str">
        <f aca="false">IF($A1186="","",IFERROR(C1186/B1186,0))</f>
        <v/>
      </c>
      <c r="E1186" s="17" t="str">
        <f aca="false">IF($A1186="","",COUNTIFS(Orders!$C$2:$C$20001,$A1186,Orders!$E$2:$E$20001,"Prepaid",Orders!$F$2:$F$20001,"Delivered")+COUNTIFS(Orders!$C$2:$C$20001,$A1186,Orders!$E$2:$E$20001,"Prepaid",Orders!$F$2:$F$20001,"RTO"))</f>
        <v/>
      </c>
      <c r="F1186" s="17" t="str">
        <f aca="false">IF($A1186="","",COUNTIFS(Orders!$C$2:$C$20001,$A1186,Orders!$E$2:$E$20001,"Prepaid",Orders!$F$2:$F$20001,"RTO"))</f>
        <v/>
      </c>
      <c r="G1186" s="18" t="str">
        <f aca="false">IF($A1186="","",IFERROR(F1186/E1186,0))</f>
        <v/>
      </c>
      <c r="H1186" s="19" t="str">
        <f aca="false">IF($A1186="","",C1186*Settings!$B$11)</f>
        <v/>
      </c>
      <c r="I1186" s="20" t="str">
        <f aca="false">IF($A1186="","",IF(N(H1186)=0,"",RANK(H1186,$H$5:$H$2004)))</f>
        <v/>
      </c>
      <c r="J1186" s="21" t="str">
        <f aca="false">IF($A1186="","",IF(B1186=0,"No COD orders",IF(B1186&lt;Settings!$B$8,"Too few orders",IF(D1186&gt;=Settings!$B$9,"Restrict COD or verify","Keep COD"))))</f>
        <v/>
      </c>
    </row>
    <row r="1187" customFormat="false" ht="15" hidden="false" customHeight="false" outlineLevel="0" collapsed="false">
      <c r="A1187" s="27"/>
      <c r="B1187" s="17" t="str">
        <f aca="false">IF($A1187="","",COUNTIFS(Orders!$C$2:$C$20001,$A1187,Orders!$E$2:$E$20001,"COD",Orders!$F$2:$F$20001,"Delivered")+COUNTIFS(Orders!$C$2:$C$20001,$A1187,Orders!$E$2:$E$20001,"COD",Orders!$F$2:$F$20001,"RTO"))</f>
        <v/>
      </c>
      <c r="C1187" s="17" t="str">
        <f aca="false">IF($A1187="","",COUNTIFS(Orders!$C$2:$C$20001,$A1187,Orders!$E$2:$E$20001,"COD",Orders!$F$2:$F$20001,"RTO"))</f>
        <v/>
      </c>
      <c r="D1187" s="18" t="str">
        <f aca="false">IF($A1187="","",IFERROR(C1187/B1187,0))</f>
        <v/>
      </c>
      <c r="E1187" s="17" t="str">
        <f aca="false">IF($A1187="","",COUNTIFS(Orders!$C$2:$C$20001,$A1187,Orders!$E$2:$E$20001,"Prepaid",Orders!$F$2:$F$20001,"Delivered")+COUNTIFS(Orders!$C$2:$C$20001,$A1187,Orders!$E$2:$E$20001,"Prepaid",Orders!$F$2:$F$20001,"RTO"))</f>
        <v/>
      </c>
      <c r="F1187" s="17" t="str">
        <f aca="false">IF($A1187="","",COUNTIFS(Orders!$C$2:$C$20001,$A1187,Orders!$E$2:$E$20001,"Prepaid",Orders!$F$2:$F$20001,"RTO"))</f>
        <v/>
      </c>
      <c r="G1187" s="18" t="str">
        <f aca="false">IF($A1187="","",IFERROR(F1187/E1187,0))</f>
        <v/>
      </c>
      <c r="H1187" s="19" t="str">
        <f aca="false">IF($A1187="","",C1187*Settings!$B$11)</f>
        <v/>
      </c>
      <c r="I1187" s="20" t="str">
        <f aca="false">IF($A1187="","",IF(N(H1187)=0,"",RANK(H1187,$H$5:$H$2004)))</f>
        <v/>
      </c>
      <c r="J1187" s="21" t="str">
        <f aca="false">IF($A1187="","",IF(B1187=0,"No COD orders",IF(B1187&lt;Settings!$B$8,"Too few orders",IF(D1187&gt;=Settings!$B$9,"Restrict COD or verify","Keep COD"))))</f>
        <v/>
      </c>
    </row>
    <row r="1188" customFormat="false" ht="15" hidden="false" customHeight="false" outlineLevel="0" collapsed="false">
      <c r="A1188" s="27"/>
      <c r="B1188" s="17" t="str">
        <f aca="false">IF($A1188="","",COUNTIFS(Orders!$C$2:$C$20001,$A1188,Orders!$E$2:$E$20001,"COD",Orders!$F$2:$F$20001,"Delivered")+COUNTIFS(Orders!$C$2:$C$20001,$A1188,Orders!$E$2:$E$20001,"COD",Orders!$F$2:$F$20001,"RTO"))</f>
        <v/>
      </c>
      <c r="C1188" s="17" t="str">
        <f aca="false">IF($A1188="","",COUNTIFS(Orders!$C$2:$C$20001,$A1188,Orders!$E$2:$E$20001,"COD",Orders!$F$2:$F$20001,"RTO"))</f>
        <v/>
      </c>
      <c r="D1188" s="18" t="str">
        <f aca="false">IF($A1188="","",IFERROR(C1188/B1188,0))</f>
        <v/>
      </c>
      <c r="E1188" s="17" t="str">
        <f aca="false">IF($A1188="","",COUNTIFS(Orders!$C$2:$C$20001,$A1188,Orders!$E$2:$E$20001,"Prepaid",Orders!$F$2:$F$20001,"Delivered")+COUNTIFS(Orders!$C$2:$C$20001,$A1188,Orders!$E$2:$E$20001,"Prepaid",Orders!$F$2:$F$20001,"RTO"))</f>
        <v/>
      </c>
      <c r="F1188" s="17" t="str">
        <f aca="false">IF($A1188="","",COUNTIFS(Orders!$C$2:$C$20001,$A1188,Orders!$E$2:$E$20001,"Prepaid",Orders!$F$2:$F$20001,"RTO"))</f>
        <v/>
      </c>
      <c r="G1188" s="18" t="str">
        <f aca="false">IF($A1188="","",IFERROR(F1188/E1188,0))</f>
        <v/>
      </c>
      <c r="H1188" s="19" t="str">
        <f aca="false">IF($A1188="","",C1188*Settings!$B$11)</f>
        <v/>
      </c>
      <c r="I1188" s="20" t="str">
        <f aca="false">IF($A1188="","",IF(N(H1188)=0,"",RANK(H1188,$H$5:$H$2004)))</f>
        <v/>
      </c>
      <c r="J1188" s="21" t="str">
        <f aca="false">IF($A1188="","",IF(B1188=0,"No COD orders",IF(B1188&lt;Settings!$B$8,"Too few orders",IF(D1188&gt;=Settings!$B$9,"Restrict COD or verify","Keep COD"))))</f>
        <v/>
      </c>
    </row>
    <row r="1189" customFormat="false" ht="15" hidden="false" customHeight="false" outlineLevel="0" collapsed="false">
      <c r="A1189" s="27"/>
      <c r="B1189" s="17" t="str">
        <f aca="false">IF($A1189="","",COUNTIFS(Orders!$C$2:$C$20001,$A1189,Orders!$E$2:$E$20001,"COD",Orders!$F$2:$F$20001,"Delivered")+COUNTIFS(Orders!$C$2:$C$20001,$A1189,Orders!$E$2:$E$20001,"COD",Orders!$F$2:$F$20001,"RTO"))</f>
        <v/>
      </c>
      <c r="C1189" s="17" t="str">
        <f aca="false">IF($A1189="","",COUNTIFS(Orders!$C$2:$C$20001,$A1189,Orders!$E$2:$E$20001,"COD",Orders!$F$2:$F$20001,"RTO"))</f>
        <v/>
      </c>
      <c r="D1189" s="18" t="str">
        <f aca="false">IF($A1189="","",IFERROR(C1189/B1189,0))</f>
        <v/>
      </c>
      <c r="E1189" s="17" t="str">
        <f aca="false">IF($A1189="","",COUNTIFS(Orders!$C$2:$C$20001,$A1189,Orders!$E$2:$E$20001,"Prepaid",Orders!$F$2:$F$20001,"Delivered")+COUNTIFS(Orders!$C$2:$C$20001,$A1189,Orders!$E$2:$E$20001,"Prepaid",Orders!$F$2:$F$20001,"RTO"))</f>
        <v/>
      </c>
      <c r="F1189" s="17" t="str">
        <f aca="false">IF($A1189="","",COUNTIFS(Orders!$C$2:$C$20001,$A1189,Orders!$E$2:$E$20001,"Prepaid",Orders!$F$2:$F$20001,"RTO"))</f>
        <v/>
      </c>
      <c r="G1189" s="18" t="str">
        <f aca="false">IF($A1189="","",IFERROR(F1189/E1189,0))</f>
        <v/>
      </c>
      <c r="H1189" s="19" t="str">
        <f aca="false">IF($A1189="","",C1189*Settings!$B$11)</f>
        <v/>
      </c>
      <c r="I1189" s="20" t="str">
        <f aca="false">IF($A1189="","",IF(N(H1189)=0,"",RANK(H1189,$H$5:$H$2004)))</f>
        <v/>
      </c>
      <c r="J1189" s="21" t="str">
        <f aca="false">IF($A1189="","",IF(B1189=0,"No COD orders",IF(B1189&lt;Settings!$B$8,"Too few orders",IF(D1189&gt;=Settings!$B$9,"Restrict COD or verify","Keep COD"))))</f>
        <v/>
      </c>
    </row>
    <row r="1190" customFormat="false" ht="15" hidden="false" customHeight="false" outlineLevel="0" collapsed="false">
      <c r="A1190" s="27"/>
      <c r="B1190" s="17" t="str">
        <f aca="false">IF($A1190="","",COUNTIFS(Orders!$C$2:$C$20001,$A1190,Orders!$E$2:$E$20001,"COD",Orders!$F$2:$F$20001,"Delivered")+COUNTIFS(Orders!$C$2:$C$20001,$A1190,Orders!$E$2:$E$20001,"COD",Orders!$F$2:$F$20001,"RTO"))</f>
        <v/>
      </c>
      <c r="C1190" s="17" t="str">
        <f aca="false">IF($A1190="","",COUNTIFS(Orders!$C$2:$C$20001,$A1190,Orders!$E$2:$E$20001,"COD",Orders!$F$2:$F$20001,"RTO"))</f>
        <v/>
      </c>
      <c r="D1190" s="18" t="str">
        <f aca="false">IF($A1190="","",IFERROR(C1190/B1190,0))</f>
        <v/>
      </c>
      <c r="E1190" s="17" t="str">
        <f aca="false">IF($A1190="","",COUNTIFS(Orders!$C$2:$C$20001,$A1190,Orders!$E$2:$E$20001,"Prepaid",Orders!$F$2:$F$20001,"Delivered")+COUNTIFS(Orders!$C$2:$C$20001,$A1190,Orders!$E$2:$E$20001,"Prepaid",Orders!$F$2:$F$20001,"RTO"))</f>
        <v/>
      </c>
      <c r="F1190" s="17" t="str">
        <f aca="false">IF($A1190="","",COUNTIFS(Orders!$C$2:$C$20001,$A1190,Orders!$E$2:$E$20001,"Prepaid",Orders!$F$2:$F$20001,"RTO"))</f>
        <v/>
      </c>
      <c r="G1190" s="18" t="str">
        <f aca="false">IF($A1190="","",IFERROR(F1190/E1190,0))</f>
        <v/>
      </c>
      <c r="H1190" s="19" t="str">
        <f aca="false">IF($A1190="","",C1190*Settings!$B$11)</f>
        <v/>
      </c>
      <c r="I1190" s="20" t="str">
        <f aca="false">IF($A1190="","",IF(N(H1190)=0,"",RANK(H1190,$H$5:$H$2004)))</f>
        <v/>
      </c>
      <c r="J1190" s="21" t="str">
        <f aca="false">IF($A1190="","",IF(B1190=0,"No COD orders",IF(B1190&lt;Settings!$B$8,"Too few orders",IF(D1190&gt;=Settings!$B$9,"Restrict COD or verify","Keep COD"))))</f>
        <v/>
      </c>
    </row>
    <row r="1191" customFormat="false" ht="15" hidden="false" customHeight="false" outlineLevel="0" collapsed="false">
      <c r="A1191" s="27"/>
      <c r="B1191" s="17" t="str">
        <f aca="false">IF($A1191="","",COUNTIFS(Orders!$C$2:$C$20001,$A1191,Orders!$E$2:$E$20001,"COD",Orders!$F$2:$F$20001,"Delivered")+COUNTIFS(Orders!$C$2:$C$20001,$A1191,Orders!$E$2:$E$20001,"COD",Orders!$F$2:$F$20001,"RTO"))</f>
        <v/>
      </c>
      <c r="C1191" s="17" t="str">
        <f aca="false">IF($A1191="","",COUNTIFS(Orders!$C$2:$C$20001,$A1191,Orders!$E$2:$E$20001,"COD",Orders!$F$2:$F$20001,"RTO"))</f>
        <v/>
      </c>
      <c r="D1191" s="18" t="str">
        <f aca="false">IF($A1191="","",IFERROR(C1191/B1191,0))</f>
        <v/>
      </c>
      <c r="E1191" s="17" t="str">
        <f aca="false">IF($A1191="","",COUNTIFS(Orders!$C$2:$C$20001,$A1191,Orders!$E$2:$E$20001,"Prepaid",Orders!$F$2:$F$20001,"Delivered")+COUNTIFS(Orders!$C$2:$C$20001,$A1191,Orders!$E$2:$E$20001,"Prepaid",Orders!$F$2:$F$20001,"RTO"))</f>
        <v/>
      </c>
      <c r="F1191" s="17" t="str">
        <f aca="false">IF($A1191="","",COUNTIFS(Orders!$C$2:$C$20001,$A1191,Orders!$E$2:$E$20001,"Prepaid",Orders!$F$2:$F$20001,"RTO"))</f>
        <v/>
      </c>
      <c r="G1191" s="18" t="str">
        <f aca="false">IF($A1191="","",IFERROR(F1191/E1191,0))</f>
        <v/>
      </c>
      <c r="H1191" s="19" t="str">
        <f aca="false">IF($A1191="","",C1191*Settings!$B$11)</f>
        <v/>
      </c>
      <c r="I1191" s="20" t="str">
        <f aca="false">IF($A1191="","",IF(N(H1191)=0,"",RANK(H1191,$H$5:$H$2004)))</f>
        <v/>
      </c>
      <c r="J1191" s="21" t="str">
        <f aca="false">IF($A1191="","",IF(B1191=0,"No COD orders",IF(B1191&lt;Settings!$B$8,"Too few orders",IF(D1191&gt;=Settings!$B$9,"Restrict COD or verify","Keep COD"))))</f>
        <v/>
      </c>
    </row>
    <row r="1192" customFormat="false" ht="15" hidden="false" customHeight="false" outlineLevel="0" collapsed="false">
      <c r="A1192" s="27"/>
      <c r="B1192" s="17" t="str">
        <f aca="false">IF($A1192="","",COUNTIFS(Orders!$C$2:$C$20001,$A1192,Orders!$E$2:$E$20001,"COD",Orders!$F$2:$F$20001,"Delivered")+COUNTIFS(Orders!$C$2:$C$20001,$A1192,Orders!$E$2:$E$20001,"COD",Orders!$F$2:$F$20001,"RTO"))</f>
        <v/>
      </c>
      <c r="C1192" s="17" t="str">
        <f aca="false">IF($A1192="","",COUNTIFS(Orders!$C$2:$C$20001,$A1192,Orders!$E$2:$E$20001,"COD",Orders!$F$2:$F$20001,"RTO"))</f>
        <v/>
      </c>
      <c r="D1192" s="18" t="str">
        <f aca="false">IF($A1192="","",IFERROR(C1192/B1192,0))</f>
        <v/>
      </c>
      <c r="E1192" s="17" t="str">
        <f aca="false">IF($A1192="","",COUNTIFS(Orders!$C$2:$C$20001,$A1192,Orders!$E$2:$E$20001,"Prepaid",Orders!$F$2:$F$20001,"Delivered")+COUNTIFS(Orders!$C$2:$C$20001,$A1192,Orders!$E$2:$E$20001,"Prepaid",Orders!$F$2:$F$20001,"RTO"))</f>
        <v/>
      </c>
      <c r="F1192" s="17" t="str">
        <f aca="false">IF($A1192="","",COUNTIFS(Orders!$C$2:$C$20001,$A1192,Orders!$E$2:$E$20001,"Prepaid",Orders!$F$2:$F$20001,"RTO"))</f>
        <v/>
      </c>
      <c r="G1192" s="18" t="str">
        <f aca="false">IF($A1192="","",IFERROR(F1192/E1192,0))</f>
        <v/>
      </c>
      <c r="H1192" s="19" t="str">
        <f aca="false">IF($A1192="","",C1192*Settings!$B$11)</f>
        <v/>
      </c>
      <c r="I1192" s="20" t="str">
        <f aca="false">IF($A1192="","",IF(N(H1192)=0,"",RANK(H1192,$H$5:$H$2004)))</f>
        <v/>
      </c>
      <c r="J1192" s="21" t="str">
        <f aca="false">IF($A1192="","",IF(B1192=0,"No COD orders",IF(B1192&lt;Settings!$B$8,"Too few orders",IF(D1192&gt;=Settings!$B$9,"Restrict COD or verify","Keep COD"))))</f>
        <v/>
      </c>
    </row>
    <row r="1193" customFormat="false" ht="15" hidden="false" customHeight="false" outlineLevel="0" collapsed="false">
      <c r="A1193" s="27"/>
      <c r="B1193" s="17" t="str">
        <f aca="false">IF($A1193="","",COUNTIFS(Orders!$C$2:$C$20001,$A1193,Orders!$E$2:$E$20001,"COD",Orders!$F$2:$F$20001,"Delivered")+COUNTIFS(Orders!$C$2:$C$20001,$A1193,Orders!$E$2:$E$20001,"COD",Orders!$F$2:$F$20001,"RTO"))</f>
        <v/>
      </c>
      <c r="C1193" s="17" t="str">
        <f aca="false">IF($A1193="","",COUNTIFS(Orders!$C$2:$C$20001,$A1193,Orders!$E$2:$E$20001,"COD",Orders!$F$2:$F$20001,"RTO"))</f>
        <v/>
      </c>
      <c r="D1193" s="18" t="str">
        <f aca="false">IF($A1193="","",IFERROR(C1193/B1193,0))</f>
        <v/>
      </c>
      <c r="E1193" s="17" t="str">
        <f aca="false">IF($A1193="","",COUNTIFS(Orders!$C$2:$C$20001,$A1193,Orders!$E$2:$E$20001,"Prepaid",Orders!$F$2:$F$20001,"Delivered")+COUNTIFS(Orders!$C$2:$C$20001,$A1193,Orders!$E$2:$E$20001,"Prepaid",Orders!$F$2:$F$20001,"RTO"))</f>
        <v/>
      </c>
      <c r="F1193" s="17" t="str">
        <f aca="false">IF($A1193="","",COUNTIFS(Orders!$C$2:$C$20001,$A1193,Orders!$E$2:$E$20001,"Prepaid",Orders!$F$2:$F$20001,"RTO"))</f>
        <v/>
      </c>
      <c r="G1193" s="18" t="str">
        <f aca="false">IF($A1193="","",IFERROR(F1193/E1193,0))</f>
        <v/>
      </c>
      <c r="H1193" s="19" t="str">
        <f aca="false">IF($A1193="","",C1193*Settings!$B$11)</f>
        <v/>
      </c>
      <c r="I1193" s="20" t="str">
        <f aca="false">IF($A1193="","",IF(N(H1193)=0,"",RANK(H1193,$H$5:$H$2004)))</f>
        <v/>
      </c>
      <c r="J1193" s="21" t="str">
        <f aca="false">IF($A1193="","",IF(B1193=0,"No COD orders",IF(B1193&lt;Settings!$B$8,"Too few orders",IF(D1193&gt;=Settings!$B$9,"Restrict COD or verify","Keep COD"))))</f>
        <v/>
      </c>
    </row>
    <row r="1194" customFormat="false" ht="15" hidden="false" customHeight="false" outlineLevel="0" collapsed="false">
      <c r="A1194" s="27"/>
      <c r="B1194" s="17" t="str">
        <f aca="false">IF($A1194="","",COUNTIFS(Orders!$C$2:$C$20001,$A1194,Orders!$E$2:$E$20001,"COD",Orders!$F$2:$F$20001,"Delivered")+COUNTIFS(Orders!$C$2:$C$20001,$A1194,Orders!$E$2:$E$20001,"COD",Orders!$F$2:$F$20001,"RTO"))</f>
        <v/>
      </c>
      <c r="C1194" s="17" t="str">
        <f aca="false">IF($A1194="","",COUNTIFS(Orders!$C$2:$C$20001,$A1194,Orders!$E$2:$E$20001,"COD",Orders!$F$2:$F$20001,"RTO"))</f>
        <v/>
      </c>
      <c r="D1194" s="18" t="str">
        <f aca="false">IF($A1194="","",IFERROR(C1194/B1194,0))</f>
        <v/>
      </c>
      <c r="E1194" s="17" t="str">
        <f aca="false">IF($A1194="","",COUNTIFS(Orders!$C$2:$C$20001,$A1194,Orders!$E$2:$E$20001,"Prepaid",Orders!$F$2:$F$20001,"Delivered")+COUNTIFS(Orders!$C$2:$C$20001,$A1194,Orders!$E$2:$E$20001,"Prepaid",Orders!$F$2:$F$20001,"RTO"))</f>
        <v/>
      </c>
      <c r="F1194" s="17" t="str">
        <f aca="false">IF($A1194="","",COUNTIFS(Orders!$C$2:$C$20001,$A1194,Orders!$E$2:$E$20001,"Prepaid",Orders!$F$2:$F$20001,"RTO"))</f>
        <v/>
      </c>
      <c r="G1194" s="18" t="str">
        <f aca="false">IF($A1194="","",IFERROR(F1194/E1194,0))</f>
        <v/>
      </c>
      <c r="H1194" s="19" t="str">
        <f aca="false">IF($A1194="","",C1194*Settings!$B$11)</f>
        <v/>
      </c>
      <c r="I1194" s="20" t="str">
        <f aca="false">IF($A1194="","",IF(N(H1194)=0,"",RANK(H1194,$H$5:$H$2004)))</f>
        <v/>
      </c>
      <c r="J1194" s="21" t="str">
        <f aca="false">IF($A1194="","",IF(B1194=0,"No COD orders",IF(B1194&lt;Settings!$B$8,"Too few orders",IF(D1194&gt;=Settings!$B$9,"Restrict COD or verify","Keep COD"))))</f>
        <v/>
      </c>
    </row>
    <row r="1195" customFormat="false" ht="15" hidden="false" customHeight="false" outlineLevel="0" collapsed="false">
      <c r="A1195" s="27"/>
      <c r="B1195" s="17" t="str">
        <f aca="false">IF($A1195="","",COUNTIFS(Orders!$C$2:$C$20001,$A1195,Orders!$E$2:$E$20001,"COD",Orders!$F$2:$F$20001,"Delivered")+COUNTIFS(Orders!$C$2:$C$20001,$A1195,Orders!$E$2:$E$20001,"COD",Orders!$F$2:$F$20001,"RTO"))</f>
        <v/>
      </c>
      <c r="C1195" s="17" t="str">
        <f aca="false">IF($A1195="","",COUNTIFS(Orders!$C$2:$C$20001,$A1195,Orders!$E$2:$E$20001,"COD",Orders!$F$2:$F$20001,"RTO"))</f>
        <v/>
      </c>
      <c r="D1195" s="18" t="str">
        <f aca="false">IF($A1195="","",IFERROR(C1195/B1195,0))</f>
        <v/>
      </c>
      <c r="E1195" s="17" t="str">
        <f aca="false">IF($A1195="","",COUNTIFS(Orders!$C$2:$C$20001,$A1195,Orders!$E$2:$E$20001,"Prepaid",Orders!$F$2:$F$20001,"Delivered")+COUNTIFS(Orders!$C$2:$C$20001,$A1195,Orders!$E$2:$E$20001,"Prepaid",Orders!$F$2:$F$20001,"RTO"))</f>
        <v/>
      </c>
      <c r="F1195" s="17" t="str">
        <f aca="false">IF($A1195="","",COUNTIFS(Orders!$C$2:$C$20001,$A1195,Orders!$E$2:$E$20001,"Prepaid",Orders!$F$2:$F$20001,"RTO"))</f>
        <v/>
      </c>
      <c r="G1195" s="18" t="str">
        <f aca="false">IF($A1195="","",IFERROR(F1195/E1195,0))</f>
        <v/>
      </c>
      <c r="H1195" s="19" t="str">
        <f aca="false">IF($A1195="","",C1195*Settings!$B$11)</f>
        <v/>
      </c>
      <c r="I1195" s="20" t="str">
        <f aca="false">IF($A1195="","",IF(N(H1195)=0,"",RANK(H1195,$H$5:$H$2004)))</f>
        <v/>
      </c>
      <c r="J1195" s="21" t="str">
        <f aca="false">IF($A1195="","",IF(B1195=0,"No COD orders",IF(B1195&lt;Settings!$B$8,"Too few orders",IF(D1195&gt;=Settings!$B$9,"Restrict COD or verify","Keep COD"))))</f>
        <v/>
      </c>
    </row>
    <row r="1196" customFormat="false" ht="15" hidden="false" customHeight="false" outlineLevel="0" collapsed="false">
      <c r="A1196" s="27"/>
      <c r="B1196" s="17" t="str">
        <f aca="false">IF($A1196="","",COUNTIFS(Orders!$C$2:$C$20001,$A1196,Orders!$E$2:$E$20001,"COD",Orders!$F$2:$F$20001,"Delivered")+COUNTIFS(Orders!$C$2:$C$20001,$A1196,Orders!$E$2:$E$20001,"COD",Orders!$F$2:$F$20001,"RTO"))</f>
        <v/>
      </c>
      <c r="C1196" s="17" t="str">
        <f aca="false">IF($A1196="","",COUNTIFS(Orders!$C$2:$C$20001,$A1196,Orders!$E$2:$E$20001,"COD",Orders!$F$2:$F$20001,"RTO"))</f>
        <v/>
      </c>
      <c r="D1196" s="18" t="str">
        <f aca="false">IF($A1196="","",IFERROR(C1196/B1196,0))</f>
        <v/>
      </c>
      <c r="E1196" s="17" t="str">
        <f aca="false">IF($A1196="","",COUNTIFS(Orders!$C$2:$C$20001,$A1196,Orders!$E$2:$E$20001,"Prepaid",Orders!$F$2:$F$20001,"Delivered")+COUNTIFS(Orders!$C$2:$C$20001,$A1196,Orders!$E$2:$E$20001,"Prepaid",Orders!$F$2:$F$20001,"RTO"))</f>
        <v/>
      </c>
      <c r="F1196" s="17" t="str">
        <f aca="false">IF($A1196="","",COUNTIFS(Orders!$C$2:$C$20001,$A1196,Orders!$E$2:$E$20001,"Prepaid",Orders!$F$2:$F$20001,"RTO"))</f>
        <v/>
      </c>
      <c r="G1196" s="18" t="str">
        <f aca="false">IF($A1196="","",IFERROR(F1196/E1196,0))</f>
        <v/>
      </c>
      <c r="H1196" s="19" t="str">
        <f aca="false">IF($A1196="","",C1196*Settings!$B$11)</f>
        <v/>
      </c>
      <c r="I1196" s="20" t="str">
        <f aca="false">IF($A1196="","",IF(N(H1196)=0,"",RANK(H1196,$H$5:$H$2004)))</f>
        <v/>
      </c>
      <c r="J1196" s="21" t="str">
        <f aca="false">IF($A1196="","",IF(B1196=0,"No COD orders",IF(B1196&lt;Settings!$B$8,"Too few orders",IF(D1196&gt;=Settings!$B$9,"Restrict COD or verify","Keep COD"))))</f>
        <v/>
      </c>
    </row>
    <row r="1197" customFormat="false" ht="15" hidden="false" customHeight="false" outlineLevel="0" collapsed="false">
      <c r="A1197" s="27"/>
      <c r="B1197" s="17" t="str">
        <f aca="false">IF($A1197="","",COUNTIFS(Orders!$C$2:$C$20001,$A1197,Orders!$E$2:$E$20001,"COD",Orders!$F$2:$F$20001,"Delivered")+COUNTIFS(Orders!$C$2:$C$20001,$A1197,Orders!$E$2:$E$20001,"COD",Orders!$F$2:$F$20001,"RTO"))</f>
        <v/>
      </c>
      <c r="C1197" s="17" t="str">
        <f aca="false">IF($A1197="","",COUNTIFS(Orders!$C$2:$C$20001,$A1197,Orders!$E$2:$E$20001,"COD",Orders!$F$2:$F$20001,"RTO"))</f>
        <v/>
      </c>
      <c r="D1197" s="18" t="str">
        <f aca="false">IF($A1197="","",IFERROR(C1197/B1197,0))</f>
        <v/>
      </c>
      <c r="E1197" s="17" t="str">
        <f aca="false">IF($A1197="","",COUNTIFS(Orders!$C$2:$C$20001,$A1197,Orders!$E$2:$E$20001,"Prepaid",Orders!$F$2:$F$20001,"Delivered")+COUNTIFS(Orders!$C$2:$C$20001,$A1197,Orders!$E$2:$E$20001,"Prepaid",Orders!$F$2:$F$20001,"RTO"))</f>
        <v/>
      </c>
      <c r="F1197" s="17" t="str">
        <f aca="false">IF($A1197="","",COUNTIFS(Orders!$C$2:$C$20001,$A1197,Orders!$E$2:$E$20001,"Prepaid",Orders!$F$2:$F$20001,"RTO"))</f>
        <v/>
      </c>
      <c r="G1197" s="18" t="str">
        <f aca="false">IF($A1197="","",IFERROR(F1197/E1197,0))</f>
        <v/>
      </c>
      <c r="H1197" s="19" t="str">
        <f aca="false">IF($A1197="","",C1197*Settings!$B$11)</f>
        <v/>
      </c>
      <c r="I1197" s="20" t="str">
        <f aca="false">IF($A1197="","",IF(N(H1197)=0,"",RANK(H1197,$H$5:$H$2004)))</f>
        <v/>
      </c>
      <c r="J1197" s="21" t="str">
        <f aca="false">IF($A1197="","",IF(B1197=0,"No COD orders",IF(B1197&lt;Settings!$B$8,"Too few orders",IF(D1197&gt;=Settings!$B$9,"Restrict COD or verify","Keep COD"))))</f>
        <v/>
      </c>
    </row>
    <row r="1198" customFormat="false" ht="15" hidden="false" customHeight="false" outlineLevel="0" collapsed="false">
      <c r="A1198" s="27"/>
      <c r="B1198" s="17" t="str">
        <f aca="false">IF($A1198="","",COUNTIFS(Orders!$C$2:$C$20001,$A1198,Orders!$E$2:$E$20001,"COD",Orders!$F$2:$F$20001,"Delivered")+COUNTIFS(Orders!$C$2:$C$20001,$A1198,Orders!$E$2:$E$20001,"COD",Orders!$F$2:$F$20001,"RTO"))</f>
        <v/>
      </c>
      <c r="C1198" s="17" t="str">
        <f aca="false">IF($A1198="","",COUNTIFS(Orders!$C$2:$C$20001,$A1198,Orders!$E$2:$E$20001,"COD",Orders!$F$2:$F$20001,"RTO"))</f>
        <v/>
      </c>
      <c r="D1198" s="18" t="str">
        <f aca="false">IF($A1198="","",IFERROR(C1198/B1198,0))</f>
        <v/>
      </c>
      <c r="E1198" s="17" t="str">
        <f aca="false">IF($A1198="","",COUNTIFS(Orders!$C$2:$C$20001,$A1198,Orders!$E$2:$E$20001,"Prepaid",Orders!$F$2:$F$20001,"Delivered")+COUNTIFS(Orders!$C$2:$C$20001,$A1198,Orders!$E$2:$E$20001,"Prepaid",Orders!$F$2:$F$20001,"RTO"))</f>
        <v/>
      </c>
      <c r="F1198" s="17" t="str">
        <f aca="false">IF($A1198="","",COUNTIFS(Orders!$C$2:$C$20001,$A1198,Orders!$E$2:$E$20001,"Prepaid",Orders!$F$2:$F$20001,"RTO"))</f>
        <v/>
      </c>
      <c r="G1198" s="18" t="str">
        <f aca="false">IF($A1198="","",IFERROR(F1198/E1198,0))</f>
        <v/>
      </c>
      <c r="H1198" s="19" t="str">
        <f aca="false">IF($A1198="","",C1198*Settings!$B$11)</f>
        <v/>
      </c>
      <c r="I1198" s="20" t="str">
        <f aca="false">IF($A1198="","",IF(N(H1198)=0,"",RANK(H1198,$H$5:$H$2004)))</f>
        <v/>
      </c>
      <c r="J1198" s="21" t="str">
        <f aca="false">IF($A1198="","",IF(B1198=0,"No COD orders",IF(B1198&lt;Settings!$B$8,"Too few orders",IF(D1198&gt;=Settings!$B$9,"Restrict COD or verify","Keep COD"))))</f>
        <v/>
      </c>
    </row>
    <row r="1199" customFormat="false" ht="15" hidden="false" customHeight="false" outlineLevel="0" collapsed="false">
      <c r="A1199" s="27"/>
      <c r="B1199" s="17" t="str">
        <f aca="false">IF($A1199="","",COUNTIFS(Orders!$C$2:$C$20001,$A1199,Orders!$E$2:$E$20001,"COD",Orders!$F$2:$F$20001,"Delivered")+COUNTIFS(Orders!$C$2:$C$20001,$A1199,Orders!$E$2:$E$20001,"COD",Orders!$F$2:$F$20001,"RTO"))</f>
        <v/>
      </c>
      <c r="C1199" s="17" t="str">
        <f aca="false">IF($A1199="","",COUNTIFS(Orders!$C$2:$C$20001,$A1199,Orders!$E$2:$E$20001,"COD",Orders!$F$2:$F$20001,"RTO"))</f>
        <v/>
      </c>
      <c r="D1199" s="18" t="str">
        <f aca="false">IF($A1199="","",IFERROR(C1199/B1199,0))</f>
        <v/>
      </c>
      <c r="E1199" s="17" t="str">
        <f aca="false">IF($A1199="","",COUNTIFS(Orders!$C$2:$C$20001,$A1199,Orders!$E$2:$E$20001,"Prepaid",Orders!$F$2:$F$20001,"Delivered")+COUNTIFS(Orders!$C$2:$C$20001,$A1199,Orders!$E$2:$E$20001,"Prepaid",Orders!$F$2:$F$20001,"RTO"))</f>
        <v/>
      </c>
      <c r="F1199" s="17" t="str">
        <f aca="false">IF($A1199="","",COUNTIFS(Orders!$C$2:$C$20001,$A1199,Orders!$E$2:$E$20001,"Prepaid",Orders!$F$2:$F$20001,"RTO"))</f>
        <v/>
      </c>
      <c r="G1199" s="18" t="str">
        <f aca="false">IF($A1199="","",IFERROR(F1199/E1199,0))</f>
        <v/>
      </c>
      <c r="H1199" s="19" t="str">
        <f aca="false">IF($A1199="","",C1199*Settings!$B$11)</f>
        <v/>
      </c>
      <c r="I1199" s="20" t="str">
        <f aca="false">IF($A1199="","",IF(N(H1199)=0,"",RANK(H1199,$H$5:$H$2004)))</f>
        <v/>
      </c>
      <c r="J1199" s="21" t="str">
        <f aca="false">IF($A1199="","",IF(B1199=0,"No COD orders",IF(B1199&lt;Settings!$B$8,"Too few orders",IF(D1199&gt;=Settings!$B$9,"Restrict COD or verify","Keep COD"))))</f>
        <v/>
      </c>
    </row>
    <row r="1200" customFormat="false" ht="15" hidden="false" customHeight="false" outlineLevel="0" collapsed="false">
      <c r="A1200" s="27"/>
      <c r="B1200" s="17" t="str">
        <f aca="false">IF($A1200="","",COUNTIFS(Orders!$C$2:$C$20001,$A1200,Orders!$E$2:$E$20001,"COD",Orders!$F$2:$F$20001,"Delivered")+COUNTIFS(Orders!$C$2:$C$20001,$A1200,Orders!$E$2:$E$20001,"COD",Orders!$F$2:$F$20001,"RTO"))</f>
        <v/>
      </c>
      <c r="C1200" s="17" t="str">
        <f aca="false">IF($A1200="","",COUNTIFS(Orders!$C$2:$C$20001,$A1200,Orders!$E$2:$E$20001,"COD",Orders!$F$2:$F$20001,"RTO"))</f>
        <v/>
      </c>
      <c r="D1200" s="18" t="str">
        <f aca="false">IF($A1200="","",IFERROR(C1200/B1200,0))</f>
        <v/>
      </c>
      <c r="E1200" s="17" t="str">
        <f aca="false">IF($A1200="","",COUNTIFS(Orders!$C$2:$C$20001,$A1200,Orders!$E$2:$E$20001,"Prepaid",Orders!$F$2:$F$20001,"Delivered")+COUNTIFS(Orders!$C$2:$C$20001,$A1200,Orders!$E$2:$E$20001,"Prepaid",Orders!$F$2:$F$20001,"RTO"))</f>
        <v/>
      </c>
      <c r="F1200" s="17" t="str">
        <f aca="false">IF($A1200="","",COUNTIFS(Orders!$C$2:$C$20001,$A1200,Orders!$E$2:$E$20001,"Prepaid",Orders!$F$2:$F$20001,"RTO"))</f>
        <v/>
      </c>
      <c r="G1200" s="18" t="str">
        <f aca="false">IF($A1200="","",IFERROR(F1200/E1200,0))</f>
        <v/>
      </c>
      <c r="H1200" s="19" t="str">
        <f aca="false">IF($A1200="","",C1200*Settings!$B$11)</f>
        <v/>
      </c>
      <c r="I1200" s="20" t="str">
        <f aca="false">IF($A1200="","",IF(N(H1200)=0,"",RANK(H1200,$H$5:$H$2004)))</f>
        <v/>
      </c>
      <c r="J1200" s="21" t="str">
        <f aca="false">IF($A1200="","",IF(B1200=0,"No COD orders",IF(B1200&lt;Settings!$B$8,"Too few orders",IF(D1200&gt;=Settings!$B$9,"Restrict COD or verify","Keep COD"))))</f>
        <v/>
      </c>
    </row>
    <row r="1201" customFormat="false" ht="15" hidden="false" customHeight="false" outlineLevel="0" collapsed="false">
      <c r="A1201" s="27"/>
      <c r="B1201" s="17" t="str">
        <f aca="false">IF($A1201="","",COUNTIFS(Orders!$C$2:$C$20001,$A1201,Orders!$E$2:$E$20001,"COD",Orders!$F$2:$F$20001,"Delivered")+COUNTIFS(Orders!$C$2:$C$20001,$A1201,Orders!$E$2:$E$20001,"COD",Orders!$F$2:$F$20001,"RTO"))</f>
        <v/>
      </c>
      <c r="C1201" s="17" t="str">
        <f aca="false">IF($A1201="","",COUNTIFS(Orders!$C$2:$C$20001,$A1201,Orders!$E$2:$E$20001,"COD",Orders!$F$2:$F$20001,"RTO"))</f>
        <v/>
      </c>
      <c r="D1201" s="18" t="str">
        <f aca="false">IF($A1201="","",IFERROR(C1201/B1201,0))</f>
        <v/>
      </c>
      <c r="E1201" s="17" t="str">
        <f aca="false">IF($A1201="","",COUNTIFS(Orders!$C$2:$C$20001,$A1201,Orders!$E$2:$E$20001,"Prepaid",Orders!$F$2:$F$20001,"Delivered")+COUNTIFS(Orders!$C$2:$C$20001,$A1201,Orders!$E$2:$E$20001,"Prepaid",Orders!$F$2:$F$20001,"RTO"))</f>
        <v/>
      </c>
      <c r="F1201" s="17" t="str">
        <f aca="false">IF($A1201="","",COUNTIFS(Orders!$C$2:$C$20001,$A1201,Orders!$E$2:$E$20001,"Prepaid",Orders!$F$2:$F$20001,"RTO"))</f>
        <v/>
      </c>
      <c r="G1201" s="18" t="str">
        <f aca="false">IF($A1201="","",IFERROR(F1201/E1201,0))</f>
        <v/>
      </c>
      <c r="H1201" s="19" t="str">
        <f aca="false">IF($A1201="","",C1201*Settings!$B$11)</f>
        <v/>
      </c>
      <c r="I1201" s="20" t="str">
        <f aca="false">IF($A1201="","",IF(N(H1201)=0,"",RANK(H1201,$H$5:$H$2004)))</f>
        <v/>
      </c>
      <c r="J1201" s="21" t="str">
        <f aca="false">IF($A1201="","",IF(B1201=0,"No COD orders",IF(B1201&lt;Settings!$B$8,"Too few orders",IF(D1201&gt;=Settings!$B$9,"Restrict COD or verify","Keep COD"))))</f>
        <v/>
      </c>
    </row>
    <row r="1202" customFormat="false" ht="15" hidden="false" customHeight="false" outlineLevel="0" collapsed="false">
      <c r="A1202" s="27"/>
      <c r="B1202" s="17" t="str">
        <f aca="false">IF($A1202="","",COUNTIFS(Orders!$C$2:$C$20001,$A1202,Orders!$E$2:$E$20001,"COD",Orders!$F$2:$F$20001,"Delivered")+COUNTIFS(Orders!$C$2:$C$20001,$A1202,Orders!$E$2:$E$20001,"COD",Orders!$F$2:$F$20001,"RTO"))</f>
        <v/>
      </c>
      <c r="C1202" s="17" t="str">
        <f aca="false">IF($A1202="","",COUNTIFS(Orders!$C$2:$C$20001,$A1202,Orders!$E$2:$E$20001,"COD",Orders!$F$2:$F$20001,"RTO"))</f>
        <v/>
      </c>
      <c r="D1202" s="18" t="str">
        <f aca="false">IF($A1202="","",IFERROR(C1202/B1202,0))</f>
        <v/>
      </c>
      <c r="E1202" s="17" t="str">
        <f aca="false">IF($A1202="","",COUNTIFS(Orders!$C$2:$C$20001,$A1202,Orders!$E$2:$E$20001,"Prepaid",Orders!$F$2:$F$20001,"Delivered")+COUNTIFS(Orders!$C$2:$C$20001,$A1202,Orders!$E$2:$E$20001,"Prepaid",Orders!$F$2:$F$20001,"RTO"))</f>
        <v/>
      </c>
      <c r="F1202" s="17" t="str">
        <f aca="false">IF($A1202="","",COUNTIFS(Orders!$C$2:$C$20001,$A1202,Orders!$E$2:$E$20001,"Prepaid",Orders!$F$2:$F$20001,"RTO"))</f>
        <v/>
      </c>
      <c r="G1202" s="18" t="str">
        <f aca="false">IF($A1202="","",IFERROR(F1202/E1202,0))</f>
        <v/>
      </c>
      <c r="H1202" s="19" t="str">
        <f aca="false">IF($A1202="","",C1202*Settings!$B$11)</f>
        <v/>
      </c>
      <c r="I1202" s="20" t="str">
        <f aca="false">IF($A1202="","",IF(N(H1202)=0,"",RANK(H1202,$H$5:$H$2004)))</f>
        <v/>
      </c>
      <c r="J1202" s="21" t="str">
        <f aca="false">IF($A1202="","",IF(B1202=0,"No COD orders",IF(B1202&lt;Settings!$B$8,"Too few orders",IF(D1202&gt;=Settings!$B$9,"Restrict COD or verify","Keep COD"))))</f>
        <v/>
      </c>
    </row>
    <row r="1203" customFormat="false" ht="15" hidden="false" customHeight="false" outlineLevel="0" collapsed="false">
      <c r="A1203" s="27"/>
      <c r="B1203" s="17" t="str">
        <f aca="false">IF($A1203="","",COUNTIFS(Orders!$C$2:$C$20001,$A1203,Orders!$E$2:$E$20001,"COD",Orders!$F$2:$F$20001,"Delivered")+COUNTIFS(Orders!$C$2:$C$20001,$A1203,Orders!$E$2:$E$20001,"COD",Orders!$F$2:$F$20001,"RTO"))</f>
        <v/>
      </c>
      <c r="C1203" s="17" t="str">
        <f aca="false">IF($A1203="","",COUNTIFS(Orders!$C$2:$C$20001,$A1203,Orders!$E$2:$E$20001,"COD",Orders!$F$2:$F$20001,"RTO"))</f>
        <v/>
      </c>
      <c r="D1203" s="18" t="str">
        <f aca="false">IF($A1203="","",IFERROR(C1203/B1203,0))</f>
        <v/>
      </c>
      <c r="E1203" s="17" t="str">
        <f aca="false">IF($A1203="","",COUNTIFS(Orders!$C$2:$C$20001,$A1203,Orders!$E$2:$E$20001,"Prepaid",Orders!$F$2:$F$20001,"Delivered")+COUNTIFS(Orders!$C$2:$C$20001,$A1203,Orders!$E$2:$E$20001,"Prepaid",Orders!$F$2:$F$20001,"RTO"))</f>
        <v/>
      </c>
      <c r="F1203" s="17" t="str">
        <f aca="false">IF($A1203="","",COUNTIFS(Orders!$C$2:$C$20001,$A1203,Orders!$E$2:$E$20001,"Prepaid",Orders!$F$2:$F$20001,"RTO"))</f>
        <v/>
      </c>
      <c r="G1203" s="18" t="str">
        <f aca="false">IF($A1203="","",IFERROR(F1203/E1203,0))</f>
        <v/>
      </c>
      <c r="H1203" s="19" t="str">
        <f aca="false">IF($A1203="","",C1203*Settings!$B$11)</f>
        <v/>
      </c>
      <c r="I1203" s="20" t="str">
        <f aca="false">IF($A1203="","",IF(N(H1203)=0,"",RANK(H1203,$H$5:$H$2004)))</f>
        <v/>
      </c>
      <c r="J1203" s="21" t="str">
        <f aca="false">IF($A1203="","",IF(B1203=0,"No COD orders",IF(B1203&lt;Settings!$B$8,"Too few orders",IF(D1203&gt;=Settings!$B$9,"Restrict COD or verify","Keep COD"))))</f>
        <v/>
      </c>
    </row>
    <row r="1204" customFormat="false" ht="15" hidden="false" customHeight="false" outlineLevel="0" collapsed="false">
      <c r="A1204" s="27"/>
      <c r="B1204" s="17" t="str">
        <f aca="false">IF($A1204="","",COUNTIFS(Orders!$C$2:$C$20001,$A1204,Orders!$E$2:$E$20001,"COD",Orders!$F$2:$F$20001,"Delivered")+COUNTIFS(Orders!$C$2:$C$20001,$A1204,Orders!$E$2:$E$20001,"COD",Orders!$F$2:$F$20001,"RTO"))</f>
        <v/>
      </c>
      <c r="C1204" s="17" t="str">
        <f aca="false">IF($A1204="","",COUNTIFS(Orders!$C$2:$C$20001,$A1204,Orders!$E$2:$E$20001,"COD",Orders!$F$2:$F$20001,"RTO"))</f>
        <v/>
      </c>
      <c r="D1204" s="18" t="str">
        <f aca="false">IF($A1204="","",IFERROR(C1204/B1204,0))</f>
        <v/>
      </c>
      <c r="E1204" s="17" t="str">
        <f aca="false">IF($A1204="","",COUNTIFS(Orders!$C$2:$C$20001,$A1204,Orders!$E$2:$E$20001,"Prepaid",Orders!$F$2:$F$20001,"Delivered")+COUNTIFS(Orders!$C$2:$C$20001,$A1204,Orders!$E$2:$E$20001,"Prepaid",Orders!$F$2:$F$20001,"RTO"))</f>
        <v/>
      </c>
      <c r="F1204" s="17" t="str">
        <f aca="false">IF($A1204="","",COUNTIFS(Orders!$C$2:$C$20001,$A1204,Orders!$E$2:$E$20001,"Prepaid",Orders!$F$2:$F$20001,"RTO"))</f>
        <v/>
      </c>
      <c r="G1204" s="18" t="str">
        <f aca="false">IF($A1204="","",IFERROR(F1204/E1204,0))</f>
        <v/>
      </c>
      <c r="H1204" s="19" t="str">
        <f aca="false">IF($A1204="","",C1204*Settings!$B$11)</f>
        <v/>
      </c>
      <c r="I1204" s="20" t="str">
        <f aca="false">IF($A1204="","",IF(N(H1204)=0,"",RANK(H1204,$H$5:$H$2004)))</f>
        <v/>
      </c>
      <c r="J1204" s="21" t="str">
        <f aca="false">IF($A1204="","",IF(B1204=0,"No COD orders",IF(B1204&lt;Settings!$B$8,"Too few orders",IF(D1204&gt;=Settings!$B$9,"Restrict COD or verify","Keep COD"))))</f>
        <v/>
      </c>
    </row>
    <row r="1205" customFormat="false" ht="15" hidden="false" customHeight="false" outlineLevel="0" collapsed="false">
      <c r="A1205" s="27"/>
      <c r="B1205" s="17" t="str">
        <f aca="false">IF($A1205="","",COUNTIFS(Orders!$C$2:$C$20001,$A1205,Orders!$E$2:$E$20001,"COD",Orders!$F$2:$F$20001,"Delivered")+COUNTIFS(Orders!$C$2:$C$20001,$A1205,Orders!$E$2:$E$20001,"COD",Orders!$F$2:$F$20001,"RTO"))</f>
        <v/>
      </c>
      <c r="C1205" s="17" t="str">
        <f aca="false">IF($A1205="","",COUNTIFS(Orders!$C$2:$C$20001,$A1205,Orders!$E$2:$E$20001,"COD",Orders!$F$2:$F$20001,"RTO"))</f>
        <v/>
      </c>
      <c r="D1205" s="18" t="str">
        <f aca="false">IF($A1205="","",IFERROR(C1205/B1205,0))</f>
        <v/>
      </c>
      <c r="E1205" s="17" t="str">
        <f aca="false">IF($A1205="","",COUNTIFS(Orders!$C$2:$C$20001,$A1205,Orders!$E$2:$E$20001,"Prepaid",Orders!$F$2:$F$20001,"Delivered")+COUNTIFS(Orders!$C$2:$C$20001,$A1205,Orders!$E$2:$E$20001,"Prepaid",Orders!$F$2:$F$20001,"RTO"))</f>
        <v/>
      </c>
      <c r="F1205" s="17" t="str">
        <f aca="false">IF($A1205="","",COUNTIFS(Orders!$C$2:$C$20001,$A1205,Orders!$E$2:$E$20001,"Prepaid",Orders!$F$2:$F$20001,"RTO"))</f>
        <v/>
      </c>
      <c r="G1205" s="18" t="str">
        <f aca="false">IF($A1205="","",IFERROR(F1205/E1205,0))</f>
        <v/>
      </c>
      <c r="H1205" s="19" t="str">
        <f aca="false">IF($A1205="","",C1205*Settings!$B$11)</f>
        <v/>
      </c>
      <c r="I1205" s="20" t="str">
        <f aca="false">IF($A1205="","",IF(N(H1205)=0,"",RANK(H1205,$H$5:$H$2004)))</f>
        <v/>
      </c>
      <c r="J1205" s="21" t="str">
        <f aca="false">IF($A1205="","",IF(B1205=0,"No COD orders",IF(B1205&lt;Settings!$B$8,"Too few orders",IF(D1205&gt;=Settings!$B$9,"Restrict COD or verify","Keep COD"))))</f>
        <v/>
      </c>
    </row>
    <row r="1206" customFormat="false" ht="15" hidden="false" customHeight="false" outlineLevel="0" collapsed="false">
      <c r="A1206" s="27"/>
      <c r="B1206" s="17" t="str">
        <f aca="false">IF($A1206="","",COUNTIFS(Orders!$C$2:$C$20001,$A1206,Orders!$E$2:$E$20001,"COD",Orders!$F$2:$F$20001,"Delivered")+COUNTIFS(Orders!$C$2:$C$20001,$A1206,Orders!$E$2:$E$20001,"COD",Orders!$F$2:$F$20001,"RTO"))</f>
        <v/>
      </c>
      <c r="C1206" s="17" t="str">
        <f aca="false">IF($A1206="","",COUNTIFS(Orders!$C$2:$C$20001,$A1206,Orders!$E$2:$E$20001,"COD",Orders!$F$2:$F$20001,"RTO"))</f>
        <v/>
      </c>
      <c r="D1206" s="18" t="str">
        <f aca="false">IF($A1206="","",IFERROR(C1206/B1206,0))</f>
        <v/>
      </c>
      <c r="E1206" s="17" t="str">
        <f aca="false">IF($A1206="","",COUNTIFS(Orders!$C$2:$C$20001,$A1206,Orders!$E$2:$E$20001,"Prepaid",Orders!$F$2:$F$20001,"Delivered")+COUNTIFS(Orders!$C$2:$C$20001,$A1206,Orders!$E$2:$E$20001,"Prepaid",Orders!$F$2:$F$20001,"RTO"))</f>
        <v/>
      </c>
      <c r="F1206" s="17" t="str">
        <f aca="false">IF($A1206="","",COUNTIFS(Orders!$C$2:$C$20001,$A1206,Orders!$E$2:$E$20001,"Prepaid",Orders!$F$2:$F$20001,"RTO"))</f>
        <v/>
      </c>
      <c r="G1206" s="18" t="str">
        <f aca="false">IF($A1206="","",IFERROR(F1206/E1206,0))</f>
        <v/>
      </c>
      <c r="H1206" s="19" t="str">
        <f aca="false">IF($A1206="","",C1206*Settings!$B$11)</f>
        <v/>
      </c>
      <c r="I1206" s="20" t="str">
        <f aca="false">IF($A1206="","",IF(N(H1206)=0,"",RANK(H1206,$H$5:$H$2004)))</f>
        <v/>
      </c>
      <c r="J1206" s="21" t="str">
        <f aca="false">IF($A1206="","",IF(B1206=0,"No COD orders",IF(B1206&lt;Settings!$B$8,"Too few orders",IF(D1206&gt;=Settings!$B$9,"Restrict COD or verify","Keep COD"))))</f>
        <v/>
      </c>
    </row>
    <row r="1207" customFormat="false" ht="15" hidden="false" customHeight="false" outlineLevel="0" collapsed="false">
      <c r="A1207" s="27"/>
      <c r="B1207" s="17" t="str">
        <f aca="false">IF($A1207="","",COUNTIFS(Orders!$C$2:$C$20001,$A1207,Orders!$E$2:$E$20001,"COD",Orders!$F$2:$F$20001,"Delivered")+COUNTIFS(Orders!$C$2:$C$20001,$A1207,Orders!$E$2:$E$20001,"COD",Orders!$F$2:$F$20001,"RTO"))</f>
        <v/>
      </c>
      <c r="C1207" s="17" t="str">
        <f aca="false">IF($A1207="","",COUNTIFS(Orders!$C$2:$C$20001,$A1207,Orders!$E$2:$E$20001,"COD",Orders!$F$2:$F$20001,"RTO"))</f>
        <v/>
      </c>
      <c r="D1207" s="18" t="str">
        <f aca="false">IF($A1207="","",IFERROR(C1207/B1207,0))</f>
        <v/>
      </c>
      <c r="E1207" s="17" t="str">
        <f aca="false">IF($A1207="","",COUNTIFS(Orders!$C$2:$C$20001,$A1207,Orders!$E$2:$E$20001,"Prepaid",Orders!$F$2:$F$20001,"Delivered")+COUNTIFS(Orders!$C$2:$C$20001,$A1207,Orders!$E$2:$E$20001,"Prepaid",Orders!$F$2:$F$20001,"RTO"))</f>
        <v/>
      </c>
      <c r="F1207" s="17" t="str">
        <f aca="false">IF($A1207="","",COUNTIFS(Orders!$C$2:$C$20001,$A1207,Orders!$E$2:$E$20001,"Prepaid",Orders!$F$2:$F$20001,"RTO"))</f>
        <v/>
      </c>
      <c r="G1207" s="18" t="str">
        <f aca="false">IF($A1207="","",IFERROR(F1207/E1207,0))</f>
        <v/>
      </c>
      <c r="H1207" s="19" t="str">
        <f aca="false">IF($A1207="","",C1207*Settings!$B$11)</f>
        <v/>
      </c>
      <c r="I1207" s="20" t="str">
        <f aca="false">IF($A1207="","",IF(N(H1207)=0,"",RANK(H1207,$H$5:$H$2004)))</f>
        <v/>
      </c>
      <c r="J1207" s="21" t="str">
        <f aca="false">IF($A1207="","",IF(B1207=0,"No COD orders",IF(B1207&lt;Settings!$B$8,"Too few orders",IF(D1207&gt;=Settings!$B$9,"Restrict COD or verify","Keep COD"))))</f>
        <v/>
      </c>
    </row>
    <row r="1208" customFormat="false" ht="15" hidden="false" customHeight="false" outlineLevel="0" collapsed="false">
      <c r="A1208" s="27"/>
      <c r="B1208" s="17" t="str">
        <f aca="false">IF($A1208="","",COUNTIFS(Orders!$C$2:$C$20001,$A1208,Orders!$E$2:$E$20001,"COD",Orders!$F$2:$F$20001,"Delivered")+COUNTIFS(Orders!$C$2:$C$20001,$A1208,Orders!$E$2:$E$20001,"COD",Orders!$F$2:$F$20001,"RTO"))</f>
        <v/>
      </c>
      <c r="C1208" s="17" t="str">
        <f aca="false">IF($A1208="","",COUNTIFS(Orders!$C$2:$C$20001,$A1208,Orders!$E$2:$E$20001,"COD",Orders!$F$2:$F$20001,"RTO"))</f>
        <v/>
      </c>
      <c r="D1208" s="18" t="str">
        <f aca="false">IF($A1208="","",IFERROR(C1208/B1208,0))</f>
        <v/>
      </c>
      <c r="E1208" s="17" t="str">
        <f aca="false">IF($A1208="","",COUNTIFS(Orders!$C$2:$C$20001,$A1208,Orders!$E$2:$E$20001,"Prepaid",Orders!$F$2:$F$20001,"Delivered")+COUNTIFS(Orders!$C$2:$C$20001,$A1208,Orders!$E$2:$E$20001,"Prepaid",Orders!$F$2:$F$20001,"RTO"))</f>
        <v/>
      </c>
      <c r="F1208" s="17" t="str">
        <f aca="false">IF($A1208="","",COUNTIFS(Orders!$C$2:$C$20001,$A1208,Orders!$E$2:$E$20001,"Prepaid",Orders!$F$2:$F$20001,"RTO"))</f>
        <v/>
      </c>
      <c r="G1208" s="18" t="str">
        <f aca="false">IF($A1208="","",IFERROR(F1208/E1208,0))</f>
        <v/>
      </c>
      <c r="H1208" s="19" t="str">
        <f aca="false">IF($A1208="","",C1208*Settings!$B$11)</f>
        <v/>
      </c>
      <c r="I1208" s="20" t="str">
        <f aca="false">IF($A1208="","",IF(N(H1208)=0,"",RANK(H1208,$H$5:$H$2004)))</f>
        <v/>
      </c>
      <c r="J1208" s="21" t="str">
        <f aca="false">IF($A1208="","",IF(B1208=0,"No COD orders",IF(B1208&lt;Settings!$B$8,"Too few orders",IF(D1208&gt;=Settings!$B$9,"Restrict COD or verify","Keep COD"))))</f>
        <v/>
      </c>
    </row>
    <row r="1209" customFormat="false" ht="15" hidden="false" customHeight="false" outlineLevel="0" collapsed="false">
      <c r="A1209" s="27"/>
      <c r="B1209" s="17" t="str">
        <f aca="false">IF($A1209="","",COUNTIFS(Orders!$C$2:$C$20001,$A1209,Orders!$E$2:$E$20001,"COD",Orders!$F$2:$F$20001,"Delivered")+COUNTIFS(Orders!$C$2:$C$20001,$A1209,Orders!$E$2:$E$20001,"COD",Orders!$F$2:$F$20001,"RTO"))</f>
        <v/>
      </c>
      <c r="C1209" s="17" t="str">
        <f aca="false">IF($A1209="","",COUNTIFS(Orders!$C$2:$C$20001,$A1209,Orders!$E$2:$E$20001,"COD",Orders!$F$2:$F$20001,"RTO"))</f>
        <v/>
      </c>
      <c r="D1209" s="18" t="str">
        <f aca="false">IF($A1209="","",IFERROR(C1209/B1209,0))</f>
        <v/>
      </c>
      <c r="E1209" s="17" t="str">
        <f aca="false">IF($A1209="","",COUNTIFS(Orders!$C$2:$C$20001,$A1209,Orders!$E$2:$E$20001,"Prepaid",Orders!$F$2:$F$20001,"Delivered")+COUNTIFS(Orders!$C$2:$C$20001,$A1209,Orders!$E$2:$E$20001,"Prepaid",Orders!$F$2:$F$20001,"RTO"))</f>
        <v/>
      </c>
      <c r="F1209" s="17" t="str">
        <f aca="false">IF($A1209="","",COUNTIFS(Orders!$C$2:$C$20001,$A1209,Orders!$E$2:$E$20001,"Prepaid",Orders!$F$2:$F$20001,"RTO"))</f>
        <v/>
      </c>
      <c r="G1209" s="18" t="str">
        <f aca="false">IF($A1209="","",IFERROR(F1209/E1209,0))</f>
        <v/>
      </c>
      <c r="H1209" s="19" t="str">
        <f aca="false">IF($A1209="","",C1209*Settings!$B$11)</f>
        <v/>
      </c>
      <c r="I1209" s="20" t="str">
        <f aca="false">IF($A1209="","",IF(N(H1209)=0,"",RANK(H1209,$H$5:$H$2004)))</f>
        <v/>
      </c>
      <c r="J1209" s="21" t="str">
        <f aca="false">IF($A1209="","",IF(B1209=0,"No COD orders",IF(B1209&lt;Settings!$B$8,"Too few orders",IF(D1209&gt;=Settings!$B$9,"Restrict COD or verify","Keep COD"))))</f>
        <v/>
      </c>
    </row>
    <row r="1210" customFormat="false" ht="15" hidden="false" customHeight="false" outlineLevel="0" collapsed="false">
      <c r="A1210" s="27"/>
      <c r="B1210" s="17" t="str">
        <f aca="false">IF($A1210="","",COUNTIFS(Orders!$C$2:$C$20001,$A1210,Orders!$E$2:$E$20001,"COD",Orders!$F$2:$F$20001,"Delivered")+COUNTIFS(Orders!$C$2:$C$20001,$A1210,Orders!$E$2:$E$20001,"COD",Orders!$F$2:$F$20001,"RTO"))</f>
        <v/>
      </c>
      <c r="C1210" s="17" t="str">
        <f aca="false">IF($A1210="","",COUNTIFS(Orders!$C$2:$C$20001,$A1210,Orders!$E$2:$E$20001,"COD",Orders!$F$2:$F$20001,"RTO"))</f>
        <v/>
      </c>
      <c r="D1210" s="18" t="str">
        <f aca="false">IF($A1210="","",IFERROR(C1210/B1210,0))</f>
        <v/>
      </c>
      <c r="E1210" s="17" t="str">
        <f aca="false">IF($A1210="","",COUNTIFS(Orders!$C$2:$C$20001,$A1210,Orders!$E$2:$E$20001,"Prepaid",Orders!$F$2:$F$20001,"Delivered")+COUNTIFS(Orders!$C$2:$C$20001,$A1210,Orders!$E$2:$E$20001,"Prepaid",Orders!$F$2:$F$20001,"RTO"))</f>
        <v/>
      </c>
      <c r="F1210" s="17" t="str">
        <f aca="false">IF($A1210="","",COUNTIFS(Orders!$C$2:$C$20001,$A1210,Orders!$E$2:$E$20001,"Prepaid",Orders!$F$2:$F$20001,"RTO"))</f>
        <v/>
      </c>
      <c r="G1210" s="18" t="str">
        <f aca="false">IF($A1210="","",IFERROR(F1210/E1210,0))</f>
        <v/>
      </c>
      <c r="H1210" s="19" t="str">
        <f aca="false">IF($A1210="","",C1210*Settings!$B$11)</f>
        <v/>
      </c>
      <c r="I1210" s="20" t="str">
        <f aca="false">IF($A1210="","",IF(N(H1210)=0,"",RANK(H1210,$H$5:$H$2004)))</f>
        <v/>
      </c>
      <c r="J1210" s="21" t="str">
        <f aca="false">IF($A1210="","",IF(B1210=0,"No COD orders",IF(B1210&lt;Settings!$B$8,"Too few orders",IF(D1210&gt;=Settings!$B$9,"Restrict COD or verify","Keep COD"))))</f>
        <v/>
      </c>
    </row>
    <row r="1211" customFormat="false" ht="15" hidden="false" customHeight="false" outlineLevel="0" collapsed="false">
      <c r="A1211" s="27"/>
      <c r="B1211" s="17" t="str">
        <f aca="false">IF($A1211="","",COUNTIFS(Orders!$C$2:$C$20001,$A1211,Orders!$E$2:$E$20001,"COD",Orders!$F$2:$F$20001,"Delivered")+COUNTIFS(Orders!$C$2:$C$20001,$A1211,Orders!$E$2:$E$20001,"COD",Orders!$F$2:$F$20001,"RTO"))</f>
        <v/>
      </c>
      <c r="C1211" s="17" t="str">
        <f aca="false">IF($A1211="","",COUNTIFS(Orders!$C$2:$C$20001,$A1211,Orders!$E$2:$E$20001,"COD",Orders!$F$2:$F$20001,"RTO"))</f>
        <v/>
      </c>
      <c r="D1211" s="18" t="str">
        <f aca="false">IF($A1211="","",IFERROR(C1211/B1211,0))</f>
        <v/>
      </c>
      <c r="E1211" s="17" t="str">
        <f aca="false">IF($A1211="","",COUNTIFS(Orders!$C$2:$C$20001,$A1211,Orders!$E$2:$E$20001,"Prepaid",Orders!$F$2:$F$20001,"Delivered")+COUNTIFS(Orders!$C$2:$C$20001,$A1211,Orders!$E$2:$E$20001,"Prepaid",Orders!$F$2:$F$20001,"RTO"))</f>
        <v/>
      </c>
      <c r="F1211" s="17" t="str">
        <f aca="false">IF($A1211="","",COUNTIFS(Orders!$C$2:$C$20001,$A1211,Orders!$E$2:$E$20001,"Prepaid",Orders!$F$2:$F$20001,"RTO"))</f>
        <v/>
      </c>
      <c r="G1211" s="18" t="str">
        <f aca="false">IF($A1211="","",IFERROR(F1211/E1211,0))</f>
        <v/>
      </c>
      <c r="H1211" s="19" t="str">
        <f aca="false">IF($A1211="","",C1211*Settings!$B$11)</f>
        <v/>
      </c>
      <c r="I1211" s="20" t="str">
        <f aca="false">IF($A1211="","",IF(N(H1211)=0,"",RANK(H1211,$H$5:$H$2004)))</f>
        <v/>
      </c>
      <c r="J1211" s="21" t="str">
        <f aca="false">IF($A1211="","",IF(B1211=0,"No COD orders",IF(B1211&lt;Settings!$B$8,"Too few orders",IF(D1211&gt;=Settings!$B$9,"Restrict COD or verify","Keep COD"))))</f>
        <v/>
      </c>
    </row>
    <row r="1212" customFormat="false" ht="15" hidden="false" customHeight="false" outlineLevel="0" collapsed="false">
      <c r="A1212" s="27"/>
      <c r="B1212" s="17" t="str">
        <f aca="false">IF($A1212="","",COUNTIFS(Orders!$C$2:$C$20001,$A1212,Orders!$E$2:$E$20001,"COD",Orders!$F$2:$F$20001,"Delivered")+COUNTIFS(Orders!$C$2:$C$20001,$A1212,Orders!$E$2:$E$20001,"COD",Orders!$F$2:$F$20001,"RTO"))</f>
        <v/>
      </c>
      <c r="C1212" s="17" t="str">
        <f aca="false">IF($A1212="","",COUNTIFS(Orders!$C$2:$C$20001,$A1212,Orders!$E$2:$E$20001,"COD",Orders!$F$2:$F$20001,"RTO"))</f>
        <v/>
      </c>
      <c r="D1212" s="18" t="str">
        <f aca="false">IF($A1212="","",IFERROR(C1212/B1212,0))</f>
        <v/>
      </c>
      <c r="E1212" s="17" t="str">
        <f aca="false">IF($A1212="","",COUNTIFS(Orders!$C$2:$C$20001,$A1212,Orders!$E$2:$E$20001,"Prepaid",Orders!$F$2:$F$20001,"Delivered")+COUNTIFS(Orders!$C$2:$C$20001,$A1212,Orders!$E$2:$E$20001,"Prepaid",Orders!$F$2:$F$20001,"RTO"))</f>
        <v/>
      </c>
      <c r="F1212" s="17" t="str">
        <f aca="false">IF($A1212="","",COUNTIFS(Orders!$C$2:$C$20001,$A1212,Orders!$E$2:$E$20001,"Prepaid",Orders!$F$2:$F$20001,"RTO"))</f>
        <v/>
      </c>
      <c r="G1212" s="18" t="str">
        <f aca="false">IF($A1212="","",IFERROR(F1212/E1212,0))</f>
        <v/>
      </c>
      <c r="H1212" s="19" t="str">
        <f aca="false">IF($A1212="","",C1212*Settings!$B$11)</f>
        <v/>
      </c>
      <c r="I1212" s="20" t="str">
        <f aca="false">IF($A1212="","",IF(N(H1212)=0,"",RANK(H1212,$H$5:$H$2004)))</f>
        <v/>
      </c>
      <c r="J1212" s="21" t="str">
        <f aca="false">IF($A1212="","",IF(B1212=0,"No COD orders",IF(B1212&lt;Settings!$B$8,"Too few orders",IF(D1212&gt;=Settings!$B$9,"Restrict COD or verify","Keep COD"))))</f>
        <v/>
      </c>
    </row>
    <row r="1213" customFormat="false" ht="15" hidden="false" customHeight="false" outlineLevel="0" collapsed="false">
      <c r="A1213" s="27"/>
      <c r="B1213" s="17" t="str">
        <f aca="false">IF($A1213="","",COUNTIFS(Orders!$C$2:$C$20001,$A1213,Orders!$E$2:$E$20001,"COD",Orders!$F$2:$F$20001,"Delivered")+COUNTIFS(Orders!$C$2:$C$20001,$A1213,Orders!$E$2:$E$20001,"COD",Orders!$F$2:$F$20001,"RTO"))</f>
        <v/>
      </c>
      <c r="C1213" s="17" t="str">
        <f aca="false">IF($A1213="","",COUNTIFS(Orders!$C$2:$C$20001,$A1213,Orders!$E$2:$E$20001,"COD",Orders!$F$2:$F$20001,"RTO"))</f>
        <v/>
      </c>
      <c r="D1213" s="18" t="str">
        <f aca="false">IF($A1213="","",IFERROR(C1213/B1213,0))</f>
        <v/>
      </c>
      <c r="E1213" s="17" t="str">
        <f aca="false">IF($A1213="","",COUNTIFS(Orders!$C$2:$C$20001,$A1213,Orders!$E$2:$E$20001,"Prepaid",Orders!$F$2:$F$20001,"Delivered")+COUNTIFS(Orders!$C$2:$C$20001,$A1213,Orders!$E$2:$E$20001,"Prepaid",Orders!$F$2:$F$20001,"RTO"))</f>
        <v/>
      </c>
      <c r="F1213" s="17" t="str">
        <f aca="false">IF($A1213="","",COUNTIFS(Orders!$C$2:$C$20001,$A1213,Orders!$E$2:$E$20001,"Prepaid",Orders!$F$2:$F$20001,"RTO"))</f>
        <v/>
      </c>
      <c r="G1213" s="18" t="str">
        <f aca="false">IF($A1213="","",IFERROR(F1213/E1213,0))</f>
        <v/>
      </c>
      <c r="H1213" s="19" t="str">
        <f aca="false">IF($A1213="","",C1213*Settings!$B$11)</f>
        <v/>
      </c>
      <c r="I1213" s="20" t="str">
        <f aca="false">IF($A1213="","",IF(N(H1213)=0,"",RANK(H1213,$H$5:$H$2004)))</f>
        <v/>
      </c>
      <c r="J1213" s="21" t="str">
        <f aca="false">IF($A1213="","",IF(B1213=0,"No COD orders",IF(B1213&lt;Settings!$B$8,"Too few orders",IF(D1213&gt;=Settings!$B$9,"Restrict COD or verify","Keep COD"))))</f>
        <v/>
      </c>
    </row>
    <row r="1214" customFormat="false" ht="15" hidden="false" customHeight="false" outlineLevel="0" collapsed="false">
      <c r="A1214" s="27"/>
      <c r="B1214" s="17" t="str">
        <f aca="false">IF($A1214="","",COUNTIFS(Orders!$C$2:$C$20001,$A1214,Orders!$E$2:$E$20001,"COD",Orders!$F$2:$F$20001,"Delivered")+COUNTIFS(Orders!$C$2:$C$20001,$A1214,Orders!$E$2:$E$20001,"COD",Orders!$F$2:$F$20001,"RTO"))</f>
        <v/>
      </c>
      <c r="C1214" s="17" t="str">
        <f aca="false">IF($A1214="","",COUNTIFS(Orders!$C$2:$C$20001,$A1214,Orders!$E$2:$E$20001,"COD",Orders!$F$2:$F$20001,"RTO"))</f>
        <v/>
      </c>
      <c r="D1214" s="18" t="str">
        <f aca="false">IF($A1214="","",IFERROR(C1214/B1214,0))</f>
        <v/>
      </c>
      <c r="E1214" s="17" t="str">
        <f aca="false">IF($A1214="","",COUNTIFS(Orders!$C$2:$C$20001,$A1214,Orders!$E$2:$E$20001,"Prepaid",Orders!$F$2:$F$20001,"Delivered")+COUNTIFS(Orders!$C$2:$C$20001,$A1214,Orders!$E$2:$E$20001,"Prepaid",Orders!$F$2:$F$20001,"RTO"))</f>
        <v/>
      </c>
      <c r="F1214" s="17" t="str">
        <f aca="false">IF($A1214="","",COUNTIFS(Orders!$C$2:$C$20001,$A1214,Orders!$E$2:$E$20001,"Prepaid",Orders!$F$2:$F$20001,"RTO"))</f>
        <v/>
      </c>
      <c r="G1214" s="18" t="str">
        <f aca="false">IF($A1214="","",IFERROR(F1214/E1214,0))</f>
        <v/>
      </c>
      <c r="H1214" s="19" t="str">
        <f aca="false">IF($A1214="","",C1214*Settings!$B$11)</f>
        <v/>
      </c>
      <c r="I1214" s="20" t="str">
        <f aca="false">IF($A1214="","",IF(N(H1214)=0,"",RANK(H1214,$H$5:$H$2004)))</f>
        <v/>
      </c>
      <c r="J1214" s="21" t="str">
        <f aca="false">IF($A1214="","",IF(B1214=0,"No COD orders",IF(B1214&lt;Settings!$B$8,"Too few orders",IF(D1214&gt;=Settings!$B$9,"Restrict COD or verify","Keep COD"))))</f>
        <v/>
      </c>
    </row>
    <row r="1215" customFormat="false" ht="15" hidden="false" customHeight="false" outlineLevel="0" collapsed="false">
      <c r="A1215" s="27"/>
      <c r="B1215" s="17" t="str">
        <f aca="false">IF($A1215="","",COUNTIFS(Orders!$C$2:$C$20001,$A1215,Orders!$E$2:$E$20001,"COD",Orders!$F$2:$F$20001,"Delivered")+COUNTIFS(Orders!$C$2:$C$20001,$A1215,Orders!$E$2:$E$20001,"COD",Orders!$F$2:$F$20001,"RTO"))</f>
        <v/>
      </c>
      <c r="C1215" s="17" t="str">
        <f aca="false">IF($A1215="","",COUNTIFS(Orders!$C$2:$C$20001,$A1215,Orders!$E$2:$E$20001,"COD",Orders!$F$2:$F$20001,"RTO"))</f>
        <v/>
      </c>
      <c r="D1215" s="18" t="str">
        <f aca="false">IF($A1215="","",IFERROR(C1215/B1215,0))</f>
        <v/>
      </c>
      <c r="E1215" s="17" t="str">
        <f aca="false">IF($A1215="","",COUNTIFS(Orders!$C$2:$C$20001,$A1215,Orders!$E$2:$E$20001,"Prepaid",Orders!$F$2:$F$20001,"Delivered")+COUNTIFS(Orders!$C$2:$C$20001,$A1215,Orders!$E$2:$E$20001,"Prepaid",Orders!$F$2:$F$20001,"RTO"))</f>
        <v/>
      </c>
      <c r="F1215" s="17" t="str">
        <f aca="false">IF($A1215="","",COUNTIFS(Orders!$C$2:$C$20001,$A1215,Orders!$E$2:$E$20001,"Prepaid",Orders!$F$2:$F$20001,"RTO"))</f>
        <v/>
      </c>
      <c r="G1215" s="18" t="str">
        <f aca="false">IF($A1215="","",IFERROR(F1215/E1215,0))</f>
        <v/>
      </c>
      <c r="H1215" s="19" t="str">
        <f aca="false">IF($A1215="","",C1215*Settings!$B$11)</f>
        <v/>
      </c>
      <c r="I1215" s="20" t="str">
        <f aca="false">IF($A1215="","",IF(N(H1215)=0,"",RANK(H1215,$H$5:$H$2004)))</f>
        <v/>
      </c>
      <c r="J1215" s="21" t="str">
        <f aca="false">IF($A1215="","",IF(B1215=0,"No COD orders",IF(B1215&lt;Settings!$B$8,"Too few orders",IF(D1215&gt;=Settings!$B$9,"Restrict COD or verify","Keep COD"))))</f>
        <v/>
      </c>
    </row>
    <row r="1216" customFormat="false" ht="15" hidden="false" customHeight="false" outlineLevel="0" collapsed="false">
      <c r="A1216" s="27"/>
      <c r="B1216" s="17" t="str">
        <f aca="false">IF($A1216="","",COUNTIFS(Orders!$C$2:$C$20001,$A1216,Orders!$E$2:$E$20001,"COD",Orders!$F$2:$F$20001,"Delivered")+COUNTIFS(Orders!$C$2:$C$20001,$A1216,Orders!$E$2:$E$20001,"COD",Orders!$F$2:$F$20001,"RTO"))</f>
        <v/>
      </c>
      <c r="C1216" s="17" t="str">
        <f aca="false">IF($A1216="","",COUNTIFS(Orders!$C$2:$C$20001,$A1216,Orders!$E$2:$E$20001,"COD",Orders!$F$2:$F$20001,"RTO"))</f>
        <v/>
      </c>
      <c r="D1216" s="18" t="str">
        <f aca="false">IF($A1216="","",IFERROR(C1216/B1216,0))</f>
        <v/>
      </c>
      <c r="E1216" s="17" t="str">
        <f aca="false">IF($A1216="","",COUNTIFS(Orders!$C$2:$C$20001,$A1216,Orders!$E$2:$E$20001,"Prepaid",Orders!$F$2:$F$20001,"Delivered")+COUNTIFS(Orders!$C$2:$C$20001,$A1216,Orders!$E$2:$E$20001,"Prepaid",Orders!$F$2:$F$20001,"RTO"))</f>
        <v/>
      </c>
      <c r="F1216" s="17" t="str">
        <f aca="false">IF($A1216="","",COUNTIFS(Orders!$C$2:$C$20001,$A1216,Orders!$E$2:$E$20001,"Prepaid",Orders!$F$2:$F$20001,"RTO"))</f>
        <v/>
      </c>
      <c r="G1216" s="18" t="str">
        <f aca="false">IF($A1216="","",IFERROR(F1216/E1216,0))</f>
        <v/>
      </c>
      <c r="H1216" s="19" t="str">
        <f aca="false">IF($A1216="","",C1216*Settings!$B$11)</f>
        <v/>
      </c>
      <c r="I1216" s="20" t="str">
        <f aca="false">IF($A1216="","",IF(N(H1216)=0,"",RANK(H1216,$H$5:$H$2004)))</f>
        <v/>
      </c>
      <c r="J1216" s="21" t="str">
        <f aca="false">IF($A1216="","",IF(B1216=0,"No COD orders",IF(B1216&lt;Settings!$B$8,"Too few orders",IF(D1216&gt;=Settings!$B$9,"Restrict COD or verify","Keep COD"))))</f>
        <v/>
      </c>
    </row>
    <row r="1217" customFormat="false" ht="15" hidden="false" customHeight="false" outlineLevel="0" collapsed="false">
      <c r="A1217" s="27"/>
      <c r="B1217" s="17" t="str">
        <f aca="false">IF($A1217="","",COUNTIFS(Orders!$C$2:$C$20001,$A1217,Orders!$E$2:$E$20001,"COD",Orders!$F$2:$F$20001,"Delivered")+COUNTIFS(Orders!$C$2:$C$20001,$A1217,Orders!$E$2:$E$20001,"COD",Orders!$F$2:$F$20001,"RTO"))</f>
        <v/>
      </c>
      <c r="C1217" s="17" t="str">
        <f aca="false">IF($A1217="","",COUNTIFS(Orders!$C$2:$C$20001,$A1217,Orders!$E$2:$E$20001,"COD",Orders!$F$2:$F$20001,"RTO"))</f>
        <v/>
      </c>
      <c r="D1217" s="18" t="str">
        <f aca="false">IF($A1217="","",IFERROR(C1217/B1217,0))</f>
        <v/>
      </c>
      <c r="E1217" s="17" t="str">
        <f aca="false">IF($A1217="","",COUNTIFS(Orders!$C$2:$C$20001,$A1217,Orders!$E$2:$E$20001,"Prepaid",Orders!$F$2:$F$20001,"Delivered")+COUNTIFS(Orders!$C$2:$C$20001,$A1217,Orders!$E$2:$E$20001,"Prepaid",Orders!$F$2:$F$20001,"RTO"))</f>
        <v/>
      </c>
      <c r="F1217" s="17" t="str">
        <f aca="false">IF($A1217="","",COUNTIFS(Orders!$C$2:$C$20001,$A1217,Orders!$E$2:$E$20001,"Prepaid",Orders!$F$2:$F$20001,"RTO"))</f>
        <v/>
      </c>
      <c r="G1217" s="18" t="str">
        <f aca="false">IF($A1217="","",IFERROR(F1217/E1217,0))</f>
        <v/>
      </c>
      <c r="H1217" s="19" t="str">
        <f aca="false">IF($A1217="","",C1217*Settings!$B$11)</f>
        <v/>
      </c>
      <c r="I1217" s="20" t="str">
        <f aca="false">IF($A1217="","",IF(N(H1217)=0,"",RANK(H1217,$H$5:$H$2004)))</f>
        <v/>
      </c>
      <c r="J1217" s="21" t="str">
        <f aca="false">IF($A1217="","",IF(B1217=0,"No COD orders",IF(B1217&lt;Settings!$B$8,"Too few orders",IF(D1217&gt;=Settings!$B$9,"Restrict COD or verify","Keep COD"))))</f>
        <v/>
      </c>
    </row>
    <row r="1218" customFormat="false" ht="15" hidden="false" customHeight="false" outlineLevel="0" collapsed="false">
      <c r="A1218" s="27"/>
      <c r="B1218" s="17" t="str">
        <f aca="false">IF($A1218="","",COUNTIFS(Orders!$C$2:$C$20001,$A1218,Orders!$E$2:$E$20001,"COD",Orders!$F$2:$F$20001,"Delivered")+COUNTIFS(Orders!$C$2:$C$20001,$A1218,Orders!$E$2:$E$20001,"COD",Orders!$F$2:$F$20001,"RTO"))</f>
        <v/>
      </c>
      <c r="C1218" s="17" t="str">
        <f aca="false">IF($A1218="","",COUNTIFS(Orders!$C$2:$C$20001,$A1218,Orders!$E$2:$E$20001,"COD",Orders!$F$2:$F$20001,"RTO"))</f>
        <v/>
      </c>
      <c r="D1218" s="18" t="str">
        <f aca="false">IF($A1218="","",IFERROR(C1218/B1218,0))</f>
        <v/>
      </c>
      <c r="E1218" s="17" t="str">
        <f aca="false">IF($A1218="","",COUNTIFS(Orders!$C$2:$C$20001,$A1218,Orders!$E$2:$E$20001,"Prepaid",Orders!$F$2:$F$20001,"Delivered")+COUNTIFS(Orders!$C$2:$C$20001,$A1218,Orders!$E$2:$E$20001,"Prepaid",Orders!$F$2:$F$20001,"RTO"))</f>
        <v/>
      </c>
      <c r="F1218" s="17" t="str">
        <f aca="false">IF($A1218="","",COUNTIFS(Orders!$C$2:$C$20001,$A1218,Orders!$E$2:$E$20001,"Prepaid",Orders!$F$2:$F$20001,"RTO"))</f>
        <v/>
      </c>
      <c r="G1218" s="18" t="str">
        <f aca="false">IF($A1218="","",IFERROR(F1218/E1218,0))</f>
        <v/>
      </c>
      <c r="H1218" s="19" t="str">
        <f aca="false">IF($A1218="","",C1218*Settings!$B$11)</f>
        <v/>
      </c>
      <c r="I1218" s="20" t="str">
        <f aca="false">IF($A1218="","",IF(N(H1218)=0,"",RANK(H1218,$H$5:$H$2004)))</f>
        <v/>
      </c>
      <c r="J1218" s="21" t="str">
        <f aca="false">IF($A1218="","",IF(B1218=0,"No COD orders",IF(B1218&lt;Settings!$B$8,"Too few orders",IF(D1218&gt;=Settings!$B$9,"Restrict COD or verify","Keep COD"))))</f>
        <v/>
      </c>
    </row>
    <row r="1219" customFormat="false" ht="15" hidden="false" customHeight="false" outlineLevel="0" collapsed="false">
      <c r="A1219" s="27"/>
      <c r="B1219" s="17" t="str">
        <f aca="false">IF($A1219="","",COUNTIFS(Orders!$C$2:$C$20001,$A1219,Orders!$E$2:$E$20001,"COD",Orders!$F$2:$F$20001,"Delivered")+COUNTIFS(Orders!$C$2:$C$20001,$A1219,Orders!$E$2:$E$20001,"COD",Orders!$F$2:$F$20001,"RTO"))</f>
        <v/>
      </c>
      <c r="C1219" s="17" t="str">
        <f aca="false">IF($A1219="","",COUNTIFS(Orders!$C$2:$C$20001,$A1219,Orders!$E$2:$E$20001,"COD",Orders!$F$2:$F$20001,"RTO"))</f>
        <v/>
      </c>
      <c r="D1219" s="18" t="str">
        <f aca="false">IF($A1219="","",IFERROR(C1219/B1219,0))</f>
        <v/>
      </c>
      <c r="E1219" s="17" t="str">
        <f aca="false">IF($A1219="","",COUNTIFS(Orders!$C$2:$C$20001,$A1219,Orders!$E$2:$E$20001,"Prepaid",Orders!$F$2:$F$20001,"Delivered")+COUNTIFS(Orders!$C$2:$C$20001,$A1219,Orders!$E$2:$E$20001,"Prepaid",Orders!$F$2:$F$20001,"RTO"))</f>
        <v/>
      </c>
      <c r="F1219" s="17" t="str">
        <f aca="false">IF($A1219="","",COUNTIFS(Orders!$C$2:$C$20001,$A1219,Orders!$E$2:$E$20001,"Prepaid",Orders!$F$2:$F$20001,"RTO"))</f>
        <v/>
      </c>
      <c r="G1219" s="18" t="str">
        <f aca="false">IF($A1219="","",IFERROR(F1219/E1219,0))</f>
        <v/>
      </c>
      <c r="H1219" s="19" t="str">
        <f aca="false">IF($A1219="","",C1219*Settings!$B$11)</f>
        <v/>
      </c>
      <c r="I1219" s="20" t="str">
        <f aca="false">IF($A1219="","",IF(N(H1219)=0,"",RANK(H1219,$H$5:$H$2004)))</f>
        <v/>
      </c>
      <c r="J1219" s="21" t="str">
        <f aca="false">IF($A1219="","",IF(B1219=0,"No COD orders",IF(B1219&lt;Settings!$B$8,"Too few orders",IF(D1219&gt;=Settings!$B$9,"Restrict COD or verify","Keep COD"))))</f>
        <v/>
      </c>
    </row>
    <row r="1220" customFormat="false" ht="15" hidden="false" customHeight="false" outlineLevel="0" collapsed="false">
      <c r="A1220" s="27"/>
      <c r="B1220" s="17" t="str">
        <f aca="false">IF($A1220="","",COUNTIFS(Orders!$C$2:$C$20001,$A1220,Orders!$E$2:$E$20001,"COD",Orders!$F$2:$F$20001,"Delivered")+COUNTIFS(Orders!$C$2:$C$20001,$A1220,Orders!$E$2:$E$20001,"COD",Orders!$F$2:$F$20001,"RTO"))</f>
        <v/>
      </c>
      <c r="C1220" s="17" t="str">
        <f aca="false">IF($A1220="","",COUNTIFS(Orders!$C$2:$C$20001,$A1220,Orders!$E$2:$E$20001,"COD",Orders!$F$2:$F$20001,"RTO"))</f>
        <v/>
      </c>
      <c r="D1220" s="18" t="str">
        <f aca="false">IF($A1220="","",IFERROR(C1220/B1220,0))</f>
        <v/>
      </c>
      <c r="E1220" s="17" t="str">
        <f aca="false">IF($A1220="","",COUNTIFS(Orders!$C$2:$C$20001,$A1220,Orders!$E$2:$E$20001,"Prepaid",Orders!$F$2:$F$20001,"Delivered")+COUNTIFS(Orders!$C$2:$C$20001,$A1220,Orders!$E$2:$E$20001,"Prepaid",Orders!$F$2:$F$20001,"RTO"))</f>
        <v/>
      </c>
      <c r="F1220" s="17" t="str">
        <f aca="false">IF($A1220="","",COUNTIFS(Orders!$C$2:$C$20001,$A1220,Orders!$E$2:$E$20001,"Prepaid",Orders!$F$2:$F$20001,"RTO"))</f>
        <v/>
      </c>
      <c r="G1220" s="18" t="str">
        <f aca="false">IF($A1220="","",IFERROR(F1220/E1220,0))</f>
        <v/>
      </c>
      <c r="H1220" s="19" t="str">
        <f aca="false">IF($A1220="","",C1220*Settings!$B$11)</f>
        <v/>
      </c>
      <c r="I1220" s="20" t="str">
        <f aca="false">IF($A1220="","",IF(N(H1220)=0,"",RANK(H1220,$H$5:$H$2004)))</f>
        <v/>
      </c>
      <c r="J1220" s="21" t="str">
        <f aca="false">IF($A1220="","",IF(B1220=0,"No COD orders",IF(B1220&lt;Settings!$B$8,"Too few orders",IF(D1220&gt;=Settings!$B$9,"Restrict COD or verify","Keep COD"))))</f>
        <v/>
      </c>
    </row>
    <row r="1221" customFormat="false" ht="15" hidden="false" customHeight="false" outlineLevel="0" collapsed="false">
      <c r="A1221" s="27"/>
      <c r="B1221" s="17" t="str">
        <f aca="false">IF($A1221="","",COUNTIFS(Orders!$C$2:$C$20001,$A1221,Orders!$E$2:$E$20001,"COD",Orders!$F$2:$F$20001,"Delivered")+COUNTIFS(Orders!$C$2:$C$20001,$A1221,Orders!$E$2:$E$20001,"COD",Orders!$F$2:$F$20001,"RTO"))</f>
        <v/>
      </c>
      <c r="C1221" s="17" t="str">
        <f aca="false">IF($A1221="","",COUNTIFS(Orders!$C$2:$C$20001,$A1221,Orders!$E$2:$E$20001,"COD",Orders!$F$2:$F$20001,"RTO"))</f>
        <v/>
      </c>
      <c r="D1221" s="18" t="str">
        <f aca="false">IF($A1221="","",IFERROR(C1221/B1221,0))</f>
        <v/>
      </c>
      <c r="E1221" s="17" t="str">
        <f aca="false">IF($A1221="","",COUNTIFS(Orders!$C$2:$C$20001,$A1221,Orders!$E$2:$E$20001,"Prepaid",Orders!$F$2:$F$20001,"Delivered")+COUNTIFS(Orders!$C$2:$C$20001,$A1221,Orders!$E$2:$E$20001,"Prepaid",Orders!$F$2:$F$20001,"RTO"))</f>
        <v/>
      </c>
      <c r="F1221" s="17" t="str">
        <f aca="false">IF($A1221="","",COUNTIFS(Orders!$C$2:$C$20001,$A1221,Orders!$E$2:$E$20001,"Prepaid",Orders!$F$2:$F$20001,"RTO"))</f>
        <v/>
      </c>
      <c r="G1221" s="18" t="str">
        <f aca="false">IF($A1221="","",IFERROR(F1221/E1221,0))</f>
        <v/>
      </c>
      <c r="H1221" s="19" t="str">
        <f aca="false">IF($A1221="","",C1221*Settings!$B$11)</f>
        <v/>
      </c>
      <c r="I1221" s="20" t="str">
        <f aca="false">IF($A1221="","",IF(N(H1221)=0,"",RANK(H1221,$H$5:$H$2004)))</f>
        <v/>
      </c>
      <c r="J1221" s="21" t="str">
        <f aca="false">IF($A1221="","",IF(B1221=0,"No COD orders",IF(B1221&lt;Settings!$B$8,"Too few orders",IF(D1221&gt;=Settings!$B$9,"Restrict COD or verify","Keep COD"))))</f>
        <v/>
      </c>
    </row>
    <row r="1222" customFormat="false" ht="15" hidden="false" customHeight="false" outlineLevel="0" collapsed="false">
      <c r="A1222" s="27"/>
      <c r="B1222" s="17" t="str">
        <f aca="false">IF($A1222="","",COUNTIFS(Orders!$C$2:$C$20001,$A1222,Orders!$E$2:$E$20001,"COD",Orders!$F$2:$F$20001,"Delivered")+COUNTIFS(Orders!$C$2:$C$20001,$A1222,Orders!$E$2:$E$20001,"COD",Orders!$F$2:$F$20001,"RTO"))</f>
        <v/>
      </c>
      <c r="C1222" s="17" t="str">
        <f aca="false">IF($A1222="","",COUNTIFS(Orders!$C$2:$C$20001,$A1222,Orders!$E$2:$E$20001,"COD",Orders!$F$2:$F$20001,"RTO"))</f>
        <v/>
      </c>
      <c r="D1222" s="18" t="str">
        <f aca="false">IF($A1222="","",IFERROR(C1222/B1222,0))</f>
        <v/>
      </c>
      <c r="E1222" s="17" t="str">
        <f aca="false">IF($A1222="","",COUNTIFS(Orders!$C$2:$C$20001,$A1222,Orders!$E$2:$E$20001,"Prepaid",Orders!$F$2:$F$20001,"Delivered")+COUNTIFS(Orders!$C$2:$C$20001,$A1222,Orders!$E$2:$E$20001,"Prepaid",Orders!$F$2:$F$20001,"RTO"))</f>
        <v/>
      </c>
      <c r="F1222" s="17" t="str">
        <f aca="false">IF($A1222="","",COUNTIFS(Orders!$C$2:$C$20001,$A1222,Orders!$E$2:$E$20001,"Prepaid",Orders!$F$2:$F$20001,"RTO"))</f>
        <v/>
      </c>
      <c r="G1222" s="18" t="str">
        <f aca="false">IF($A1222="","",IFERROR(F1222/E1222,0))</f>
        <v/>
      </c>
      <c r="H1222" s="19" t="str">
        <f aca="false">IF($A1222="","",C1222*Settings!$B$11)</f>
        <v/>
      </c>
      <c r="I1222" s="20" t="str">
        <f aca="false">IF($A1222="","",IF(N(H1222)=0,"",RANK(H1222,$H$5:$H$2004)))</f>
        <v/>
      </c>
      <c r="J1222" s="21" t="str">
        <f aca="false">IF($A1222="","",IF(B1222=0,"No COD orders",IF(B1222&lt;Settings!$B$8,"Too few orders",IF(D1222&gt;=Settings!$B$9,"Restrict COD or verify","Keep COD"))))</f>
        <v/>
      </c>
    </row>
    <row r="1223" customFormat="false" ht="15" hidden="false" customHeight="false" outlineLevel="0" collapsed="false">
      <c r="A1223" s="27"/>
      <c r="B1223" s="17" t="str">
        <f aca="false">IF($A1223="","",COUNTIFS(Orders!$C$2:$C$20001,$A1223,Orders!$E$2:$E$20001,"COD",Orders!$F$2:$F$20001,"Delivered")+COUNTIFS(Orders!$C$2:$C$20001,$A1223,Orders!$E$2:$E$20001,"COD",Orders!$F$2:$F$20001,"RTO"))</f>
        <v/>
      </c>
      <c r="C1223" s="17" t="str">
        <f aca="false">IF($A1223="","",COUNTIFS(Orders!$C$2:$C$20001,$A1223,Orders!$E$2:$E$20001,"COD",Orders!$F$2:$F$20001,"RTO"))</f>
        <v/>
      </c>
      <c r="D1223" s="18" t="str">
        <f aca="false">IF($A1223="","",IFERROR(C1223/B1223,0))</f>
        <v/>
      </c>
      <c r="E1223" s="17" t="str">
        <f aca="false">IF($A1223="","",COUNTIFS(Orders!$C$2:$C$20001,$A1223,Orders!$E$2:$E$20001,"Prepaid",Orders!$F$2:$F$20001,"Delivered")+COUNTIFS(Orders!$C$2:$C$20001,$A1223,Orders!$E$2:$E$20001,"Prepaid",Orders!$F$2:$F$20001,"RTO"))</f>
        <v/>
      </c>
      <c r="F1223" s="17" t="str">
        <f aca="false">IF($A1223="","",COUNTIFS(Orders!$C$2:$C$20001,$A1223,Orders!$E$2:$E$20001,"Prepaid",Orders!$F$2:$F$20001,"RTO"))</f>
        <v/>
      </c>
      <c r="G1223" s="18" t="str">
        <f aca="false">IF($A1223="","",IFERROR(F1223/E1223,0))</f>
        <v/>
      </c>
      <c r="H1223" s="19" t="str">
        <f aca="false">IF($A1223="","",C1223*Settings!$B$11)</f>
        <v/>
      </c>
      <c r="I1223" s="20" t="str">
        <f aca="false">IF($A1223="","",IF(N(H1223)=0,"",RANK(H1223,$H$5:$H$2004)))</f>
        <v/>
      </c>
      <c r="J1223" s="21" t="str">
        <f aca="false">IF($A1223="","",IF(B1223=0,"No COD orders",IF(B1223&lt;Settings!$B$8,"Too few orders",IF(D1223&gt;=Settings!$B$9,"Restrict COD or verify","Keep COD"))))</f>
        <v/>
      </c>
    </row>
    <row r="1224" customFormat="false" ht="15" hidden="false" customHeight="false" outlineLevel="0" collapsed="false">
      <c r="A1224" s="27"/>
      <c r="B1224" s="17" t="str">
        <f aca="false">IF($A1224="","",COUNTIFS(Orders!$C$2:$C$20001,$A1224,Orders!$E$2:$E$20001,"COD",Orders!$F$2:$F$20001,"Delivered")+COUNTIFS(Orders!$C$2:$C$20001,$A1224,Orders!$E$2:$E$20001,"COD",Orders!$F$2:$F$20001,"RTO"))</f>
        <v/>
      </c>
      <c r="C1224" s="17" t="str">
        <f aca="false">IF($A1224="","",COUNTIFS(Orders!$C$2:$C$20001,$A1224,Orders!$E$2:$E$20001,"COD",Orders!$F$2:$F$20001,"RTO"))</f>
        <v/>
      </c>
      <c r="D1224" s="18" t="str">
        <f aca="false">IF($A1224="","",IFERROR(C1224/B1224,0))</f>
        <v/>
      </c>
      <c r="E1224" s="17" t="str">
        <f aca="false">IF($A1224="","",COUNTIFS(Orders!$C$2:$C$20001,$A1224,Orders!$E$2:$E$20001,"Prepaid",Orders!$F$2:$F$20001,"Delivered")+COUNTIFS(Orders!$C$2:$C$20001,$A1224,Orders!$E$2:$E$20001,"Prepaid",Orders!$F$2:$F$20001,"RTO"))</f>
        <v/>
      </c>
      <c r="F1224" s="17" t="str">
        <f aca="false">IF($A1224="","",COUNTIFS(Orders!$C$2:$C$20001,$A1224,Orders!$E$2:$E$20001,"Prepaid",Orders!$F$2:$F$20001,"RTO"))</f>
        <v/>
      </c>
      <c r="G1224" s="18" t="str">
        <f aca="false">IF($A1224="","",IFERROR(F1224/E1224,0))</f>
        <v/>
      </c>
      <c r="H1224" s="19" t="str">
        <f aca="false">IF($A1224="","",C1224*Settings!$B$11)</f>
        <v/>
      </c>
      <c r="I1224" s="20" t="str">
        <f aca="false">IF($A1224="","",IF(N(H1224)=0,"",RANK(H1224,$H$5:$H$2004)))</f>
        <v/>
      </c>
      <c r="J1224" s="21" t="str">
        <f aca="false">IF($A1224="","",IF(B1224=0,"No COD orders",IF(B1224&lt;Settings!$B$8,"Too few orders",IF(D1224&gt;=Settings!$B$9,"Restrict COD or verify","Keep COD"))))</f>
        <v/>
      </c>
    </row>
    <row r="1225" customFormat="false" ht="15" hidden="false" customHeight="false" outlineLevel="0" collapsed="false">
      <c r="A1225" s="27"/>
      <c r="B1225" s="17" t="str">
        <f aca="false">IF($A1225="","",COUNTIFS(Orders!$C$2:$C$20001,$A1225,Orders!$E$2:$E$20001,"COD",Orders!$F$2:$F$20001,"Delivered")+COUNTIFS(Orders!$C$2:$C$20001,$A1225,Orders!$E$2:$E$20001,"COD",Orders!$F$2:$F$20001,"RTO"))</f>
        <v/>
      </c>
      <c r="C1225" s="17" t="str">
        <f aca="false">IF($A1225="","",COUNTIFS(Orders!$C$2:$C$20001,$A1225,Orders!$E$2:$E$20001,"COD",Orders!$F$2:$F$20001,"RTO"))</f>
        <v/>
      </c>
      <c r="D1225" s="18" t="str">
        <f aca="false">IF($A1225="","",IFERROR(C1225/B1225,0))</f>
        <v/>
      </c>
      <c r="E1225" s="17" t="str">
        <f aca="false">IF($A1225="","",COUNTIFS(Orders!$C$2:$C$20001,$A1225,Orders!$E$2:$E$20001,"Prepaid",Orders!$F$2:$F$20001,"Delivered")+COUNTIFS(Orders!$C$2:$C$20001,$A1225,Orders!$E$2:$E$20001,"Prepaid",Orders!$F$2:$F$20001,"RTO"))</f>
        <v/>
      </c>
      <c r="F1225" s="17" t="str">
        <f aca="false">IF($A1225="","",COUNTIFS(Orders!$C$2:$C$20001,$A1225,Orders!$E$2:$E$20001,"Prepaid",Orders!$F$2:$F$20001,"RTO"))</f>
        <v/>
      </c>
      <c r="G1225" s="18" t="str">
        <f aca="false">IF($A1225="","",IFERROR(F1225/E1225,0))</f>
        <v/>
      </c>
      <c r="H1225" s="19" t="str">
        <f aca="false">IF($A1225="","",C1225*Settings!$B$11)</f>
        <v/>
      </c>
      <c r="I1225" s="20" t="str">
        <f aca="false">IF($A1225="","",IF(N(H1225)=0,"",RANK(H1225,$H$5:$H$2004)))</f>
        <v/>
      </c>
      <c r="J1225" s="21" t="str">
        <f aca="false">IF($A1225="","",IF(B1225=0,"No COD orders",IF(B1225&lt;Settings!$B$8,"Too few orders",IF(D1225&gt;=Settings!$B$9,"Restrict COD or verify","Keep COD"))))</f>
        <v/>
      </c>
    </row>
    <row r="1226" customFormat="false" ht="15" hidden="false" customHeight="false" outlineLevel="0" collapsed="false">
      <c r="A1226" s="27"/>
      <c r="B1226" s="17" t="str">
        <f aca="false">IF($A1226="","",COUNTIFS(Orders!$C$2:$C$20001,$A1226,Orders!$E$2:$E$20001,"COD",Orders!$F$2:$F$20001,"Delivered")+COUNTIFS(Orders!$C$2:$C$20001,$A1226,Orders!$E$2:$E$20001,"COD",Orders!$F$2:$F$20001,"RTO"))</f>
        <v/>
      </c>
      <c r="C1226" s="17" t="str">
        <f aca="false">IF($A1226="","",COUNTIFS(Orders!$C$2:$C$20001,$A1226,Orders!$E$2:$E$20001,"COD",Orders!$F$2:$F$20001,"RTO"))</f>
        <v/>
      </c>
      <c r="D1226" s="18" t="str">
        <f aca="false">IF($A1226="","",IFERROR(C1226/B1226,0))</f>
        <v/>
      </c>
      <c r="E1226" s="17" t="str">
        <f aca="false">IF($A1226="","",COUNTIFS(Orders!$C$2:$C$20001,$A1226,Orders!$E$2:$E$20001,"Prepaid",Orders!$F$2:$F$20001,"Delivered")+COUNTIFS(Orders!$C$2:$C$20001,$A1226,Orders!$E$2:$E$20001,"Prepaid",Orders!$F$2:$F$20001,"RTO"))</f>
        <v/>
      </c>
      <c r="F1226" s="17" t="str">
        <f aca="false">IF($A1226="","",COUNTIFS(Orders!$C$2:$C$20001,$A1226,Orders!$E$2:$E$20001,"Prepaid",Orders!$F$2:$F$20001,"RTO"))</f>
        <v/>
      </c>
      <c r="G1226" s="18" t="str">
        <f aca="false">IF($A1226="","",IFERROR(F1226/E1226,0))</f>
        <v/>
      </c>
      <c r="H1226" s="19" t="str">
        <f aca="false">IF($A1226="","",C1226*Settings!$B$11)</f>
        <v/>
      </c>
      <c r="I1226" s="20" t="str">
        <f aca="false">IF($A1226="","",IF(N(H1226)=0,"",RANK(H1226,$H$5:$H$2004)))</f>
        <v/>
      </c>
      <c r="J1226" s="21" t="str">
        <f aca="false">IF($A1226="","",IF(B1226=0,"No COD orders",IF(B1226&lt;Settings!$B$8,"Too few orders",IF(D1226&gt;=Settings!$B$9,"Restrict COD or verify","Keep COD"))))</f>
        <v/>
      </c>
    </row>
    <row r="1227" customFormat="false" ht="15" hidden="false" customHeight="false" outlineLevel="0" collapsed="false">
      <c r="A1227" s="27"/>
      <c r="B1227" s="17" t="str">
        <f aca="false">IF($A1227="","",COUNTIFS(Orders!$C$2:$C$20001,$A1227,Orders!$E$2:$E$20001,"COD",Orders!$F$2:$F$20001,"Delivered")+COUNTIFS(Orders!$C$2:$C$20001,$A1227,Orders!$E$2:$E$20001,"COD",Orders!$F$2:$F$20001,"RTO"))</f>
        <v/>
      </c>
      <c r="C1227" s="17" t="str">
        <f aca="false">IF($A1227="","",COUNTIFS(Orders!$C$2:$C$20001,$A1227,Orders!$E$2:$E$20001,"COD",Orders!$F$2:$F$20001,"RTO"))</f>
        <v/>
      </c>
      <c r="D1227" s="18" t="str">
        <f aca="false">IF($A1227="","",IFERROR(C1227/B1227,0))</f>
        <v/>
      </c>
      <c r="E1227" s="17" t="str">
        <f aca="false">IF($A1227="","",COUNTIFS(Orders!$C$2:$C$20001,$A1227,Orders!$E$2:$E$20001,"Prepaid",Orders!$F$2:$F$20001,"Delivered")+COUNTIFS(Orders!$C$2:$C$20001,$A1227,Orders!$E$2:$E$20001,"Prepaid",Orders!$F$2:$F$20001,"RTO"))</f>
        <v/>
      </c>
      <c r="F1227" s="17" t="str">
        <f aca="false">IF($A1227="","",COUNTIFS(Orders!$C$2:$C$20001,$A1227,Orders!$E$2:$E$20001,"Prepaid",Orders!$F$2:$F$20001,"RTO"))</f>
        <v/>
      </c>
      <c r="G1227" s="18" t="str">
        <f aca="false">IF($A1227="","",IFERROR(F1227/E1227,0))</f>
        <v/>
      </c>
      <c r="H1227" s="19" t="str">
        <f aca="false">IF($A1227="","",C1227*Settings!$B$11)</f>
        <v/>
      </c>
      <c r="I1227" s="20" t="str">
        <f aca="false">IF($A1227="","",IF(N(H1227)=0,"",RANK(H1227,$H$5:$H$2004)))</f>
        <v/>
      </c>
      <c r="J1227" s="21" t="str">
        <f aca="false">IF($A1227="","",IF(B1227=0,"No COD orders",IF(B1227&lt;Settings!$B$8,"Too few orders",IF(D1227&gt;=Settings!$B$9,"Restrict COD or verify","Keep COD"))))</f>
        <v/>
      </c>
    </row>
    <row r="1228" customFormat="false" ht="15" hidden="false" customHeight="false" outlineLevel="0" collapsed="false">
      <c r="A1228" s="27"/>
      <c r="B1228" s="17" t="str">
        <f aca="false">IF($A1228="","",COUNTIFS(Orders!$C$2:$C$20001,$A1228,Orders!$E$2:$E$20001,"COD",Orders!$F$2:$F$20001,"Delivered")+COUNTIFS(Orders!$C$2:$C$20001,$A1228,Orders!$E$2:$E$20001,"COD",Orders!$F$2:$F$20001,"RTO"))</f>
        <v/>
      </c>
      <c r="C1228" s="17" t="str">
        <f aca="false">IF($A1228="","",COUNTIFS(Orders!$C$2:$C$20001,$A1228,Orders!$E$2:$E$20001,"COD",Orders!$F$2:$F$20001,"RTO"))</f>
        <v/>
      </c>
      <c r="D1228" s="18" t="str">
        <f aca="false">IF($A1228="","",IFERROR(C1228/B1228,0))</f>
        <v/>
      </c>
      <c r="E1228" s="17" t="str">
        <f aca="false">IF($A1228="","",COUNTIFS(Orders!$C$2:$C$20001,$A1228,Orders!$E$2:$E$20001,"Prepaid",Orders!$F$2:$F$20001,"Delivered")+COUNTIFS(Orders!$C$2:$C$20001,$A1228,Orders!$E$2:$E$20001,"Prepaid",Orders!$F$2:$F$20001,"RTO"))</f>
        <v/>
      </c>
      <c r="F1228" s="17" t="str">
        <f aca="false">IF($A1228="","",COUNTIFS(Orders!$C$2:$C$20001,$A1228,Orders!$E$2:$E$20001,"Prepaid",Orders!$F$2:$F$20001,"RTO"))</f>
        <v/>
      </c>
      <c r="G1228" s="18" t="str">
        <f aca="false">IF($A1228="","",IFERROR(F1228/E1228,0))</f>
        <v/>
      </c>
      <c r="H1228" s="19" t="str">
        <f aca="false">IF($A1228="","",C1228*Settings!$B$11)</f>
        <v/>
      </c>
      <c r="I1228" s="20" t="str">
        <f aca="false">IF($A1228="","",IF(N(H1228)=0,"",RANK(H1228,$H$5:$H$2004)))</f>
        <v/>
      </c>
      <c r="J1228" s="21" t="str">
        <f aca="false">IF($A1228="","",IF(B1228=0,"No COD orders",IF(B1228&lt;Settings!$B$8,"Too few orders",IF(D1228&gt;=Settings!$B$9,"Restrict COD or verify","Keep COD"))))</f>
        <v/>
      </c>
    </row>
    <row r="1229" customFormat="false" ht="15" hidden="false" customHeight="false" outlineLevel="0" collapsed="false">
      <c r="A1229" s="27"/>
      <c r="B1229" s="17" t="str">
        <f aca="false">IF($A1229="","",COUNTIFS(Orders!$C$2:$C$20001,$A1229,Orders!$E$2:$E$20001,"COD",Orders!$F$2:$F$20001,"Delivered")+COUNTIFS(Orders!$C$2:$C$20001,$A1229,Orders!$E$2:$E$20001,"COD",Orders!$F$2:$F$20001,"RTO"))</f>
        <v/>
      </c>
      <c r="C1229" s="17" t="str">
        <f aca="false">IF($A1229="","",COUNTIFS(Orders!$C$2:$C$20001,$A1229,Orders!$E$2:$E$20001,"COD",Orders!$F$2:$F$20001,"RTO"))</f>
        <v/>
      </c>
      <c r="D1229" s="18" t="str">
        <f aca="false">IF($A1229="","",IFERROR(C1229/B1229,0))</f>
        <v/>
      </c>
      <c r="E1229" s="17" t="str">
        <f aca="false">IF($A1229="","",COUNTIFS(Orders!$C$2:$C$20001,$A1229,Orders!$E$2:$E$20001,"Prepaid",Orders!$F$2:$F$20001,"Delivered")+COUNTIFS(Orders!$C$2:$C$20001,$A1229,Orders!$E$2:$E$20001,"Prepaid",Orders!$F$2:$F$20001,"RTO"))</f>
        <v/>
      </c>
      <c r="F1229" s="17" t="str">
        <f aca="false">IF($A1229="","",COUNTIFS(Orders!$C$2:$C$20001,$A1229,Orders!$E$2:$E$20001,"Prepaid",Orders!$F$2:$F$20001,"RTO"))</f>
        <v/>
      </c>
      <c r="G1229" s="18" t="str">
        <f aca="false">IF($A1229="","",IFERROR(F1229/E1229,0))</f>
        <v/>
      </c>
      <c r="H1229" s="19" t="str">
        <f aca="false">IF($A1229="","",C1229*Settings!$B$11)</f>
        <v/>
      </c>
      <c r="I1229" s="20" t="str">
        <f aca="false">IF($A1229="","",IF(N(H1229)=0,"",RANK(H1229,$H$5:$H$2004)))</f>
        <v/>
      </c>
      <c r="J1229" s="21" t="str">
        <f aca="false">IF($A1229="","",IF(B1229=0,"No COD orders",IF(B1229&lt;Settings!$B$8,"Too few orders",IF(D1229&gt;=Settings!$B$9,"Restrict COD or verify","Keep COD"))))</f>
        <v/>
      </c>
    </row>
    <row r="1230" customFormat="false" ht="15" hidden="false" customHeight="false" outlineLevel="0" collapsed="false">
      <c r="A1230" s="27"/>
      <c r="B1230" s="17" t="str">
        <f aca="false">IF($A1230="","",COUNTIFS(Orders!$C$2:$C$20001,$A1230,Orders!$E$2:$E$20001,"COD",Orders!$F$2:$F$20001,"Delivered")+COUNTIFS(Orders!$C$2:$C$20001,$A1230,Orders!$E$2:$E$20001,"COD",Orders!$F$2:$F$20001,"RTO"))</f>
        <v/>
      </c>
      <c r="C1230" s="17" t="str">
        <f aca="false">IF($A1230="","",COUNTIFS(Orders!$C$2:$C$20001,$A1230,Orders!$E$2:$E$20001,"COD",Orders!$F$2:$F$20001,"RTO"))</f>
        <v/>
      </c>
      <c r="D1230" s="18" t="str">
        <f aca="false">IF($A1230="","",IFERROR(C1230/B1230,0))</f>
        <v/>
      </c>
      <c r="E1230" s="17" t="str">
        <f aca="false">IF($A1230="","",COUNTIFS(Orders!$C$2:$C$20001,$A1230,Orders!$E$2:$E$20001,"Prepaid",Orders!$F$2:$F$20001,"Delivered")+COUNTIFS(Orders!$C$2:$C$20001,$A1230,Orders!$E$2:$E$20001,"Prepaid",Orders!$F$2:$F$20001,"RTO"))</f>
        <v/>
      </c>
      <c r="F1230" s="17" t="str">
        <f aca="false">IF($A1230="","",COUNTIFS(Orders!$C$2:$C$20001,$A1230,Orders!$E$2:$E$20001,"Prepaid",Orders!$F$2:$F$20001,"RTO"))</f>
        <v/>
      </c>
      <c r="G1230" s="18" t="str">
        <f aca="false">IF($A1230="","",IFERROR(F1230/E1230,0))</f>
        <v/>
      </c>
      <c r="H1230" s="19" t="str">
        <f aca="false">IF($A1230="","",C1230*Settings!$B$11)</f>
        <v/>
      </c>
      <c r="I1230" s="20" t="str">
        <f aca="false">IF($A1230="","",IF(N(H1230)=0,"",RANK(H1230,$H$5:$H$2004)))</f>
        <v/>
      </c>
      <c r="J1230" s="21" t="str">
        <f aca="false">IF($A1230="","",IF(B1230=0,"No COD orders",IF(B1230&lt;Settings!$B$8,"Too few orders",IF(D1230&gt;=Settings!$B$9,"Restrict COD or verify","Keep COD"))))</f>
        <v/>
      </c>
    </row>
    <row r="1231" customFormat="false" ht="15" hidden="false" customHeight="false" outlineLevel="0" collapsed="false">
      <c r="A1231" s="27"/>
      <c r="B1231" s="17" t="str">
        <f aca="false">IF($A1231="","",COUNTIFS(Orders!$C$2:$C$20001,$A1231,Orders!$E$2:$E$20001,"COD",Orders!$F$2:$F$20001,"Delivered")+COUNTIFS(Orders!$C$2:$C$20001,$A1231,Orders!$E$2:$E$20001,"COD",Orders!$F$2:$F$20001,"RTO"))</f>
        <v/>
      </c>
      <c r="C1231" s="17" t="str">
        <f aca="false">IF($A1231="","",COUNTIFS(Orders!$C$2:$C$20001,$A1231,Orders!$E$2:$E$20001,"COD",Orders!$F$2:$F$20001,"RTO"))</f>
        <v/>
      </c>
      <c r="D1231" s="18" t="str">
        <f aca="false">IF($A1231="","",IFERROR(C1231/B1231,0))</f>
        <v/>
      </c>
      <c r="E1231" s="17" t="str">
        <f aca="false">IF($A1231="","",COUNTIFS(Orders!$C$2:$C$20001,$A1231,Orders!$E$2:$E$20001,"Prepaid",Orders!$F$2:$F$20001,"Delivered")+COUNTIFS(Orders!$C$2:$C$20001,$A1231,Orders!$E$2:$E$20001,"Prepaid",Orders!$F$2:$F$20001,"RTO"))</f>
        <v/>
      </c>
      <c r="F1231" s="17" t="str">
        <f aca="false">IF($A1231="","",COUNTIFS(Orders!$C$2:$C$20001,$A1231,Orders!$E$2:$E$20001,"Prepaid",Orders!$F$2:$F$20001,"RTO"))</f>
        <v/>
      </c>
      <c r="G1231" s="18" t="str">
        <f aca="false">IF($A1231="","",IFERROR(F1231/E1231,0))</f>
        <v/>
      </c>
      <c r="H1231" s="19" t="str">
        <f aca="false">IF($A1231="","",C1231*Settings!$B$11)</f>
        <v/>
      </c>
      <c r="I1231" s="20" t="str">
        <f aca="false">IF($A1231="","",IF(N(H1231)=0,"",RANK(H1231,$H$5:$H$2004)))</f>
        <v/>
      </c>
      <c r="J1231" s="21" t="str">
        <f aca="false">IF($A1231="","",IF(B1231=0,"No COD orders",IF(B1231&lt;Settings!$B$8,"Too few orders",IF(D1231&gt;=Settings!$B$9,"Restrict COD or verify","Keep COD"))))</f>
        <v/>
      </c>
    </row>
    <row r="1232" customFormat="false" ht="15" hidden="false" customHeight="false" outlineLevel="0" collapsed="false">
      <c r="A1232" s="27"/>
      <c r="B1232" s="17" t="str">
        <f aca="false">IF($A1232="","",COUNTIFS(Orders!$C$2:$C$20001,$A1232,Orders!$E$2:$E$20001,"COD",Orders!$F$2:$F$20001,"Delivered")+COUNTIFS(Orders!$C$2:$C$20001,$A1232,Orders!$E$2:$E$20001,"COD",Orders!$F$2:$F$20001,"RTO"))</f>
        <v/>
      </c>
      <c r="C1232" s="17" t="str">
        <f aca="false">IF($A1232="","",COUNTIFS(Orders!$C$2:$C$20001,$A1232,Orders!$E$2:$E$20001,"COD",Orders!$F$2:$F$20001,"RTO"))</f>
        <v/>
      </c>
      <c r="D1232" s="18" t="str">
        <f aca="false">IF($A1232="","",IFERROR(C1232/B1232,0))</f>
        <v/>
      </c>
      <c r="E1232" s="17" t="str">
        <f aca="false">IF($A1232="","",COUNTIFS(Orders!$C$2:$C$20001,$A1232,Orders!$E$2:$E$20001,"Prepaid",Orders!$F$2:$F$20001,"Delivered")+COUNTIFS(Orders!$C$2:$C$20001,$A1232,Orders!$E$2:$E$20001,"Prepaid",Orders!$F$2:$F$20001,"RTO"))</f>
        <v/>
      </c>
      <c r="F1232" s="17" t="str">
        <f aca="false">IF($A1232="","",COUNTIFS(Orders!$C$2:$C$20001,$A1232,Orders!$E$2:$E$20001,"Prepaid",Orders!$F$2:$F$20001,"RTO"))</f>
        <v/>
      </c>
      <c r="G1232" s="18" t="str">
        <f aca="false">IF($A1232="","",IFERROR(F1232/E1232,0))</f>
        <v/>
      </c>
      <c r="H1232" s="19" t="str">
        <f aca="false">IF($A1232="","",C1232*Settings!$B$11)</f>
        <v/>
      </c>
      <c r="I1232" s="20" t="str">
        <f aca="false">IF($A1232="","",IF(N(H1232)=0,"",RANK(H1232,$H$5:$H$2004)))</f>
        <v/>
      </c>
      <c r="J1232" s="21" t="str">
        <f aca="false">IF($A1232="","",IF(B1232=0,"No COD orders",IF(B1232&lt;Settings!$B$8,"Too few orders",IF(D1232&gt;=Settings!$B$9,"Restrict COD or verify","Keep COD"))))</f>
        <v/>
      </c>
    </row>
    <row r="1233" customFormat="false" ht="15" hidden="false" customHeight="false" outlineLevel="0" collapsed="false">
      <c r="A1233" s="27"/>
      <c r="B1233" s="17" t="str">
        <f aca="false">IF($A1233="","",COUNTIFS(Orders!$C$2:$C$20001,$A1233,Orders!$E$2:$E$20001,"COD",Orders!$F$2:$F$20001,"Delivered")+COUNTIFS(Orders!$C$2:$C$20001,$A1233,Orders!$E$2:$E$20001,"COD",Orders!$F$2:$F$20001,"RTO"))</f>
        <v/>
      </c>
      <c r="C1233" s="17" t="str">
        <f aca="false">IF($A1233="","",COUNTIFS(Orders!$C$2:$C$20001,$A1233,Orders!$E$2:$E$20001,"COD",Orders!$F$2:$F$20001,"RTO"))</f>
        <v/>
      </c>
      <c r="D1233" s="18" t="str">
        <f aca="false">IF($A1233="","",IFERROR(C1233/B1233,0))</f>
        <v/>
      </c>
      <c r="E1233" s="17" t="str">
        <f aca="false">IF($A1233="","",COUNTIFS(Orders!$C$2:$C$20001,$A1233,Orders!$E$2:$E$20001,"Prepaid",Orders!$F$2:$F$20001,"Delivered")+COUNTIFS(Orders!$C$2:$C$20001,$A1233,Orders!$E$2:$E$20001,"Prepaid",Orders!$F$2:$F$20001,"RTO"))</f>
        <v/>
      </c>
      <c r="F1233" s="17" t="str">
        <f aca="false">IF($A1233="","",COUNTIFS(Orders!$C$2:$C$20001,$A1233,Orders!$E$2:$E$20001,"Prepaid",Orders!$F$2:$F$20001,"RTO"))</f>
        <v/>
      </c>
      <c r="G1233" s="18" t="str">
        <f aca="false">IF($A1233="","",IFERROR(F1233/E1233,0))</f>
        <v/>
      </c>
      <c r="H1233" s="19" t="str">
        <f aca="false">IF($A1233="","",C1233*Settings!$B$11)</f>
        <v/>
      </c>
      <c r="I1233" s="20" t="str">
        <f aca="false">IF($A1233="","",IF(N(H1233)=0,"",RANK(H1233,$H$5:$H$2004)))</f>
        <v/>
      </c>
      <c r="J1233" s="21" t="str">
        <f aca="false">IF($A1233="","",IF(B1233=0,"No COD orders",IF(B1233&lt;Settings!$B$8,"Too few orders",IF(D1233&gt;=Settings!$B$9,"Restrict COD or verify","Keep COD"))))</f>
        <v/>
      </c>
    </row>
    <row r="1234" customFormat="false" ht="15" hidden="false" customHeight="false" outlineLevel="0" collapsed="false">
      <c r="A1234" s="27"/>
      <c r="B1234" s="17" t="str">
        <f aca="false">IF($A1234="","",COUNTIFS(Orders!$C$2:$C$20001,$A1234,Orders!$E$2:$E$20001,"COD",Orders!$F$2:$F$20001,"Delivered")+COUNTIFS(Orders!$C$2:$C$20001,$A1234,Orders!$E$2:$E$20001,"COD",Orders!$F$2:$F$20001,"RTO"))</f>
        <v/>
      </c>
      <c r="C1234" s="17" t="str">
        <f aca="false">IF($A1234="","",COUNTIFS(Orders!$C$2:$C$20001,$A1234,Orders!$E$2:$E$20001,"COD",Orders!$F$2:$F$20001,"RTO"))</f>
        <v/>
      </c>
      <c r="D1234" s="18" t="str">
        <f aca="false">IF($A1234="","",IFERROR(C1234/B1234,0))</f>
        <v/>
      </c>
      <c r="E1234" s="17" t="str">
        <f aca="false">IF($A1234="","",COUNTIFS(Orders!$C$2:$C$20001,$A1234,Orders!$E$2:$E$20001,"Prepaid",Orders!$F$2:$F$20001,"Delivered")+COUNTIFS(Orders!$C$2:$C$20001,$A1234,Orders!$E$2:$E$20001,"Prepaid",Orders!$F$2:$F$20001,"RTO"))</f>
        <v/>
      </c>
      <c r="F1234" s="17" t="str">
        <f aca="false">IF($A1234="","",COUNTIFS(Orders!$C$2:$C$20001,$A1234,Orders!$E$2:$E$20001,"Prepaid",Orders!$F$2:$F$20001,"RTO"))</f>
        <v/>
      </c>
      <c r="G1234" s="18" t="str">
        <f aca="false">IF($A1234="","",IFERROR(F1234/E1234,0))</f>
        <v/>
      </c>
      <c r="H1234" s="19" t="str">
        <f aca="false">IF($A1234="","",C1234*Settings!$B$11)</f>
        <v/>
      </c>
      <c r="I1234" s="20" t="str">
        <f aca="false">IF($A1234="","",IF(N(H1234)=0,"",RANK(H1234,$H$5:$H$2004)))</f>
        <v/>
      </c>
      <c r="J1234" s="21" t="str">
        <f aca="false">IF($A1234="","",IF(B1234=0,"No COD orders",IF(B1234&lt;Settings!$B$8,"Too few orders",IF(D1234&gt;=Settings!$B$9,"Restrict COD or verify","Keep COD"))))</f>
        <v/>
      </c>
    </row>
    <row r="1235" customFormat="false" ht="15" hidden="false" customHeight="false" outlineLevel="0" collapsed="false">
      <c r="A1235" s="27"/>
      <c r="B1235" s="17" t="str">
        <f aca="false">IF($A1235="","",COUNTIFS(Orders!$C$2:$C$20001,$A1235,Orders!$E$2:$E$20001,"COD",Orders!$F$2:$F$20001,"Delivered")+COUNTIFS(Orders!$C$2:$C$20001,$A1235,Orders!$E$2:$E$20001,"COD",Orders!$F$2:$F$20001,"RTO"))</f>
        <v/>
      </c>
      <c r="C1235" s="17" t="str">
        <f aca="false">IF($A1235="","",COUNTIFS(Orders!$C$2:$C$20001,$A1235,Orders!$E$2:$E$20001,"COD",Orders!$F$2:$F$20001,"RTO"))</f>
        <v/>
      </c>
      <c r="D1235" s="18" t="str">
        <f aca="false">IF($A1235="","",IFERROR(C1235/B1235,0))</f>
        <v/>
      </c>
      <c r="E1235" s="17" t="str">
        <f aca="false">IF($A1235="","",COUNTIFS(Orders!$C$2:$C$20001,$A1235,Orders!$E$2:$E$20001,"Prepaid",Orders!$F$2:$F$20001,"Delivered")+COUNTIFS(Orders!$C$2:$C$20001,$A1235,Orders!$E$2:$E$20001,"Prepaid",Orders!$F$2:$F$20001,"RTO"))</f>
        <v/>
      </c>
      <c r="F1235" s="17" t="str">
        <f aca="false">IF($A1235="","",COUNTIFS(Orders!$C$2:$C$20001,$A1235,Orders!$E$2:$E$20001,"Prepaid",Orders!$F$2:$F$20001,"RTO"))</f>
        <v/>
      </c>
      <c r="G1235" s="18" t="str">
        <f aca="false">IF($A1235="","",IFERROR(F1235/E1235,0))</f>
        <v/>
      </c>
      <c r="H1235" s="19" t="str">
        <f aca="false">IF($A1235="","",C1235*Settings!$B$11)</f>
        <v/>
      </c>
      <c r="I1235" s="20" t="str">
        <f aca="false">IF($A1235="","",IF(N(H1235)=0,"",RANK(H1235,$H$5:$H$2004)))</f>
        <v/>
      </c>
      <c r="J1235" s="21" t="str">
        <f aca="false">IF($A1235="","",IF(B1235=0,"No COD orders",IF(B1235&lt;Settings!$B$8,"Too few orders",IF(D1235&gt;=Settings!$B$9,"Restrict COD or verify","Keep COD"))))</f>
        <v/>
      </c>
    </row>
    <row r="1236" customFormat="false" ht="15" hidden="false" customHeight="false" outlineLevel="0" collapsed="false">
      <c r="A1236" s="27"/>
      <c r="B1236" s="17" t="str">
        <f aca="false">IF($A1236="","",COUNTIFS(Orders!$C$2:$C$20001,$A1236,Orders!$E$2:$E$20001,"COD",Orders!$F$2:$F$20001,"Delivered")+COUNTIFS(Orders!$C$2:$C$20001,$A1236,Orders!$E$2:$E$20001,"COD",Orders!$F$2:$F$20001,"RTO"))</f>
        <v/>
      </c>
      <c r="C1236" s="17" t="str">
        <f aca="false">IF($A1236="","",COUNTIFS(Orders!$C$2:$C$20001,$A1236,Orders!$E$2:$E$20001,"COD",Orders!$F$2:$F$20001,"RTO"))</f>
        <v/>
      </c>
      <c r="D1236" s="18" t="str">
        <f aca="false">IF($A1236="","",IFERROR(C1236/B1236,0))</f>
        <v/>
      </c>
      <c r="E1236" s="17" t="str">
        <f aca="false">IF($A1236="","",COUNTIFS(Orders!$C$2:$C$20001,$A1236,Orders!$E$2:$E$20001,"Prepaid",Orders!$F$2:$F$20001,"Delivered")+COUNTIFS(Orders!$C$2:$C$20001,$A1236,Orders!$E$2:$E$20001,"Prepaid",Orders!$F$2:$F$20001,"RTO"))</f>
        <v/>
      </c>
      <c r="F1236" s="17" t="str">
        <f aca="false">IF($A1236="","",COUNTIFS(Orders!$C$2:$C$20001,$A1236,Orders!$E$2:$E$20001,"Prepaid",Orders!$F$2:$F$20001,"RTO"))</f>
        <v/>
      </c>
      <c r="G1236" s="18" t="str">
        <f aca="false">IF($A1236="","",IFERROR(F1236/E1236,0))</f>
        <v/>
      </c>
      <c r="H1236" s="19" t="str">
        <f aca="false">IF($A1236="","",C1236*Settings!$B$11)</f>
        <v/>
      </c>
      <c r="I1236" s="20" t="str">
        <f aca="false">IF($A1236="","",IF(N(H1236)=0,"",RANK(H1236,$H$5:$H$2004)))</f>
        <v/>
      </c>
      <c r="J1236" s="21" t="str">
        <f aca="false">IF($A1236="","",IF(B1236=0,"No COD orders",IF(B1236&lt;Settings!$B$8,"Too few orders",IF(D1236&gt;=Settings!$B$9,"Restrict COD or verify","Keep COD"))))</f>
        <v/>
      </c>
    </row>
    <row r="1237" customFormat="false" ht="15" hidden="false" customHeight="false" outlineLevel="0" collapsed="false">
      <c r="A1237" s="27"/>
      <c r="B1237" s="17" t="str">
        <f aca="false">IF($A1237="","",COUNTIFS(Orders!$C$2:$C$20001,$A1237,Orders!$E$2:$E$20001,"COD",Orders!$F$2:$F$20001,"Delivered")+COUNTIFS(Orders!$C$2:$C$20001,$A1237,Orders!$E$2:$E$20001,"COD",Orders!$F$2:$F$20001,"RTO"))</f>
        <v/>
      </c>
      <c r="C1237" s="17" t="str">
        <f aca="false">IF($A1237="","",COUNTIFS(Orders!$C$2:$C$20001,$A1237,Orders!$E$2:$E$20001,"COD",Orders!$F$2:$F$20001,"RTO"))</f>
        <v/>
      </c>
      <c r="D1237" s="18" t="str">
        <f aca="false">IF($A1237="","",IFERROR(C1237/B1237,0))</f>
        <v/>
      </c>
      <c r="E1237" s="17" t="str">
        <f aca="false">IF($A1237="","",COUNTIFS(Orders!$C$2:$C$20001,$A1237,Orders!$E$2:$E$20001,"Prepaid",Orders!$F$2:$F$20001,"Delivered")+COUNTIFS(Orders!$C$2:$C$20001,$A1237,Orders!$E$2:$E$20001,"Prepaid",Orders!$F$2:$F$20001,"RTO"))</f>
        <v/>
      </c>
      <c r="F1237" s="17" t="str">
        <f aca="false">IF($A1237="","",COUNTIFS(Orders!$C$2:$C$20001,$A1237,Orders!$E$2:$E$20001,"Prepaid",Orders!$F$2:$F$20001,"RTO"))</f>
        <v/>
      </c>
      <c r="G1237" s="18" t="str">
        <f aca="false">IF($A1237="","",IFERROR(F1237/E1237,0))</f>
        <v/>
      </c>
      <c r="H1237" s="19" t="str">
        <f aca="false">IF($A1237="","",C1237*Settings!$B$11)</f>
        <v/>
      </c>
      <c r="I1237" s="20" t="str">
        <f aca="false">IF($A1237="","",IF(N(H1237)=0,"",RANK(H1237,$H$5:$H$2004)))</f>
        <v/>
      </c>
      <c r="J1237" s="21" t="str">
        <f aca="false">IF($A1237="","",IF(B1237=0,"No COD orders",IF(B1237&lt;Settings!$B$8,"Too few orders",IF(D1237&gt;=Settings!$B$9,"Restrict COD or verify","Keep COD"))))</f>
        <v/>
      </c>
    </row>
    <row r="1238" customFormat="false" ht="15" hidden="false" customHeight="false" outlineLevel="0" collapsed="false">
      <c r="A1238" s="27"/>
      <c r="B1238" s="17" t="str">
        <f aca="false">IF($A1238="","",COUNTIFS(Orders!$C$2:$C$20001,$A1238,Orders!$E$2:$E$20001,"COD",Orders!$F$2:$F$20001,"Delivered")+COUNTIFS(Orders!$C$2:$C$20001,$A1238,Orders!$E$2:$E$20001,"COD",Orders!$F$2:$F$20001,"RTO"))</f>
        <v/>
      </c>
      <c r="C1238" s="17" t="str">
        <f aca="false">IF($A1238="","",COUNTIFS(Orders!$C$2:$C$20001,$A1238,Orders!$E$2:$E$20001,"COD",Orders!$F$2:$F$20001,"RTO"))</f>
        <v/>
      </c>
      <c r="D1238" s="18" t="str">
        <f aca="false">IF($A1238="","",IFERROR(C1238/B1238,0))</f>
        <v/>
      </c>
      <c r="E1238" s="17" t="str">
        <f aca="false">IF($A1238="","",COUNTIFS(Orders!$C$2:$C$20001,$A1238,Orders!$E$2:$E$20001,"Prepaid",Orders!$F$2:$F$20001,"Delivered")+COUNTIFS(Orders!$C$2:$C$20001,$A1238,Orders!$E$2:$E$20001,"Prepaid",Orders!$F$2:$F$20001,"RTO"))</f>
        <v/>
      </c>
      <c r="F1238" s="17" t="str">
        <f aca="false">IF($A1238="","",COUNTIFS(Orders!$C$2:$C$20001,$A1238,Orders!$E$2:$E$20001,"Prepaid",Orders!$F$2:$F$20001,"RTO"))</f>
        <v/>
      </c>
      <c r="G1238" s="18" t="str">
        <f aca="false">IF($A1238="","",IFERROR(F1238/E1238,0))</f>
        <v/>
      </c>
      <c r="H1238" s="19" t="str">
        <f aca="false">IF($A1238="","",C1238*Settings!$B$11)</f>
        <v/>
      </c>
      <c r="I1238" s="20" t="str">
        <f aca="false">IF($A1238="","",IF(N(H1238)=0,"",RANK(H1238,$H$5:$H$2004)))</f>
        <v/>
      </c>
      <c r="J1238" s="21" t="str">
        <f aca="false">IF($A1238="","",IF(B1238=0,"No COD orders",IF(B1238&lt;Settings!$B$8,"Too few orders",IF(D1238&gt;=Settings!$B$9,"Restrict COD or verify","Keep COD"))))</f>
        <v/>
      </c>
    </row>
    <row r="1239" customFormat="false" ht="15" hidden="false" customHeight="false" outlineLevel="0" collapsed="false">
      <c r="A1239" s="27"/>
      <c r="B1239" s="17" t="str">
        <f aca="false">IF($A1239="","",COUNTIFS(Orders!$C$2:$C$20001,$A1239,Orders!$E$2:$E$20001,"COD",Orders!$F$2:$F$20001,"Delivered")+COUNTIFS(Orders!$C$2:$C$20001,$A1239,Orders!$E$2:$E$20001,"COD",Orders!$F$2:$F$20001,"RTO"))</f>
        <v/>
      </c>
      <c r="C1239" s="17" t="str">
        <f aca="false">IF($A1239="","",COUNTIFS(Orders!$C$2:$C$20001,$A1239,Orders!$E$2:$E$20001,"COD",Orders!$F$2:$F$20001,"RTO"))</f>
        <v/>
      </c>
      <c r="D1239" s="18" t="str">
        <f aca="false">IF($A1239="","",IFERROR(C1239/B1239,0))</f>
        <v/>
      </c>
      <c r="E1239" s="17" t="str">
        <f aca="false">IF($A1239="","",COUNTIFS(Orders!$C$2:$C$20001,$A1239,Orders!$E$2:$E$20001,"Prepaid",Orders!$F$2:$F$20001,"Delivered")+COUNTIFS(Orders!$C$2:$C$20001,$A1239,Orders!$E$2:$E$20001,"Prepaid",Orders!$F$2:$F$20001,"RTO"))</f>
        <v/>
      </c>
      <c r="F1239" s="17" t="str">
        <f aca="false">IF($A1239="","",COUNTIFS(Orders!$C$2:$C$20001,$A1239,Orders!$E$2:$E$20001,"Prepaid",Orders!$F$2:$F$20001,"RTO"))</f>
        <v/>
      </c>
      <c r="G1239" s="18" t="str">
        <f aca="false">IF($A1239="","",IFERROR(F1239/E1239,0))</f>
        <v/>
      </c>
      <c r="H1239" s="19" t="str">
        <f aca="false">IF($A1239="","",C1239*Settings!$B$11)</f>
        <v/>
      </c>
      <c r="I1239" s="20" t="str">
        <f aca="false">IF($A1239="","",IF(N(H1239)=0,"",RANK(H1239,$H$5:$H$2004)))</f>
        <v/>
      </c>
      <c r="J1239" s="21" t="str">
        <f aca="false">IF($A1239="","",IF(B1239=0,"No COD orders",IF(B1239&lt;Settings!$B$8,"Too few orders",IF(D1239&gt;=Settings!$B$9,"Restrict COD or verify","Keep COD"))))</f>
        <v/>
      </c>
    </row>
    <row r="1240" customFormat="false" ht="15" hidden="false" customHeight="false" outlineLevel="0" collapsed="false">
      <c r="A1240" s="27"/>
      <c r="B1240" s="17" t="str">
        <f aca="false">IF($A1240="","",COUNTIFS(Orders!$C$2:$C$20001,$A1240,Orders!$E$2:$E$20001,"COD",Orders!$F$2:$F$20001,"Delivered")+COUNTIFS(Orders!$C$2:$C$20001,$A1240,Orders!$E$2:$E$20001,"COD",Orders!$F$2:$F$20001,"RTO"))</f>
        <v/>
      </c>
      <c r="C1240" s="17" t="str">
        <f aca="false">IF($A1240="","",COUNTIFS(Orders!$C$2:$C$20001,$A1240,Orders!$E$2:$E$20001,"COD",Orders!$F$2:$F$20001,"RTO"))</f>
        <v/>
      </c>
      <c r="D1240" s="18" t="str">
        <f aca="false">IF($A1240="","",IFERROR(C1240/B1240,0))</f>
        <v/>
      </c>
      <c r="E1240" s="17" t="str">
        <f aca="false">IF($A1240="","",COUNTIFS(Orders!$C$2:$C$20001,$A1240,Orders!$E$2:$E$20001,"Prepaid",Orders!$F$2:$F$20001,"Delivered")+COUNTIFS(Orders!$C$2:$C$20001,$A1240,Orders!$E$2:$E$20001,"Prepaid",Orders!$F$2:$F$20001,"RTO"))</f>
        <v/>
      </c>
      <c r="F1240" s="17" t="str">
        <f aca="false">IF($A1240="","",COUNTIFS(Orders!$C$2:$C$20001,$A1240,Orders!$E$2:$E$20001,"Prepaid",Orders!$F$2:$F$20001,"RTO"))</f>
        <v/>
      </c>
      <c r="G1240" s="18" t="str">
        <f aca="false">IF($A1240="","",IFERROR(F1240/E1240,0))</f>
        <v/>
      </c>
      <c r="H1240" s="19" t="str">
        <f aca="false">IF($A1240="","",C1240*Settings!$B$11)</f>
        <v/>
      </c>
      <c r="I1240" s="20" t="str">
        <f aca="false">IF($A1240="","",IF(N(H1240)=0,"",RANK(H1240,$H$5:$H$2004)))</f>
        <v/>
      </c>
      <c r="J1240" s="21" t="str">
        <f aca="false">IF($A1240="","",IF(B1240=0,"No COD orders",IF(B1240&lt;Settings!$B$8,"Too few orders",IF(D1240&gt;=Settings!$B$9,"Restrict COD or verify","Keep COD"))))</f>
        <v/>
      </c>
    </row>
    <row r="1241" customFormat="false" ht="15" hidden="false" customHeight="false" outlineLevel="0" collapsed="false">
      <c r="A1241" s="27"/>
      <c r="B1241" s="17" t="str">
        <f aca="false">IF($A1241="","",COUNTIFS(Orders!$C$2:$C$20001,$A1241,Orders!$E$2:$E$20001,"COD",Orders!$F$2:$F$20001,"Delivered")+COUNTIFS(Orders!$C$2:$C$20001,$A1241,Orders!$E$2:$E$20001,"COD",Orders!$F$2:$F$20001,"RTO"))</f>
        <v/>
      </c>
      <c r="C1241" s="17" t="str">
        <f aca="false">IF($A1241="","",COUNTIFS(Orders!$C$2:$C$20001,$A1241,Orders!$E$2:$E$20001,"COD",Orders!$F$2:$F$20001,"RTO"))</f>
        <v/>
      </c>
      <c r="D1241" s="18" t="str">
        <f aca="false">IF($A1241="","",IFERROR(C1241/B1241,0))</f>
        <v/>
      </c>
      <c r="E1241" s="17" t="str">
        <f aca="false">IF($A1241="","",COUNTIFS(Orders!$C$2:$C$20001,$A1241,Orders!$E$2:$E$20001,"Prepaid",Orders!$F$2:$F$20001,"Delivered")+COUNTIFS(Orders!$C$2:$C$20001,$A1241,Orders!$E$2:$E$20001,"Prepaid",Orders!$F$2:$F$20001,"RTO"))</f>
        <v/>
      </c>
      <c r="F1241" s="17" t="str">
        <f aca="false">IF($A1241="","",COUNTIFS(Orders!$C$2:$C$20001,$A1241,Orders!$E$2:$E$20001,"Prepaid",Orders!$F$2:$F$20001,"RTO"))</f>
        <v/>
      </c>
      <c r="G1241" s="18" t="str">
        <f aca="false">IF($A1241="","",IFERROR(F1241/E1241,0))</f>
        <v/>
      </c>
      <c r="H1241" s="19" t="str">
        <f aca="false">IF($A1241="","",C1241*Settings!$B$11)</f>
        <v/>
      </c>
      <c r="I1241" s="20" t="str">
        <f aca="false">IF($A1241="","",IF(N(H1241)=0,"",RANK(H1241,$H$5:$H$2004)))</f>
        <v/>
      </c>
      <c r="J1241" s="21" t="str">
        <f aca="false">IF($A1241="","",IF(B1241=0,"No COD orders",IF(B1241&lt;Settings!$B$8,"Too few orders",IF(D1241&gt;=Settings!$B$9,"Restrict COD or verify","Keep COD"))))</f>
        <v/>
      </c>
    </row>
    <row r="1242" customFormat="false" ht="15" hidden="false" customHeight="false" outlineLevel="0" collapsed="false">
      <c r="A1242" s="27"/>
      <c r="B1242" s="17" t="str">
        <f aca="false">IF($A1242="","",COUNTIFS(Orders!$C$2:$C$20001,$A1242,Orders!$E$2:$E$20001,"COD",Orders!$F$2:$F$20001,"Delivered")+COUNTIFS(Orders!$C$2:$C$20001,$A1242,Orders!$E$2:$E$20001,"COD",Orders!$F$2:$F$20001,"RTO"))</f>
        <v/>
      </c>
      <c r="C1242" s="17" t="str">
        <f aca="false">IF($A1242="","",COUNTIFS(Orders!$C$2:$C$20001,$A1242,Orders!$E$2:$E$20001,"COD",Orders!$F$2:$F$20001,"RTO"))</f>
        <v/>
      </c>
      <c r="D1242" s="18" t="str">
        <f aca="false">IF($A1242="","",IFERROR(C1242/B1242,0))</f>
        <v/>
      </c>
      <c r="E1242" s="17" t="str">
        <f aca="false">IF($A1242="","",COUNTIFS(Orders!$C$2:$C$20001,$A1242,Orders!$E$2:$E$20001,"Prepaid",Orders!$F$2:$F$20001,"Delivered")+COUNTIFS(Orders!$C$2:$C$20001,$A1242,Orders!$E$2:$E$20001,"Prepaid",Orders!$F$2:$F$20001,"RTO"))</f>
        <v/>
      </c>
      <c r="F1242" s="17" t="str">
        <f aca="false">IF($A1242="","",COUNTIFS(Orders!$C$2:$C$20001,$A1242,Orders!$E$2:$E$20001,"Prepaid",Orders!$F$2:$F$20001,"RTO"))</f>
        <v/>
      </c>
      <c r="G1242" s="18" t="str">
        <f aca="false">IF($A1242="","",IFERROR(F1242/E1242,0))</f>
        <v/>
      </c>
      <c r="H1242" s="19" t="str">
        <f aca="false">IF($A1242="","",C1242*Settings!$B$11)</f>
        <v/>
      </c>
      <c r="I1242" s="20" t="str">
        <f aca="false">IF($A1242="","",IF(N(H1242)=0,"",RANK(H1242,$H$5:$H$2004)))</f>
        <v/>
      </c>
      <c r="J1242" s="21" t="str">
        <f aca="false">IF($A1242="","",IF(B1242=0,"No COD orders",IF(B1242&lt;Settings!$B$8,"Too few orders",IF(D1242&gt;=Settings!$B$9,"Restrict COD or verify","Keep COD"))))</f>
        <v/>
      </c>
    </row>
    <row r="1243" customFormat="false" ht="15" hidden="false" customHeight="false" outlineLevel="0" collapsed="false">
      <c r="A1243" s="27"/>
      <c r="B1243" s="17" t="str">
        <f aca="false">IF($A1243="","",COUNTIFS(Orders!$C$2:$C$20001,$A1243,Orders!$E$2:$E$20001,"COD",Orders!$F$2:$F$20001,"Delivered")+COUNTIFS(Orders!$C$2:$C$20001,$A1243,Orders!$E$2:$E$20001,"COD",Orders!$F$2:$F$20001,"RTO"))</f>
        <v/>
      </c>
      <c r="C1243" s="17" t="str">
        <f aca="false">IF($A1243="","",COUNTIFS(Orders!$C$2:$C$20001,$A1243,Orders!$E$2:$E$20001,"COD",Orders!$F$2:$F$20001,"RTO"))</f>
        <v/>
      </c>
      <c r="D1243" s="18" t="str">
        <f aca="false">IF($A1243="","",IFERROR(C1243/B1243,0))</f>
        <v/>
      </c>
      <c r="E1243" s="17" t="str">
        <f aca="false">IF($A1243="","",COUNTIFS(Orders!$C$2:$C$20001,$A1243,Orders!$E$2:$E$20001,"Prepaid",Orders!$F$2:$F$20001,"Delivered")+COUNTIFS(Orders!$C$2:$C$20001,$A1243,Orders!$E$2:$E$20001,"Prepaid",Orders!$F$2:$F$20001,"RTO"))</f>
        <v/>
      </c>
      <c r="F1243" s="17" t="str">
        <f aca="false">IF($A1243="","",COUNTIFS(Orders!$C$2:$C$20001,$A1243,Orders!$E$2:$E$20001,"Prepaid",Orders!$F$2:$F$20001,"RTO"))</f>
        <v/>
      </c>
      <c r="G1243" s="18" t="str">
        <f aca="false">IF($A1243="","",IFERROR(F1243/E1243,0))</f>
        <v/>
      </c>
      <c r="H1243" s="19" t="str">
        <f aca="false">IF($A1243="","",C1243*Settings!$B$11)</f>
        <v/>
      </c>
      <c r="I1243" s="20" t="str">
        <f aca="false">IF($A1243="","",IF(N(H1243)=0,"",RANK(H1243,$H$5:$H$2004)))</f>
        <v/>
      </c>
      <c r="J1243" s="21" t="str">
        <f aca="false">IF($A1243="","",IF(B1243=0,"No COD orders",IF(B1243&lt;Settings!$B$8,"Too few orders",IF(D1243&gt;=Settings!$B$9,"Restrict COD or verify","Keep COD"))))</f>
        <v/>
      </c>
    </row>
    <row r="1244" customFormat="false" ht="15" hidden="false" customHeight="false" outlineLevel="0" collapsed="false">
      <c r="A1244" s="27"/>
      <c r="B1244" s="17" t="str">
        <f aca="false">IF($A1244="","",COUNTIFS(Orders!$C$2:$C$20001,$A1244,Orders!$E$2:$E$20001,"COD",Orders!$F$2:$F$20001,"Delivered")+COUNTIFS(Orders!$C$2:$C$20001,$A1244,Orders!$E$2:$E$20001,"COD",Orders!$F$2:$F$20001,"RTO"))</f>
        <v/>
      </c>
      <c r="C1244" s="17" t="str">
        <f aca="false">IF($A1244="","",COUNTIFS(Orders!$C$2:$C$20001,$A1244,Orders!$E$2:$E$20001,"COD",Orders!$F$2:$F$20001,"RTO"))</f>
        <v/>
      </c>
      <c r="D1244" s="18" t="str">
        <f aca="false">IF($A1244="","",IFERROR(C1244/B1244,0))</f>
        <v/>
      </c>
      <c r="E1244" s="17" t="str">
        <f aca="false">IF($A1244="","",COUNTIFS(Orders!$C$2:$C$20001,$A1244,Orders!$E$2:$E$20001,"Prepaid",Orders!$F$2:$F$20001,"Delivered")+COUNTIFS(Orders!$C$2:$C$20001,$A1244,Orders!$E$2:$E$20001,"Prepaid",Orders!$F$2:$F$20001,"RTO"))</f>
        <v/>
      </c>
      <c r="F1244" s="17" t="str">
        <f aca="false">IF($A1244="","",COUNTIFS(Orders!$C$2:$C$20001,$A1244,Orders!$E$2:$E$20001,"Prepaid",Orders!$F$2:$F$20001,"RTO"))</f>
        <v/>
      </c>
      <c r="G1244" s="18" t="str">
        <f aca="false">IF($A1244="","",IFERROR(F1244/E1244,0))</f>
        <v/>
      </c>
      <c r="H1244" s="19" t="str">
        <f aca="false">IF($A1244="","",C1244*Settings!$B$11)</f>
        <v/>
      </c>
      <c r="I1244" s="20" t="str">
        <f aca="false">IF($A1244="","",IF(N(H1244)=0,"",RANK(H1244,$H$5:$H$2004)))</f>
        <v/>
      </c>
      <c r="J1244" s="21" t="str">
        <f aca="false">IF($A1244="","",IF(B1244=0,"No COD orders",IF(B1244&lt;Settings!$B$8,"Too few orders",IF(D1244&gt;=Settings!$B$9,"Restrict COD or verify","Keep COD"))))</f>
        <v/>
      </c>
    </row>
    <row r="1245" customFormat="false" ht="15" hidden="false" customHeight="false" outlineLevel="0" collapsed="false">
      <c r="A1245" s="27"/>
      <c r="B1245" s="17" t="str">
        <f aca="false">IF($A1245="","",COUNTIFS(Orders!$C$2:$C$20001,$A1245,Orders!$E$2:$E$20001,"COD",Orders!$F$2:$F$20001,"Delivered")+COUNTIFS(Orders!$C$2:$C$20001,$A1245,Orders!$E$2:$E$20001,"COD",Orders!$F$2:$F$20001,"RTO"))</f>
        <v/>
      </c>
      <c r="C1245" s="17" t="str">
        <f aca="false">IF($A1245="","",COUNTIFS(Orders!$C$2:$C$20001,$A1245,Orders!$E$2:$E$20001,"COD",Orders!$F$2:$F$20001,"RTO"))</f>
        <v/>
      </c>
      <c r="D1245" s="18" t="str">
        <f aca="false">IF($A1245="","",IFERROR(C1245/B1245,0))</f>
        <v/>
      </c>
      <c r="E1245" s="17" t="str">
        <f aca="false">IF($A1245="","",COUNTIFS(Orders!$C$2:$C$20001,$A1245,Orders!$E$2:$E$20001,"Prepaid",Orders!$F$2:$F$20001,"Delivered")+COUNTIFS(Orders!$C$2:$C$20001,$A1245,Orders!$E$2:$E$20001,"Prepaid",Orders!$F$2:$F$20001,"RTO"))</f>
        <v/>
      </c>
      <c r="F1245" s="17" t="str">
        <f aca="false">IF($A1245="","",COUNTIFS(Orders!$C$2:$C$20001,$A1245,Orders!$E$2:$E$20001,"Prepaid",Orders!$F$2:$F$20001,"RTO"))</f>
        <v/>
      </c>
      <c r="G1245" s="18" t="str">
        <f aca="false">IF($A1245="","",IFERROR(F1245/E1245,0))</f>
        <v/>
      </c>
      <c r="H1245" s="19" t="str">
        <f aca="false">IF($A1245="","",C1245*Settings!$B$11)</f>
        <v/>
      </c>
      <c r="I1245" s="20" t="str">
        <f aca="false">IF($A1245="","",IF(N(H1245)=0,"",RANK(H1245,$H$5:$H$2004)))</f>
        <v/>
      </c>
      <c r="J1245" s="21" t="str">
        <f aca="false">IF($A1245="","",IF(B1245=0,"No COD orders",IF(B1245&lt;Settings!$B$8,"Too few orders",IF(D1245&gt;=Settings!$B$9,"Restrict COD or verify","Keep COD"))))</f>
        <v/>
      </c>
    </row>
    <row r="1246" customFormat="false" ht="15" hidden="false" customHeight="false" outlineLevel="0" collapsed="false">
      <c r="A1246" s="27"/>
      <c r="B1246" s="17" t="str">
        <f aca="false">IF($A1246="","",COUNTIFS(Orders!$C$2:$C$20001,$A1246,Orders!$E$2:$E$20001,"COD",Orders!$F$2:$F$20001,"Delivered")+COUNTIFS(Orders!$C$2:$C$20001,$A1246,Orders!$E$2:$E$20001,"COD",Orders!$F$2:$F$20001,"RTO"))</f>
        <v/>
      </c>
      <c r="C1246" s="17" t="str">
        <f aca="false">IF($A1246="","",COUNTIFS(Orders!$C$2:$C$20001,$A1246,Orders!$E$2:$E$20001,"COD",Orders!$F$2:$F$20001,"RTO"))</f>
        <v/>
      </c>
      <c r="D1246" s="18" t="str">
        <f aca="false">IF($A1246="","",IFERROR(C1246/B1246,0))</f>
        <v/>
      </c>
      <c r="E1246" s="17" t="str">
        <f aca="false">IF($A1246="","",COUNTIFS(Orders!$C$2:$C$20001,$A1246,Orders!$E$2:$E$20001,"Prepaid",Orders!$F$2:$F$20001,"Delivered")+COUNTIFS(Orders!$C$2:$C$20001,$A1246,Orders!$E$2:$E$20001,"Prepaid",Orders!$F$2:$F$20001,"RTO"))</f>
        <v/>
      </c>
      <c r="F1246" s="17" t="str">
        <f aca="false">IF($A1246="","",COUNTIFS(Orders!$C$2:$C$20001,$A1246,Orders!$E$2:$E$20001,"Prepaid",Orders!$F$2:$F$20001,"RTO"))</f>
        <v/>
      </c>
      <c r="G1246" s="18" t="str">
        <f aca="false">IF($A1246="","",IFERROR(F1246/E1246,0))</f>
        <v/>
      </c>
      <c r="H1246" s="19" t="str">
        <f aca="false">IF($A1246="","",C1246*Settings!$B$11)</f>
        <v/>
      </c>
      <c r="I1246" s="20" t="str">
        <f aca="false">IF($A1246="","",IF(N(H1246)=0,"",RANK(H1246,$H$5:$H$2004)))</f>
        <v/>
      </c>
      <c r="J1246" s="21" t="str">
        <f aca="false">IF($A1246="","",IF(B1246=0,"No COD orders",IF(B1246&lt;Settings!$B$8,"Too few orders",IF(D1246&gt;=Settings!$B$9,"Restrict COD or verify","Keep COD"))))</f>
        <v/>
      </c>
    </row>
    <row r="1247" customFormat="false" ht="15" hidden="false" customHeight="false" outlineLevel="0" collapsed="false">
      <c r="A1247" s="27"/>
      <c r="B1247" s="17" t="str">
        <f aca="false">IF($A1247="","",COUNTIFS(Orders!$C$2:$C$20001,$A1247,Orders!$E$2:$E$20001,"COD",Orders!$F$2:$F$20001,"Delivered")+COUNTIFS(Orders!$C$2:$C$20001,$A1247,Orders!$E$2:$E$20001,"COD",Orders!$F$2:$F$20001,"RTO"))</f>
        <v/>
      </c>
      <c r="C1247" s="17" t="str">
        <f aca="false">IF($A1247="","",COUNTIFS(Orders!$C$2:$C$20001,$A1247,Orders!$E$2:$E$20001,"COD",Orders!$F$2:$F$20001,"RTO"))</f>
        <v/>
      </c>
      <c r="D1247" s="18" t="str">
        <f aca="false">IF($A1247="","",IFERROR(C1247/B1247,0))</f>
        <v/>
      </c>
      <c r="E1247" s="17" t="str">
        <f aca="false">IF($A1247="","",COUNTIFS(Orders!$C$2:$C$20001,$A1247,Orders!$E$2:$E$20001,"Prepaid",Orders!$F$2:$F$20001,"Delivered")+COUNTIFS(Orders!$C$2:$C$20001,$A1247,Orders!$E$2:$E$20001,"Prepaid",Orders!$F$2:$F$20001,"RTO"))</f>
        <v/>
      </c>
      <c r="F1247" s="17" t="str">
        <f aca="false">IF($A1247="","",COUNTIFS(Orders!$C$2:$C$20001,$A1247,Orders!$E$2:$E$20001,"Prepaid",Orders!$F$2:$F$20001,"RTO"))</f>
        <v/>
      </c>
      <c r="G1247" s="18" t="str">
        <f aca="false">IF($A1247="","",IFERROR(F1247/E1247,0))</f>
        <v/>
      </c>
      <c r="H1247" s="19" t="str">
        <f aca="false">IF($A1247="","",C1247*Settings!$B$11)</f>
        <v/>
      </c>
      <c r="I1247" s="20" t="str">
        <f aca="false">IF($A1247="","",IF(N(H1247)=0,"",RANK(H1247,$H$5:$H$2004)))</f>
        <v/>
      </c>
      <c r="J1247" s="21" t="str">
        <f aca="false">IF($A1247="","",IF(B1247=0,"No COD orders",IF(B1247&lt;Settings!$B$8,"Too few orders",IF(D1247&gt;=Settings!$B$9,"Restrict COD or verify","Keep COD"))))</f>
        <v/>
      </c>
    </row>
    <row r="1248" customFormat="false" ht="15" hidden="false" customHeight="false" outlineLevel="0" collapsed="false">
      <c r="A1248" s="27"/>
      <c r="B1248" s="17" t="str">
        <f aca="false">IF($A1248="","",COUNTIFS(Orders!$C$2:$C$20001,$A1248,Orders!$E$2:$E$20001,"COD",Orders!$F$2:$F$20001,"Delivered")+COUNTIFS(Orders!$C$2:$C$20001,$A1248,Orders!$E$2:$E$20001,"COD",Orders!$F$2:$F$20001,"RTO"))</f>
        <v/>
      </c>
      <c r="C1248" s="17" t="str">
        <f aca="false">IF($A1248="","",COUNTIFS(Orders!$C$2:$C$20001,$A1248,Orders!$E$2:$E$20001,"COD",Orders!$F$2:$F$20001,"RTO"))</f>
        <v/>
      </c>
      <c r="D1248" s="18" t="str">
        <f aca="false">IF($A1248="","",IFERROR(C1248/B1248,0))</f>
        <v/>
      </c>
      <c r="E1248" s="17" t="str">
        <f aca="false">IF($A1248="","",COUNTIFS(Orders!$C$2:$C$20001,$A1248,Orders!$E$2:$E$20001,"Prepaid",Orders!$F$2:$F$20001,"Delivered")+COUNTIFS(Orders!$C$2:$C$20001,$A1248,Orders!$E$2:$E$20001,"Prepaid",Orders!$F$2:$F$20001,"RTO"))</f>
        <v/>
      </c>
      <c r="F1248" s="17" t="str">
        <f aca="false">IF($A1248="","",COUNTIFS(Orders!$C$2:$C$20001,$A1248,Orders!$E$2:$E$20001,"Prepaid",Orders!$F$2:$F$20001,"RTO"))</f>
        <v/>
      </c>
      <c r="G1248" s="18" t="str">
        <f aca="false">IF($A1248="","",IFERROR(F1248/E1248,0))</f>
        <v/>
      </c>
      <c r="H1248" s="19" t="str">
        <f aca="false">IF($A1248="","",C1248*Settings!$B$11)</f>
        <v/>
      </c>
      <c r="I1248" s="20" t="str">
        <f aca="false">IF($A1248="","",IF(N(H1248)=0,"",RANK(H1248,$H$5:$H$2004)))</f>
        <v/>
      </c>
      <c r="J1248" s="21" t="str">
        <f aca="false">IF($A1248="","",IF(B1248=0,"No COD orders",IF(B1248&lt;Settings!$B$8,"Too few orders",IF(D1248&gt;=Settings!$B$9,"Restrict COD or verify","Keep COD"))))</f>
        <v/>
      </c>
    </row>
    <row r="1249" customFormat="false" ht="15" hidden="false" customHeight="false" outlineLevel="0" collapsed="false">
      <c r="A1249" s="27"/>
      <c r="B1249" s="17" t="str">
        <f aca="false">IF($A1249="","",COUNTIFS(Orders!$C$2:$C$20001,$A1249,Orders!$E$2:$E$20001,"COD",Orders!$F$2:$F$20001,"Delivered")+COUNTIFS(Orders!$C$2:$C$20001,$A1249,Orders!$E$2:$E$20001,"COD",Orders!$F$2:$F$20001,"RTO"))</f>
        <v/>
      </c>
      <c r="C1249" s="17" t="str">
        <f aca="false">IF($A1249="","",COUNTIFS(Orders!$C$2:$C$20001,$A1249,Orders!$E$2:$E$20001,"COD",Orders!$F$2:$F$20001,"RTO"))</f>
        <v/>
      </c>
      <c r="D1249" s="18" t="str">
        <f aca="false">IF($A1249="","",IFERROR(C1249/B1249,0))</f>
        <v/>
      </c>
      <c r="E1249" s="17" t="str">
        <f aca="false">IF($A1249="","",COUNTIFS(Orders!$C$2:$C$20001,$A1249,Orders!$E$2:$E$20001,"Prepaid",Orders!$F$2:$F$20001,"Delivered")+COUNTIFS(Orders!$C$2:$C$20001,$A1249,Orders!$E$2:$E$20001,"Prepaid",Orders!$F$2:$F$20001,"RTO"))</f>
        <v/>
      </c>
      <c r="F1249" s="17" t="str">
        <f aca="false">IF($A1249="","",COUNTIFS(Orders!$C$2:$C$20001,$A1249,Orders!$E$2:$E$20001,"Prepaid",Orders!$F$2:$F$20001,"RTO"))</f>
        <v/>
      </c>
      <c r="G1249" s="18" t="str">
        <f aca="false">IF($A1249="","",IFERROR(F1249/E1249,0))</f>
        <v/>
      </c>
      <c r="H1249" s="19" t="str">
        <f aca="false">IF($A1249="","",C1249*Settings!$B$11)</f>
        <v/>
      </c>
      <c r="I1249" s="20" t="str">
        <f aca="false">IF($A1249="","",IF(N(H1249)=0,"",RANK(H1249,$H$5:$H$2004)))</f>
        <v/>
      </c>
      <c r="J1249" s="21" t="str">
        <f aca="false">IF($A1249="","",IF(B1249=0,"No COD orders",IF(B1249&lt;Settings!$B$8,"Too few orders",IF(D1249&gt;=Settings!$B$9,"Restrict COD or verify","Keep COD"))))</f>
        <v/>
      </c>
    </row>
    <row r="1250" customFormat="false" ht="15" hidden="false" customHeight="false" outlineLevel="0" collapsed="false">
      <c r="A1250" s="27"/>
      <c r="B1250" s="17" t="str">
        <f aca="false">IF($A1250="","",COUNTIFS(Orders!$C$2:$C$20001,$A1250,Orders!$E$2:$E$20001,"COD",Orders!$F$2:$F$20001,"Delivered")+COUNTIFS(Orders!$C$2:$C$20001,$A1250,Orders!$E$2:$E$20001,"COD",Orders!$F$2:$F$20001,"RTO"))</f>
        <v/>
      </c>
      <c r="C1250" s="17" t="str">
        <f aca="false">IF($A1250="","",COUNTIFS(Orders!$C$2:$C$20001,$A1250,Orders!$E$2:$E$20001,"COD",Orders!$F$2:$F$20001,"RTO"))</f>
        <v/>
      </c>
      <c r="D1250" s="18" t="str">
        <f aca="false">IF($A1250="","",IFERROR(C1250/B1250,0))</f>
        <v/>
      </c>
      <c r="E1250" s="17" t="str">
        <f aca="false">IF($A1250="","",COUNTIFS(Orders!$C$2:$C$20001,$A1250,Orders!$E$2:$E$20001,"Prepaid",Orders!$F$2:$F$20001,"Delivered")+COUNTIFS(Orders!$C$2:$C$20001,$A1250,Orders!$E$2:$E$20001,"Prepaid",Orders!$F$2:$F$20001,"RTO"))</f>
        <v/>
      </c>
      <c r="F1250" s="17" t="str">
        <f aca="false">IF($A1250="","",COUNTIFS(Orders!$C$2:$C$20001,$A1250,Orders!$E$2:$E$20001,"Prepaid",Orders!$F$2:$F$20001,"RTO"))</f>
        <v/>
      </c>
      <c r="G1250" s="18" t="str">
        <f aca="false">IF($A1250="","",IFERROR(F1250/E1250,0))</f>
        <v/>
      </c>
      <c r="H1250" s="19" t="str">
        <f aca="false">IF($A1250="","",C1250*Settings!$B$11)</f>
        <v/>
      </c>
      <c r="I1250" s="20" t="str">
        <f aca="false">IF($A1250="","",IF(N(H1250)=0,"",RANK(H1250,$H$5:$H$2004)))</f>
        <v/>
      </c>
      <c r="J1250" s="21" t="str">
        <f aca="false">IF($A1250="","",IF(B1250=0,"No COD orders",IF(B1250&lt;Settings!$B$8,"Too few orders",IF(D1250&gt;=Settings!$B$9,"Restrict COD or verify","Keep COD"))))</f>
        <v/>
      </c>
    </row>
    <row r="1251" customFormat="false" ht="15" hidden="false" customHeight="false" outlineLevel="0" collapsed="false">
      <c r="A1251" s="27"/>
      <c r="B1251" s="17" t="str">
        <f aca="false">IF($A1251="","",COUNTIFS(Orders!$C$2:$C$20001,$A1251,Orders!$E$2:$E$20001,"COD",Orders!$F$2:$F$20001,"Delivered")+COUNTIFS(Orders!$C$2:$C$20001,$A1251,Orders!$E$2:$E$20001,"COD",Orders!$F$2:$F$20001,"RTO"))</f>
        <v/>
      </c>
      <c r="C1251" s="17" t="str">
        <f aca="false">IF($A1251="","",COUNTIFS(Orders!$C$2:$C$20001,$A1251,Orders!$E$2:$E$20001,"COD",Orders!$F$2:$F$20001,"RTO"))</f>
        <v/>
      </c>
      <c r="D1251" s="18" t="str">
        <f aca="false">IF($A1251="","",IFERROR(C1251/B1251,0))</f>
        <v/>
      </c>
      <c r="E1251" s="17" t="str">
        <f aca="false">IF($A1251="","",COUNTIFS(Orders!$C$2:$C$20001,$A1251,Orders!$E$2:$E$20001,"Prepaid",Orders!$F$2:$F$20001,"Delivered")+COUNTIFS(Orders!$C$2:$C$20001,$A1251,Orders!$E$2:$E$20001,"Prepaid",Orders!$F$2:$F$20001,"RTO"))</f>
        <v/>
      </c>
      <c r="F1251" s="17" t="str">
        <f aca="false">IF($A1251="","",COUNTIFS(Orders!$C$2:$C$20001,$A1251,Orders!$E$2:$E$20001,"Prepaid",Orders!$F$2:$F$20001,"RTO"))</f>
        <v/>
      </c>
      <c r="G1251" s="18" t="str">
        <f aca="false">IF($A1251="","",IFERROR(F1251/E1251,0))</f>
        <v/>
      </c>
      <c r="H1251" s="19" t="str">
        <f aca="false">IF($A1251="","",C1251*Settings!$B$11)</f>
        <v/>
      </c>
      <c r="I1251" s="20" t="str">
        <f aca="false">IF($A1251="","",IF(N(H1251)=0,"",RANK(H1251,$H$5:$H$2004)))</f>
        <v/>
      </c>
      <c r="J1251" s="21" t="str">
        <f aca="false">IF($A1251="","",IF(B1251=0,"No COD orders",IF(B1251&lt;Settings!$B$8,"Too few orders",IF(D1251&gt;=Settings!$B$9,"Restrict COD or verify","Keep COD"))))</f>
        <v/>
      </c>
    </row>
    <row r="1252" customFormat="false" ht="15" hidden="false" customHeight="false" outlineLevel="0" collapsed="false">
      <c r="A1252" s="27"/>
      <c r="B1252" s="17" t="str">
        <f aca="false">IF($A1252="","",COUNTIFS(Orders!$C$2:$C$20001,$A1252,Orders!$E$2:$E$20001,"COD",Orders!$F$2:$F$20001,"Delivered")+COUNTIFS(Orders!$C$2:$C$20001,$A1252,Orders!$E$2:$E$20001,"COD",Orders!$F$2:$F$20001,"RTO"))</f>
        <v/>
      </c>
      <c r="C1252" s="17" t="str">
        <f aca="false">IF($A1252="","",COUNTIFS(Orders!$C$2:$C$20001,$A1252,Orders!$E$2:$E$20001,"COD",Orders!$F$2:$F$20001,"RTO"))</f>
        <v/>
      </c>
      <c r="D1252" s="18" t="str">
        <f aca="false">IF($A1252="","",IFERROR(C1252/B1252,0))</f>
        <v/>
      </c>
      <c r="E1252" s="17" t="str">
        <f aca="false">IF($A1252="","",COUNTIFS(Orders!$C$2:$C$20001,$A1252,Orders!$E$2:$E$20001,"Prepaid",Orders!$F$2:$F$20001,"Delivered")+COUNTIFS(Orders!$C$2:$C$20001,$A1252,Orders!$E$2:$E$20001,"Prepaid",Orders!$F$2:$F$20001,"RTO"))</f>
        <v/>
      </c>
      <c r="F1252" s="17" t="str">
        <f aca="false">IF($A1252="","",COUNTIFS(Orders!$C$2:$C$20001,$A1252,Orders!$E$2:$E$20001,"Prepaid",Orders!$F$2:$F$20001,"RTO"))</f>
        <v/>
      </c>
      <c r="G1252" s="18" t="str">
        <f aca="false">IF($A1252="","",IFERROR(F1252/E1252,0))</f>
        <v/>
      </c>
      <c r="H1252" s="19" t="str">
        <f aca="false">IF($A1252="","",C1252*Settings!$B$11)</f>
        <v/>
      </c>
      <c r="I1252" s="20" t="str">
        <f aca="false">IF($A1252="","",IF(N(H1252)=0,"",RANK(H1252,$H$5:$H$2004)))</f>
        <v/>
      </c>
      <c r="J1252" s="21" t="str">
        <f aca="false">IF($A1252="","",IF(B1252=0,"No COD orders",IF(B1252&lt;Settings!$B$8,"Too few orders",IF(D1252&gt;=Settings!$B$9,"Restrict COD or verify","Keep COD"))))</f>
        <v/>
      </c>
    </row>
    <row r="1253" customFormat="false" ht="15" hidden="false" customHeight="false" outlineLevel="0" collapsed="false">
      <c r="A1253" s="27"/>
      <c r="B1253" s="17" t="str">
        <f aca="false">IF($A1253="","",COUNTIFS(Orders!$C$2:$C$20001,$A1253,Orders!$E$2:$E$20001,"COD",Orders!$F$2:$F$20001,"Delivered")+COUNTIFS(Orders!$C$2:$C$20001,$A1253,Orders!$E$2:$E$20001,"COD",Orders!$F$2:$F$20001,"RTO"))</f>
        <v/>
      </c>
      <c r="C1253" s="17" t="str">
        <f aca="false">IF($A1253="","",COUNTIFS(Orders!$C$2:$C$20001,$A1253,Orders!$E$2:$E$20001,"COD",Orders!$F$2:$F$20001,"RTO"))</f>
        <v/>
      </c>
      <c r="D1253" s="18" t="str">
        <f aca="false">IF($A1253="","",IFERROR(C1253/B1253,0))</f>
        <v/>
      </c>
      <c r="E1253" s="17" t="str">
        <f aca="false">IF($A1253="","",COUNTIFS(Orders!$C$2:$C$20001,$A1253,Orders!$E$2:$E$20001,"Prepaid",Orders!$F$2:$F$20001,"Delivered")+COUNTIFS(Orders!$C$2:$C$20001,$A1253,Orders!$E$2:$E$20001,"Prepaid",Orders!$F$2:$F$20001,"RTO"))</f>
        <v/>
      </c>
      <c r="F1253" s="17" t="str">
        <f aca="false">IF($A1253="","",COUNTIFS(Orders!$C$2:$C$20001,$A1253,Orders!$E$2:$E$20001,"Prepaid",Orders!$F$2:$F$20001,"RTO"))</f>
        <v/>
      </c>
      <c r="G1253" s="18" t="str">
        <f aca="false">IF($A1253="","",IFERROR(F1253/E1253,0))</f>
        <v/>
      </c>
      <c r="H1253" s="19" t="str">
        <f aca="false">IF($A1253="","",C1253*Settings!$B$11)</f>
        <v/>
      </c>
      <c r="I1253" s="20" t="str">
        <f aca="false">IF($A1253="","",IF(N(H1253)=0,"",RANK(H1253,$H$5:$H$2004)))</f>
        <v/>
      </c>
      <c r="J1253" s="21" t="str">
        <f aca="false">IF($A1253="","",IF(B1253=0,"No COD orders",IF(B1253&lt;Settings!$B$8,"Too few orders",IF(D1253&gt;=Settings!$B$9,"Restrict COD or verify","Keep COD"))))</f>
        <v/>
      </c>
    </row>
    <row r="1254" customFormat="false" ht="15" hidden="false" customHeight="false" outlineLevel="0" collapsed="false">
      <c r="A1254" s="27"/>
      <c r="B1254" s="17" t="str">
        <f aca="false">IF($A1254="","",COUNTIFS(Orders!$C$2:$C$20001,$A1254,Orders!$E$2:$E$20001,"COD",Orders!$F$2:$F$20001,"Delivered")+COUNTIFS(Orders!$C$2:$C$20001,$A1254,Orders!$E$2:$E$20001,"COD",Orders!$F$2:$F$20001,"RTO"))</f>
        <v/>
      </c>
      <c r="C1254" s="17" t="str">
        <f aca="false">IF($A1254="","",COUNTIFS(Orders!$C$2:$C$20001,$A1254,Orders!$E$2:$E$20001,"COD",Orders!$F$2:$F$20001,"RTO"))</f>
        <v/>
      </c>
      <c r="D1254" s="18" t="str">
        <f aca="false">IF($A1254="","",IFERROR(C1254/B1254,0))</f>
        <v/>
      </c>
      <c r="E1254" s="17" t="str">
        <f aca="false">IF($A1254="","",COUNTIFS(Orders!$C$2:$C$20001,$A1254,Orders!$E$2:$E$20001,"Prepaid",Orders!$F$2:$F$20001,"Delivered")+COUNTIFS(Orders!$C$2:$C$20001,$A1254,Orders!$E$2:$E$20001,"Prepaid",Orders!$F$2:$F$20001,"RTO"))</f>
        <v/>
      </c>
      <c r="F1254" s="17" t="str">
        <f aca="false">IF($A1254="","",COUNTIFS(Orders!$C$2:$C$20001,$A1254,Orders!$E$2:$E$20001,"Prepaid",Orders!$F$2:$F$20001,"RTO"))</f>
        <v/>
      </c>
      <c r="G1254" s="18" t="str">
        <f aca="false">IF($A1254="","",IFERROR(F1254/E1254,0))</f>
        <v/>
      </c>
      <c r="H1254" s="19" t="str">
        <f aca="false">IF($A1254="","",C1254*Settings!$B$11)</f>
        <v/>
      </c>
      <c r="I1254" s="20" t="str">
        <f aca="false">IF($A1254="","",IF(N(H1254)=0,"",RANK(H1254,$H$5:$H$2004)))</f>
        <v/>
      </c>
      <c r="J1254" s="21" t="str">
        <f aca="false">IF($A1254="","",IF(B1254=0,"No COD orders",IF(B1254&lt;Settings!$B$8,"Too few orders",IF(D1254&gt;=Settings!$B$9,"Restrict COD or verify","Keep COD"))))</f>
        <v/>
      </c>
    </row>
    <row r="1255" customFormat="false" ht="15" hidden="false" customHeight="false" outlineLevel="0" collapsed="false">
      <c r="A1255" s="27"/>
      <c r="B1255" s="17" t="str">
        <f aca="false">IF($A1255="","",COUNTIFS(Orders!$C$2:$C$20001,$A1255,Orders!$E$2:$E$20001,"COD",Orders!$F$2:$F$20001,"Delivered")+COUNTIFS(Orders!$C$2:$C$20001,$A1255,Orders!$E$2:$E$20001,"COD",Orders!$F$2:$F$20001,"RTO"))</f>
        <v/>
      </c>
      <c r="C1255" s="17" t="str">
        <f aca="false">IF($A1255="","",COUNTIFS(Orders!$C$2:$C$20001,$A1255,Orders!$E$2:$E$20001,"COD",Orders!$F$2:$F$20001,"RTO"))</f>
        <v/>
      </c>
      <c r="D1255" s="18" t="str">
        <f aca="false">IF($A1255="","",IFERROR(C1255/B1255,0))</f>
        <v/>
      </c>
      <c r="E1255" s="17" t="str">
        <f aca="false">IF($A1255="","",COUNTIFS(Orders!$C$2:$C$20001,$A1255,Orders!$E$2:$E$20001,"Prepaid",Orders!$F$2:$F$20001,"Delivered")+COUNTIFS(Orders!$C$2:$C$20001,$A1255,Orders!$E$2:$E$20001,"Prepaid",Orders!$F$2:$F$20001,"RTO"))</f>
        <v/>
      </c>
      <c r="F1255" s="17" t="str">
        <f aca="false">IF($A1255="","",COUNTIFS(Orders!$C$2:$C$20001,$A1255,Orders!$E$2:$E$20001,"Prepaid",Orders!$F$2:$F$20001,"RTO"))</f>
        <v/>
      </c>
      <c r="G1255" s="18" t="str">
        <f aca="false">IF($A1255="","",IFERROR(F1255/E1255,0))</f>
        <v/>
      </c>
      <c r="H1255" s="19" t="str">
        <f aca="false">IF($A1255="","",C1255*Settings!$B$11)</f>
        <v/>
      </c>
      <c r="I1255" s="20" t="str">
        <f aca="false">IF($A1255="","",IF(N(H1255)=0,"",RANK(H1255,$H$5:$H$2004)))</f>
        <v/>
      </c>
      <c r="J1255" s="21" t="str">
        <f aca="false">IF($A1255="","",IF(B1255=0,"No COD orders",IF(B1255&lt;Settings!$B$8,"Too few orders",IF(D1255&gt;=Settings!$B$9,"Restrict COD or verify","Keep COD"))))</f>
        <v/>
      </c>
    </row>
    <row r="1256" customFormat="false" ht="15" hidden="false" customHeight="false" outlineLevel="0" collapsed="false">
      <c r="A1256" s="27"/>
      <c r="B1256" s="17" t="str">
        <f aca="false">IF($A1256="","",COUNTIFS(Orders!$C$2:$C$20001,$A1256,Orders!$E$2:$E$20001,"COD",Orders!$F$2:$F$20001,"Delivered")+COUNTIFS(Orders!$C$2:$C$20001,$A1256,Orders!$E$2:$E$20001,"COD",Orders!$F$2:$F$20001,"RTO"))</f>
        <v/>
      </c>
      <c r="C1256" s="17" t="str">
        <f aca="false">IF($A1256="","",COUNTIFS(Orders!$C$2:$C$20001,$A1256,Orders!$E$2:$E$20001,"COD",Orders!$F$2:$F$20001,"RTO"))</f>
        <v/>
      </c>
      <c r="D1256" s="18" t="str">
        <f aca="false">IF($A1256="","",IFERROR(C1256/B1256,0))</f>
        <v/>
      </c>
      <c r="E1256" s="17" t="str">
        <f aca="false">IF($A1256="","",COUNTIFS(Orders!$C$2:$C$20001,$A1256,Orders!$E$2:$E$20001,"Prepaid",Orders!$F$2:$F$20001,"Delivered")+COUNTIFS(Orders!$C$2:$C$20001,$A1256,Orders!$E$2:$E$20001,"Prepaid",Orders!$F$2:$F$20001,"RTO"))</f>
        <v/>
      </c>
      <c r="F1256" s="17" t="str">
        <f aca="false">IF($A1256="","",COUNTIFS(Orders!$C$2:$C$20001,$A1256,Orders!$E$2:$E$20001,"Prepaid",Orders!$F$2:$F$20001,"RTO"))</f>
        <v/>
      </c>
      <c r="G1256" s="18" t="str">
        <f aca="false">IF($A1256="","",IFERROR(F1256/E1256,0))</f>
        <v/>
      </c>
      <c r="H1256" s="19" t="str">
        <f aca="false">IF($A1256="","",C1256*Settings!$B$11)</f>
        <v/>
      </c>
      <c r="I1256" s="20" t="str">
        <f aca="false">IF($A1256="","",IF(N(H1256)=0,"",RANK(H1256,$H$5:$H$2004)))</f>
        <v/>
      </c>
      <c r="J1256" s="21" t="str">
        <f aca="false">IF($A1256="","",IF(B1256=0,"No COD orders",IF(B1256&lt;Settings!$B$8,"Too few orders",IF(D1256&gt;=Settings!$B$9,"Restrict COD or verify","Keep COD"))))</f>
        <v/>
      </c>
    </row>
    <row r="1257" customFormat="false" ht="15" hidden="false" customHeight="false" outlineLevel="0" collapsed="false">
      <c r="A1257" s="27"/>
      <c r="B1257" s="17" t="str">
        <f aca="false">IF($A1257="","",COUNTIFS(Orders!$C$2:$C$20001,$A1257,Orders!$E$2:$E$20001,"COD",Orders!$F$2:$F$20001,"Delivered")+COUNTIFS(Orders!$C$2:$C$20001,$A1257,Orders!$E$2:$E$20001,"COD",Orders!$F$2:$F$20001,"RTO"))</f>
        <v/>
      </c>
      <c r="C1257" s="17" t="str">
        <f aca="false">IF($A1257="","",COUNTIFS(Orders!$C$2:$C$20001,$A1257,Orders!$E$2:$E$20001,"COD",Orders!$F$2:$F$20001,"RTO"))</f>
        <v/>
      </c>
      <c r="D1257" s="18" t="str">
        <f aca="false">IF($A1257="","",IFERROR(C1257/B1257,0))</f>
        <v/>
      </c>
      <c r="E1257" s="17" t="str">
        <f aca="false">IF($A1257="","",COUNTIFS(Orders!$C$2:$C$20001,$A1257,Orders!$E$2:$E$20001,"Prepaid",Orders!$F$2:$F$20001,"Delivered")+COUNTIFS(Orders!$C$2:$C$20001,$A1257,Orders!$E$2:$E$20001,"Prepaid",Orders!$F$2:$F$20001,"RTO"))</f>
        <v/>
      </c>
      <c r="F1257" s="17" t="str">
        <f aca="false">IF($A1257="","",COUNTIFS(Orders!$C$2:$C$20001,$A1257,Orders!$E$2:$E$20001,"Prepaid",Orders!$F$2:$F$20001,"RTO"))</f>
        <v/>
      </c>
      <c r="G1257" s="18" t="str">
        <f aca="false">IF($A1257="","",IFERROR(F1257/E1257,0))</f>
        <v/>
      </c>
      <c r="H1257" s="19" t="str">
        <f aca="false">IF($A1257="","",C1257*Settings!$B$11)</f>
        <v/>
      </c>
      <c r="I1257" s="20" t="str">
        <f aca="false">IF($A1257="","",IF(N(H1257)=0,"",RANK(H1257,$H$5:$H$2004)))</f>
        <v/>
      </c>
      <c r="J1257" s="21" t="str">
        <f aca="false">IF($A1257="","",IF(B1257=0,"No COD orders",IF(B1257&lt;Settings!$B$8,"Too few orders",IF(D1257&gt;=Settings!$B$9,"Restrict COD or verify","Keep COD"))))</f>
        <v/>
      </c>
    </row>
    <row r="1258" customFormat="false" ht="15" hidden="false" customHeight="false" outlineLevel="0" collapsed="false">
      <c r="A1258" s="27"/>
      <c r="B1258" s="17" t="str">
        <f aca="false">IF($A1258="","",COUNTIFS(Orders!$C$2:$C$20001,$A1258,Orders!$E$2:$E$20001,"COD",Orders!$F$2:$F$20001,"Delivered")+COUNTIFS(Orders!$C$2:$C$20001,$A1258,Orders!$E$2:$E$20001,"COD",Orders!$F$2:$F$20001,"RTO"))</f>
        <v/>
      </c>
      <c r="C1258" s="17" t="str">
        <f aca="false">IF($A1258="","",COUNTIFS(Orders!$C$2:$C$20001,$A1258,Orders!$E$2:$E$20001,"COD",Orders!$F$2:$F$20001,"RTO"))</f>
        <v/>
      </c>
      <c r="D1258" s="18" t="str">
        <f aca="false">IF($A1258="","",IFERROR(C1258/B1258,0))</f>
        <v/>
      </c>
      <c r="E1258" s="17" t="str">
        <f aca="false">IF($A1258="","",COUNTIFS(Orders!$C$2:$C$20001,$A1258,Orders!$E$2:$E$20001,"Prepaid",Orders!$F$2:$F$20001,"Delivered")+COUNTIFS(Orders!$C$2:$C$20001,$A1258,Orders!$E$2:$E$20001,"Prepaid",Orders!$F$2:$F$20001,"RTO"))</f>
        <v/>
      </c>
      <c r="F1258" s="17" t="str">
        <f aca="false">IF($A1258="","",COUNTIFS(Orders!$C$2:$C$20001,$A1258,Orders!$E$2:$E$20001,"Prepaid",Orders!$F$2:$F$20001,"RTO"))</f>
        <v/>
      </c>
      <c r="G1258" s="18" t="str">
        <f aca="false">IF($A1258="","",IFERROR(F1258/E1258,0))</f>
        <v/>
      </c>
      <c r="H1258" s="19" t="str">
        <f aca="false">IF($A1258="","",C1258*Settings!$B$11)</f>
        <v/>
      </c>
      <c r="I1258" s="20" t="str">
        <f aca="false">IF($A1258="","",IF(N(H1258)=0,"",RANK(H1258,$H$5:$H$2004)))</f>
        <v/>
      </c>
      <c r="J1258" s="21" t="str">
        <f aca="false">IF($A1258="","",IF(B1258=0,"No COD orders",IF(B1258&lt;Settings!$B$8,"Too few orders",IF(D1258&gt;=Settings!$B$9,"Restrict COD or verify","Keep COD"))))</f>
        <v/>
      </c>
    </row>
    <row r="1259" customFormat="false" ht="15" hidden="false" customHeight="false" outlineLevel="0" collapsed="false">
      <c r="A1259" s="27"/>
      <c r="B1259" s="17" t="str">
        <f aca="false">IF($A1259="","",COUNTIFS(Orders!$C$2:$C$20001,$A1259,Orders!$E$2:$E$20001,"COD",Orders!$F$2:$F$20001,"Delivered")+COUNTIFS(Orders!$C$2:$C$20001,$A1259,Orders!$E$2:$E$20001,"COD",Orders!$F$2:$F$20001,"RTO"))</f>
        <v/>
      </c>
      <c r="C1259" s="17" t="str">
        <f aca="false">IF($A1259="","",COUNTIFS(Orders!$C$2:$C$20001,$A1259,Orders!$E$2:$E$20001,"COD",Orders!$F$2:$F$20001,"RTO"))</f>
        <v/>
      </c>
      <c r="D1259" s="18" t="str">
        <f aca="false">IF($A1259="","",IFERROR(C1259/B1259,0))</f>
        <v/>
      </c>
      <c r="E1259" s="17" t="str">
        <f aca="false">IF($A1259="","",COUNTIFS(Orders!$C$2:$C$20001,$A1259,Orders!$E$2:$E$20001,"Prepaid",Orders!$F$2:$F$20001,"Delivered")+COUNTIFS(Orders!$C$2:$C$20001,$A1259,Orders!$E$2:$E$20001,"Prepaid",Orders!$F$2:$F$20001,"RTO"))</f>
        <v/>
      </c>
      <c r="F1259" s="17" t="str">
        <f aca="false">IF($A1259="","",COUNTIFS(Orders!$C$2:$C$20001,$A1259,Orders!$E$2:$E$20001,"Prepaid",Orders!$F$2:$F$20001,"RTO"))</f>
        <v/>
      </c>
      <c r="G1259" s="18" t="str">
        <f aca="false">IF($A1259="","",IFERROR(F1259/E1259,0))</f>
        <v/>
      </c>
      <c r="H1259" s="19" t="str">
        <f aca="false">IF($A1259="","",C1259*Settings!$B$11)</f>
        <v/>
      </c>
      <c r="I1259" s="20" t="str">
        <f aca="false">IF($A1259="","",IF(N(H1259)=0,"",RANK(H1259,$H$5:$H$2004)))</f>
        <v/>
      </c>
      <c r="J1259" s="21" t="str">
        <f aca="false">IF($A1259="","",IF(B1259=0,"No COD orders",IF(B1259&lt;Settings!$B$8,"Too few orders",IF(D1259&gt;=Settings!$B$9,"Restrict COD or verify","Keep COD"))))</f>
        <v/>
      </c>
    </row>
    <row r="1260" customFormat="false" ht="15" hidden="false" customHeight="false" outlineLevel="0" collapsed="false">
      <c r="A1260" s="27"/>
      <c r="B1260" s="17" t="str">
        <f aca="false">IF($A1260="","",COUNTIFS(Orders!$C$2:$C$20001,$A1260,Orders!$E$2:$E$20001,"COD",Orders!$F$2:$F$20001,"Delivered")+COUNTIFS(Orders!$C$2:$C$20001,$A1260,Orders!$E$2:$E$20001,"COD",Orders!$F$2:$F$20001,"RTO"))</f>
        <v/>
      </c>
      <c r="C1260" s="17" t="str">
        <f aca="false">IF($A1260="","",COUNTIFS(Orders!$C$2:$C$20001,$A1260,Orders!$E$2:$E$20001,"COD",Orders!$F$2:$F$20001,"RTO"))</f>
        <v/>
      </c>
      <c r="D1260" s="18" t="str">
        <f aca="false">IF($A1260="","",IFERROR(C1260/B1260,0))</f>
        <v/>
      </c>
      <c r="E1260" s="17" t="str">
        <f aca="false">IF($A1260="","",COUNTIFS(Orders!$C$2:$C$20001,$A1260,Orders!$E$2:$E$20001,"Prepaid",Orders!$F$2:$F$20001,"Delivered")+COUNTIFS(Orders!$C$2:$C$20001,$A1260,Orders!$E$2:$E$20001,"Prepaid",Orders!$F$2:$F$20001,"RTO"))</f>
        <v/>
      </c>
      <c r="F1260" s="17" t="str">
        <f aca="false">IF($A1260="","",COUNTIFS(Orders!$C$2:$C$20001,$A1260,Orders!$E$2:$E$20001,"Prepaid",Orders!$F$2:$F$20001,"RTO"))</f>
        <v/>
      </c>
      <c r="G1260" s="18" t="str">
        <f aca="false">IF($A1260="","",IFERROR(F1260/E1260,0))</f>
        <v/>
      </c>
      <c r="H1260" s="19" t="str">
        <f aca="false">IF($A1260="","",C1260*Settings!$B$11)</f>
        <v/>
      </c>
      <c r="I1260" s="20" t="str">
        <f aca="false">IF($A1260="","",IF(N(H1260)=0,"",RANK(H1260,$H$5:$H$2004)))</f>
        <v/>
      </c>
      <c r="J1260" s="21" t="str">
        <f aca="false">IF($A1260="","",IF(B1260=0,"No COD orders",IF(B1260&lt;Settings!$B$8,"Too few orders",IF(D1260&gt;=Settings!$B$9,"Restrict COD or verify","Keep COD"))))</f>
        <v/>
      </c>
    </row>
    <row r="1261" customFormat="false" ht="15" hidden="false" customHeight="false" outlineLevel="0" collapsed="false">
      <c r="A1261" s="27"/>
      <c r="B1261" s="17" t="str">
        <f aca="false">IF($A1261="","",COUNTIFS(Orders!$C$2:$C$20001,$A1261,Orders!$E$2:$E$20001,"COD",Orders!$F$2:$F$20001,"Delivered")+COUNTIFS(Orders!$C$2:$C$20001,$A1261,Orders!$E$2:$E$20001,"COD",Orders!$F$2:$F$20001,"RTO"))</f>
        <v/>
      </c>
      <c r="C1261" s="17" t="str">
        <f aca="false">IF($A1261="","",COUNTIFS(Orders!$C$2:$C$20001,$A1261,Orders!$E$2:$E$20001,"COD",Orders!$F$2:$F$20001,"RTO"))</f>
        <v/>
      </c>
      <c r="D1261" s="18" t="str">
        <f aca="false">IF($A1261="","",IFERROR(C1261/B1261,0))</f>
        <v/>
      </c>
      <c r="E1261" s="17" t="str">
        <f aca="false">IF($A1261="","",COUNTIFS(Orders!$C$2:$C$20001,$A1261,Orders!$E$2:$E$20001,"Prepaid",Orders!$F$2:$F$20001,"Delivered")+COUNTIFS(Orders!$C$2:$C$20001,$A1261,Orders!$E$2:$E$20001,"Prepaid",Orders!$F$2:$F$20001,"RTO"))</f>
        <v/>
      </c>
      <c r="F1261" s="17" t="str">
        <f aca="false">IF($A1261="","",COUNTIFS(Orders!$C$2:$C$20001,$A1261,Orders!$E$2:$E$20001,"Prepaid",Orders!$F$2:$F$20001,"RTO"))</f>
        <v/>
      </c>
      <c r="G1261" s="18" t="str">
        <f aca="false">IF($A1261="","",IFERROR(F1261/E1261,0))</f>
        <v/>
      </c>
      <c r="H1261" s="19" t="str">
        <f aca="false">IF($A1261="","",C1261*Settings!$B$11)</f>
        <v/>
      </c>
      <c r="I1261" s="20" t="str">
        <f aca="false">IF($A1261="","",IF(N(H1261)=0,"",RANK(H1261,$H$5:$H$2004)))</f>
        <v/>
      </c>
      <c r="J1261" s="21" t="str">
        <f aca="false">IF($A1261="","",IF(B1261=0,"No COD orders",IF(B1261&lt;Settings!$B$8,"Too few orders",IF(D1261&gt;=Settings!$B$9,"Restrict COD or verify","Keep COD"))))</f>
        <v/>
      </c>
    </row>
    <row r="1262" customFormat="false" ht="15" hidden="false" customHeight="false" outlineLevel="0" collapsed="false">
      <c r="A1262" s="27"/>
      <c r="B1262" s="17" t="str">
        <f aca="false">IF($A1262="","",COUNTIFS(Orders!$C$2:$C$20001,$A1262,Orders!$E$2:$E$20001,"COD",Orders!$F$2:$F$20001,"Delivered")+COUNTIFS(Orders!$C$2:$C$20001,$A1262,Orders!$E$2:$E$20001,"COD",Orders!$F$2:$F$20001,"RTO"))</f>
        <v/>
      </c>
      <c r="C1262" s="17" t="str">
        <f aca="false">IF($A1262="","",COUNTIFS(Orders!$C$2:$C$20001,$A1262,Orders!$E$2:$E$20001,"COD",Orders!$F$2:$F$20001,"RTO"))</f>
        <v/>
      </c>
      <c r="D1262" s="18" t="str">
        <f aca="false">IF($A1262="","",IFERROR(C1262/B1262,0))</f>
        <v/>
      </c>
      <c r="E1262" s="17" t="str">
        <f aca="false">IF($A1262="","",COUNTIFS(Orders!$C$2:$C$20001,$A1262,Orders!$E$2:$E$20001,"Prepaid",Orders!$F$2:$F$20001,"Delivered")+COUNTIFS(Orders!$C$2:$C$20001,$A1262,Orders!$E$2:$E$20001,"Prepaid",Orders!$F$2:$F$20001,"RTO"))</f>
        <v/>
      </c>
      <c r="F1262" s="17" t="str">
        <f aca="false">IF($A1262="","",COUNTIFS(Orders!$C$2:$C$20001,$A1262,Orders!$E$2:$E$20001,"Prepaid",Orders!$F$2:$F$20001,"RTO"))</f>
        <v/>
      </c>
      <c r="G1262" s="18" t="str">
        <f aca="false">IF($A1262="","",IFERROR(F1262/E1262,0))</f>
        <v/>
      </c>
      <c r="H1262" s="19" t="str">
        <f aca="false">IF($A1262="","",C1262*Settings!$B$11)</f>
        <v/>
      </c>
      <c r="I1262" s="20" t="str">
        <f aca="false">IF($A1262="","",IF(N(H1262)=0,"",RANK(H1262,$H$5:$H$2004)))</f>
        <v/>
      </c>
      <c r="J1262" s="21" t="str">
        <f aca="false">IF($A1262="","",IF(B1262=0,"No COD orders",IF(B1262&lt;Settings!$B$8,"Too few orders",IF(D1262&gt;=Settings!$B$9,"Restrict COD or verify","Keep COD"))))</f>
        <v/>
      </c>
    </row>
    <row r="1263" customFormat="false" ht="15" hidden="false" customHeight="false" outlineLevel="0" collapsed="false">
      <c r="A1263" s="27"/>
      <c r="B1263" s="17" t="str">
        <f aca="false">IF($A1263="","",COUNTIFS(Orders!$C$2:$C$20001,$A1263,Orders!$E$2:$E$20001,"COD",Orders!$F$2:$F$20001,"Delivered")+COUNTIFS(Orders!$C$2:$C$20001,$A1263,Orders!$E$2:$E$20001,"COD",Orders!$F$2:$F$20001,"RTO"))</f>
        <v/>
      </c>
      <c r="C1263" s="17" t="str">
        <f aca="false">IF($A1263="","",COUNTIFS(Orders!$C$2:$C$20001,$A1263,Orders!$E$2:$E$20001,"COD",Orders!$F$2:$F$20001,"RTO"))</f>
        <v/>
      </c>
      <c r="D1263" s="18" t="str">
        <f aca="false">IF($A1263="","",IFERROR(C1263/B1263,0))</f>
        <v/>
      </c>
      <c r="E1263" s="17" t="str">
        <f aca="false">IF($A1263="","",COUNTIFS(Orders!$C$2:$C$20001,$A1263,Orders!$E$2:$E$20001,"Prepaid",Orders!$F$2:$F$20001,"Delivered")+COUNTIFS(Orders!$C$2:$C$20001,$A1263,Orders!$E$2:$E$20001,"Prepaid",Orders!$F$2:$F$20001,"RTO"))</f>
        <v/>
      </c>
      <c r="F1263" s="17" t="str">
        <f aca="false">IF($A1263="","",COUNTIFS(Orders!$C$2:$C$20001,$A1263,Orders!$E$2:$E$20001,"Prepaid",Orders!$F$2:$F$20001,"RTO"))</f>
        <v/>
      </c>
      <c r="G1263" s="18" t="str">
        <f aca="false">IF($A1263="","",IFERROR(F1263/E1263,0))</f>
        <v/>
      </c>
      <c r="H1263" s="19" t="str">
        <f aca="false">IF($A1263="","",C1263*Settings!$B$11)</f>
        <v/>
      </c>
      <c r="I1263" s="20" t="str">
        <f aca="false">IF($A1263="","",IF(N(H1263)=0,"",RANK(H1263,$H$5:$H$2004)))</f>
        <v/>
      </c>
      <c r="J1263" s="21" t="str">
        <f aca="false">IF($A1263="","",IF(B1263=0,"No COD orders",IF(B1263&lt;Settings!$B$8,"Too few orders",IF(D1263&gt;=Settings!$B$9,"Restrict COD or verify","Keep COD"))))</f>
        <v/>
      </c>
    </row>
    <row r="1264" customFormat="false" ht="15" hidden="false" customHeight="false" outlineLevel="0" collapsed="false">
      <c r="A1264" s="27"/>
      <c r="B1264" s="17" t="str">
        <f aca="false">IF($A1264="","",COUNTIFS(Orders!$C$2:$C$20001,$A1264,Orders!$E$2:$E$20001,"COD",Orders!$F$2:$F$20001,"Delivered")+COUNTIFS(Orders!$C$2:$C$20001,$A1264,Orders!$E$2:$E$20001,"COD",Orders!$F$2:$F$20001,"RTO"))</f>
        <v/>
      </c>
      <c r="C1264" s="17" t="str">
        <f aca="false">IF($A1264="","",COUNTIFS(Orders!$C$2:$C$20001,$A1264,Orders!$E$2:$E$20001,"COD",Orders!$F$2:$F$20001,"RTO"))</f>
        <v/>
      </c>
      <c r="D1264" s="18" t="str">
        <f aca="false">IF($A1264="","",IFERROR(C1264/B1264,0))</f>
        <v/>
      </c>
      <c r="E1264" s="17" t="str">
        <f aca="false">IF($A1264="","",COUNTIFS(Orders!$C$2:$C$20001,$A1264,Orders!$E$2:$E$20001,"Prepaid",Orders!$F$2:$F$20001,"Delivered")+COUNTIFS(Orders!$C$2:$C$20001,$A1264,Orders!$E$2:$E$20001,"Prepaid",Orders!$F$2:$F$20001,"RTO"))</f>
        <v/>
      </c>
      <c r="F1264" s="17" t="str">
        <f aca="false">IF($A1264="","",COUNTIFS(Orders!$C$2:$C$20001,$A1264,Orders!$E$2:$E$20001,"Prepaid",Orders!$F$2:$F$20001,"RTO"))</f>
        <v/>
      </c>
      <c r="G1264" s="18" t="str">
        <f aca="false">IF($A1264="","",IFERROR(F1264/E1264,0))</f>
        <v/>
      </c>
      <c r="H1264" s="19" t="str">
        <f aca="false">IF($A1264="","",C1264*Settings!$B$11)</f>
        <v/>
      </c>
      <c r="I1264" s="20" t="str">
        <f aca="false">IF($A1264="","",IF(N(H1264)=0,"",RANK(H1264,$H$5:$H$2004)))</f>
        <v/>
      </c>
      <c r="J1264" s="21" t="str">
        <f aca="false">IF($A1264="","",IF(B1264=0,"No COD orders",IF(B1264&lt;Settings!$B$8,"Too few orders",IF(D1264&gt;=Settings!$B$9,"Restrict COD or verify","Keep COD"))))</f>
        <v/>
      </c>
    </row>
    <row r="1265" customFormat="false" ht="15" hidden="false" customHeight="false" outlineLevel="0" collapsed="false">
      <c r="A1265" s="27"/>
      <c r="B1265" s="17" t="str">
        <f aca="false">IF($A1265="","",COUNTIFS(Orders!$C$2:$C$20001,$A1265,Orders!$E$2:$E$20001,"COD",Orders!$F$2:$F$20001,"Delivered")+COUNTIFS(Orders!$C$2:$C$20001,$A1265,Orders!$E$2:$E$20001,"COD",Orders!$F$2:$F$20001,"RTO"))</f>
        <v/>
      </c>
      <c r="C1265" s="17" t="str">
        <f aca="false">IF($A1265="","",COUNTIFS(Orders!$C$2:$C$20001,$A1265,Orders!$E$2:$E$20001,"COD",Orders!$F$2:$F$20001,"RTO"))</f>
        <v/>
      </c>
      <c r="D1265" s="18" t="str">
        <f aca="false">IF($A1265="","",IFERROR(C1265/B1265,0))</f>
        <v/>
      </c>
      <c r="E1265" s="17" t="str">
        <f aca="false">IF($A1265="","",COUNTIFS(Orders!$C$2:$C$20001,$A1265,Orders!$E$2:$E$20001,"Prepaid",Orders!$F$2:$F$20001,"Delivered")+COUNTIFS(Orders!$C$2:$C$20001,$A1265,Orders!$E$2:$E$20001,"Prepaid",Orders!$F$2:$F$20001,"RTO"))</f>
        <v/>
      </c>
      <c r="F1265" s="17" t="str">
        <f aca="false">IF($A1265="","",COUNTIFS(Orders!$C$2:$C$20001,$A1265,Orders!$E$2:$E$20001,"Prepaid",Orders!$F$2:$F$20001,"RTO"))</f>
        <v/>
      </c>
      <c r="G1265" s="18" t="str">
        <f aca="false">IF($A1265="","",IFERROR(F1265/E1265,0))</f>
        <v/>
      </c>
      <c r="H1265" s="19" t="str">
        <f aca="false">IF($A1265="","",C1265*Settings!$B$11)</f>
        <v/>
      </c>
      <c r="I1265" s="20" t="str">
        <f aca="false">IF($A1265="","",IF(N(H1265)=0,"",RANK(H1265,$H$5:$H$2004)))</f>
        <v/>
      </c>
      <c r="J1265" s="21" t="str">
        <f aca="false">IF($A1265="","",IF(B1265=0,"No COD orders",IF(B1265&lt;Settings!$B$8,"Too few orders",IF(D1265&gt;=Settings!$B$9,"Restrict COD or verify","Keep COD"))))</f>
        <v/>
      </c>
    </row>
    <row r="1266" customFormat="false" ht="15" hidden="false" customHeight="false" outlineLevel="0" collapsed="false">
      <c r="A1266" s="27"/>
      <c r="B1266" s="17" t="str">
        <f aca="false">IF($A1266="","",COUNTIFS(Orders!$C$2:$C$20001,$A1266,Orders!$E$2:$E$20001,"COD",Orders!$F$2:$F$20001,"Delivered")+COUNTIFS(Orders!$C$2:$C$20001,$A1266,Orders!$E$2:$E$20001,"COD",Orders!$F$2:$F$20001,"RTO"))</f>
        <v/>
      </c>
      <c r="C1266" s="17" t="str">
        <f aca="false">IF($A1266="","",COUNTIFS(Orders!$C$2:$C$20001,$A1266,Orders!$E$2:$E$20001,"COD",Orders!$F$2:$F$20001,"RTO"))</f>
        <v/>
      </c>
      <c r="D1266" s="18" t="str">
        <f aca="false">IF($A1266="","",IFERROR(C1266/B1266,0))</f>
        <v/>
      </c>
      <c r="E1266" s="17" t="str">
        <f aca="false">IF($A1266="","",COUNTIFS(Orders!$C$2:$C$20001,$A1266,Orders!$E$2:$E$20001,"Prepaid",Orders!$F$2:$F$20001,"Delivered")+COUNTIFS(Orders!$C$2:$C$20001,$A1266,Orders!$E$2:$E$20001,"Prepaid",Orders!$F$2:$F$20001,"RTO"))</f>
        <v/>
      </c>
      <c r="F1266" s="17" t="str">
        <f aca="false">IF($A1266="","",COUNTIFS(Orders!$C$2:$C$20001,$A1266,Orders!$E$2:$E$20001,"Prepaid",Orders!$F$2:$F$20001,"RTO"))</f>
        <v/>
      </c>
      <c r="G1266" s="18" t="str">
        <f aca="false">IF($A1266="","",IFERROR(F1266/E1266,0))</f>
        <v/>
      </c>
      <c r="H1266" s="19" t="str">
        <f aca="false">IF($A1266="","",C1266*Settings!$B$11)</f>
        <v/>
      </c>
      <c r="I1266" s="20" t="str">
        <f aca="false">IF($A1266="","",IF(N(H1266)=0,"",RANK(H1266,$H$5:$H$2004)))</f>
        <v/>
      </c>
      <c r="J1266" s="21" t="str">
        <f aca="false">IF($A1266="","",IF(B1266=0,"No COD orders",IF(B1266&lt;Settings!$B$8,"Too few orders",IF(D1266&gt;=Settings!$B$9,"Restrict COD or verify","Keep COD"))))</f>
        <v/>
      </c>
    </row>
    <row r="1267" customFormat="false" ht="15" hidden="false" customHeight="false" outlineLevel="0" collapsed="false">
      <c r="A1267" s="27"/>
      <c r="B1267" s="17" t="str">
        <f aca="false">IF($A1267="","",COUNTIFS(Orders!$C$2:$C$20001,$A1267,Orders!$E$2:$E$20001,"COD",Orders!$F$2:$F$20001,"Delivered")+COUNTIFS(Orders!$C$2:$C$20001,$A1267,Orders!$E$2:$E$20001,"COD",Orders!$F$2:$F$20001,"RTO"))</f>
        <v/>
      </c>
      <c r="C1267" s="17" t="str">
        <f aca="false">IF($A1267="","",COUNTIFS(Orders!$C$2:$C$20001,$A1267,Orders!$E$2:$E$20001,"COD",Orders!$F$2:$F$20001,"RTO"))</f>
        <v/>
      </c>
      <c r="D1267" s="18" t="str">
        <f aca="false">IF($A1267="","",IFERROR(C1267/B1267,0))</f>
        <v/>
      </c>
      <c r="E1267" s="17" t="str">
        <f aca="false">IF($A1267="","",COUNTIFS(Orders!$C$2:$C$20001,$A1267,Orders!$E$2:$E$20001,"Prepaid",Orders!$F$2:$F$20001,"Delivered")+COUNTIFS(Orders!$C$2:$C$20001,$A1267,Orders!$E$2:$E$20001,"Prepaid",Orders!$F$2:$F$20001,"RTO"))</f>
        <v/>
      </c>
      <c r="F1267" s="17" t="str">
        <f aca="false">IF($A1267="","",COUNTIFS(Orders!$C$2:$C$20001,$A1267,Orders!$E$2:$E$20001,"Prepaid",Orders!$F$2:$F$20001,"RTO"))</f>
        <v/>
      </c>
      <c r="G1267" s="18" t="str">
        <f aca="false">IF($A1267="","",IFERROR(F1267/E1267,0))</f>
        <v/>
      </c>
      <c r="H1267" s="19" t="str">
        <f aca="false">IF($A1267="","",C1267*Settings!$B$11)</f>
        <v/>
      </c>
      <c r="I1267" s="20" t="str">
        <f aca="false">IF($A1267="","",IF(N(H1267)=0,"",RANK(H1267,$H$5:$H$2004)))</f>
        <v/>
      </c>
      <c r="J1267" s="21" t="str">
        <f aca="false">IF($A1267="","",IF(B1267=0,"No COD orders",IF(B1267&lt;Settings!$B$8,"Too few orders",IF(D1267&gt;=Settings!$B$9,"Restrict COD or verify","Keep COD"))))</f>
        <v/>
      </c>
    </row>
    <row r="1268" customFormat="false" ht="15" hidden="false" customHeight="false" outlineLevel="0" collapsed="false">
      <c r="A1268" s="27"/>
      <c r="B1268" s="17" t="str">
        <f aca="false">IF($A1268="","",COUNTIFS(Orders!$C$2:$C$20001,$A1268,Orders!$E$2:$E$20001,"COD",Orders!$F$2:$F$20001,"Delivered")+COUNTIFS(Orders!$C$2:$C$20001,$A1268,Orders!$E$2:$E$20001,"COD",Orders!$F$2:$F$20001,"RTO"))</f>
        <v/>
      </c>
      <c r="C1268" s="17" t="str">
        <f aca="false">IF($A1268="","",COUNTIFS(Orders!$C$2:$C$20001,$A1268,Orders!$E$2:$E$20001,"COD",Orders!$F$2:$F$20001,"RTO"))</f>
        <v/>
      </c>
      <c r="D1268" s="18" t="str">
        <f aca="false">IF($A1268="","",IFERROR(C1268/B1268,0))</f>
        <v/>
      </c>
      <c r="E1268" s="17" t="str">
        <f aca="false">IF($A1268="","",COUNTIFS(Orders!$C$2:$C$20001,$A1268,Orders!$E$2:$E$20001,"Prepaid",Orders!$F$2:$F$20001,"Delivered")+COUNTIFS(Orders!$C$2:$C$20001,$A1268,Orders!$E$2:$E$20001,"Prepaid",Orders!$F$2:$F$20001,"RTO"))</f>
        <v/>
      </c>
      <c r="F1268" s="17" t="str">
        <f aca="false">IF($A1268="","",COUNTIFS(Orders!$C$2:$C$20001,$A1268,Orders!$E$2:$E$20001,"Prepaid",Orders!$F$2:$F$20001,"RTO"))</f>
        <v/>
      </c>
      <c r="G1268" s="18" t="str">
        <f aca="false">IF($A1268="","",IFERROR(F1268/E1268,0))</f>
        <v/>
      </c>
      <c r="H1268" s="19" t="str">
        <f aca="false">IF($A1268="","",C1268*Settings!$B$11)</f>
        <v/>
      </c>
      <c r="I1268" s="20" t="str">
        <f aca="false">IF($A1268="","",IF(N(H1268)=0,"",RANK(H1268,$H$5:$H$2004)))</f>
        <v/>
      </c>
      <c r="J1268" s="21" t="str">
        <f aca="false">IF($A1268="","",IF(B1268=0,"No COD orders",IF(B1268&lt;Settings!$B$8,"Too few orders",IF(D1268&gt;=Settings!$B$9,"Restrict COD or verify","Keep COD"))))</f>
        <v/>
      </c>
    </row>
    <row r="1269" customFormat="false" ht="15" hidden="false" customHeight="false" outlineLevel="0" collapsed="false">
      <c r="A1269" s="27"/>
      <c r="B1269" s="17" t="str">
        <f aca="false">IF($A1269="","",COUNTIFS(Orders!$C$2:$C$20001,$A1269,Orders!$E$2:$E$20001,"COD",Orders!$F$2:$F$20001,"Delivered")+COUNTIFS(Orders!$C$2:$C$20001,$A1269,Orders!$E$2:$E$20001,"COD",Orders!$F$2:$F$20001,"RTO"))</f>
        <v/>
      </c>
      <c r="C1269" s="17" t="str">
        <f aca="false">IF($A1269="","",COUNTIFS(Orders!$C$2:$C$20001,$A1269,Orders!$E$2:$E$20001,"COD",Orders!$F$2:$F$20001,"RTO"))</f>
        <v/>
      </c>
      <c r="D1269" s="18" t="str">
        <f aca="false">IF($A1269="","",IFERROR(C1269/B1269,0))</f>
        <v/>
      </c>
      <c r="E1269" s="17" t="str">
        <f aca="false">IF($A1269="","",COUNTIFS(Orders!$C$2:$C$20001,$A1269,Orders!$E$2:$E$20001,"Prepaid",Orders!$F$2:$F$20001,"Delivered")+COUNTIFS(Orders!$C$2:$C$20001,$A1269,Orders!$E$2:$E$20001,"Prepaid",Orders!$F$2:$F$20001,"RTO"))</f>
        <v/>
      </c>
      <c r="F1269" s="17" t="str">
        <f aca="false">IF($A1269="","",COUNTIFS(Orders!$C$2:$C$20001,$A1269,Orders!$E$2:$E$20001,"Prepaid",Orders!$F$2:$F$20001,"RTO"))</f>
        <v/>
      </c>
      <c r="G1269" s="18" t="str">
        <f aca="false">IF($A1269="","",IFERROR(F1269/E1269,0))</f>
        <v/>
      </c>
      <c r="H1269" s="19" t="str">
        <f aca="false">IF($A1269="","",C1269*Settings!$B$11)</f>
        <v/>
      </c>
      <c r="I1269" s="20" t="str">
        <f aca="false">IF($A1269="","",IF(N(H1269)=0,"",RANK(H1269,$H$5:$H$2004)))</f>
        <v/>
      </c>
      <c r="J1269" s="21" t="str">
        <f aca="false">IF($A1269="","",IF(B1269=0,"No COD orders",IF(B1269&lt;Settings!$B$8,"Too few orders",IF(D1269&gt;=Settings!$B$9,"Restrict COD or verify","Keep COD"))))</f>
        <v/>
      </c>
    </row>
    <row r="1270" customFormat="false" ht="15" hidden="false" customHeight="false" outlineLevel="0" collapsed="false">
      <c r="A1270" s="27"/>
      <c r="B1270" s="17" t="str">
        <f aca="false">IF($A1270="","",COUNTIFS(Orders!$C$2:$C$20001,$A1270,Orders!$E$2:$E$20001,"COD",Orders!$F$2:$F$20001,"Delivered")+COUNTIFS(Orders!$C$2:$C$20001,$A1270,Orders!$E$2:$E$20001,"COD",Orders!$F$2:$F$20001,"RTO"))</f>
        <v/>
      </c>
      <c r="C1270" s="17" t="str">
        <f aca="false">IF($A1270="","",COUNTIFS(Orders!$C$2:$C$20001,$A1270,Orders!$E$2:$E$20001,"COD",Orders!$F$2:$F$20001,"RTO"))</f>
        <v/>
      </c>
      <c r="D1270" s="18" t="str">
        <f aca="false">IF($A1270="","",IFERROR(C1270/B1270,0))</f>
        <v/>
      </c>
      <c r="E1270" s="17" t="str">
        <f aca="false">IF($A1270="","",COUNTIFS(Orders!$C$2:$C$20001,$A1270,Orders!$E$2:$E$20001,"Prepaid",Orders!$F$2:$F$20001,"Delivered")+COUNTIFS(Orders!$C$2:$C$20001,$A1270,Orders!$E$2:$E$20001,"Prepaid",Orders!$F$2:$F$20001,"RTO"))</f>
        <v/>
      </c>
      <c r="F1270" s="17" t="str">
        <f aca="false">IF($A1270="","",COUNTIFS(Orders!$C$2:$C$20001,$A1270,Orders!$E$2:$E$20001,"Prepaid",Orders!$F$2:$F$20001,"RTO"))</f>
        <v/>
      </c>
      <c r="G1270" s="18" t="str">
        <f aca="false">IF($A1270="","",IFERROR(F1270/E1270,0))</f>
        <v/>
      </c>
      <c r="H1270" s="19" t="str">
        <f aca="false">IF($A1270="","",C1270*Settings!$B$11)</f>
        <v/>
      </c>
      <c r="I1270" s="20" t="str">
        <f aca="false">IF($A1270="","",IF(N(H1270)=0,"",RANK(H1270,$H$5:$H$2004)))</f>
        <v/>
      </c>
      <c r="J1270" s="21" t="str">
        <f aca="false">IF($A1270="","",IF(B1270=0,"No COD orders",IF(B1270&lt;Settings!$B$8,"Too few orders",IF(D1270&gt;=Settings!$B$9,"Restrict COD or verify","Keep COD"))))</f>
        <v/>
      </c>
    </row>
    <row r="1271" customFormat="false" ht="15" hidden="false" customHeight="false" outlineLevel="0" collapsed="false">
      <c r="A1271" s="27"/>
      <c r="B1271" s="17" t="str">
        <f aca="false">IF($A1271="","",COUNTIFS(Orders!$C$2:$C$20001,$A1271,Orders!$E$2:$E$20001,"COD",Orders!$F$2:$F$20001,"Delivered")+COUNTIFS(Orders!$C$2:$C$20001,$A1271,Orders!$E$2:$E$20001,"COD",Orders!$F$2:$F$20001,"RTO"))</f>
        <v/>
      </c>
      <c r="C1271" s="17" t="str">
        <f aca="false">IF($A1271="","",COUNTIFS(Orders!$C$2:$C$20001,$A1271,Orders!$E$2:$E$20001,"COD",Orders!$F$2:$F$20001,"RTO"))</f>
        <v/>
      </c>
      <c r="D1271" s="18" t="str">
        <f aca="false">IF($A1271="","",IFERROR(C1271/B1271,0))</f>
        <v/>
      </c>
      <c r="E1271" s="17" t="str">
        <f aca="false">IF($A1271="","",COUNTIFS(Orders!$C$2:$C$20001,$A1271,Orders!$E$2:$E$20001,"Prepaid",Orders!$F$2:$F$20001,"Delivered")+COUNTIFS(Orders!$C$2:$C$20001,$A1271,Orders!$E$2:$E$20001,"Prepaid",Orders!$F$2:$F$20001,"RTO"))</f>
        <v/>
      </c>
      <c r="F1271" s="17" t="str">
        <f aca="false">IF($A1271="","",COUNTIFS(Orders!$C$2:$C$20001,$A1271,Orders!$E$2:$E$20001,"Prepaid",Orders!$F$2:$F$20001,"RTO"))</f>
        <v/>
      </c>
      <c r="G1271" s="18" t="str">
        <f aca="false">IF($A1271="","",IFERROR(F1271/E1271,0))</f>
        <v/>
      </c>
      <c r="H1271" s="19" t="str">
        <f aca="false">IF($A1271="","",C1271*Settings!$B$11)</f>
        <v/>
      </c>
      <c r="I1271" s="20" t="str">
        <f aca="false">IF($A1271="","",IF(N(H1271)=0,"",RANK(H1271,$H$5:$H$2004)))</f>
        <v/>
      </c>
      <c r="J1271" s="21" t="str">
        <f aca="false">IF($A1271="","",IF(B1271=0,"No COD orders",IF(B1271&lt;Settings!$B$8,"Too few orders",IF(D1271&gt;=Settings!$B$9,"Restrict COD or verify","Keep COD"))))</f>
        <v/>
      </c>
    </row>
    <row r="1272" customFormat="false" ht="15" hidden="false" customHeight="false" outlineLevel="0" collapsed="false">
      <c r="A1272" s="27"/>
      <c r="B1272" s="17" t="str">
        <f aca="false">IF($A1272="","",COUNTIFS(Orders!$C$2:$C$20001,$A1272,Orders!$E$2:$E$20001,"COD",Orders!$F$2:$F$20001,"Delivered")+COUNTIFS(Orders!$C$2:$C$20001,$A1272,Orders!$E$2:$E$20001,"COD",Orders!$F$2:$F$20001,"RTO"))</f>
        <v/>
      </c>
      <c r="C1272" s="17" t="str">
        <f aca="false">IF($A1272="","",COUNTIFS(Orders!$C$2:$C$20001,$A1272,Orders!$E$2:$E$20001,"COD",Orders!$F$2:$F$20001,"RTO"))</f>
        <v/>
      </c>
      <c r="D1272" s="18" t="str">
        <f aca="false">IF($A1272="","",IFERROR(C1272/B1272,0))</f>
        <v/>
      </c>
      <c r="E1272" s="17" t="str">
        <f aca="false">IF($A1272="","",COUNTIFS(Orders!$C$2:$C$20001,$A1272,Orders!$E$2:$E$20001,"Prepaid",Orders!$F$2:$F$20001,"Delivered")+COUNTIFS(Orders!$C$2:$C$20001,$A1272,Orders!$E$2:$E$20001,"Prepaid",Orders!$F$2:$F$20001,"RTO"))</f>
        <v/>
      </c>
      <c r="F1272" s="17" t="str">
        <f aca="false">IF($A1272="","",COUNTIFS(Orders!$C$2:$C$20001,$A1272,Orders!$E$2:$E$20001,"Prepaid",Orders!$F$2:$F$20001,"RTO"))</f>
        <v/>
      </c>
      <c r="G1272" s="18" t="str">
        <f aca="false">IF($A1272="","",IFERROR(F1272/E1272,0))</f>
        <v/>
      </c>
      <c r="H1272" s="19" t="str">
        <f aca="false">IF($A1272="","",C1272*Settings!$B$11)</f>
        <v/>
      </c>
      <c r="I1272" s="20" t="str">
        <f aca="false">IF($A1272="","",IF(N(H1272)=0,"",RANK(H1272,$H$5:$H$2004)))</f>
        <v/>
      </c>
      <c r="J1272" s="21" t="str">
        <f aca="false">IF($A1272="","",IF(B1272=0,"No COD orders",IF(B1272&lt;Settings!$B$8,"Too few orders",IF(D1272&gt;=Settings!$B$9,"Restrict COD or verify","Keep COD"))))</f>
        <v/>
      </c>
    </row>
    <row r="1273" customFormat="false" ht="15" hidden="false" customHeight="false" outlineLevel="0" collapsed="false">
      <c r="A1273" s="27"/>
      <c r="B1273" s="17" t="str">
        <f aca="false">IF($A1273="","",COUNTIFS(Orders!$C$2:$C$20001,$A1273,Orders!$E$2:$E$20001,"COD",Orders!$F$2:$F$20001,"Delivered")+COUNTIFS(Orders!$C$2:$C$20001,$A1273,Orders!$E$2:$E$20001,"COD",Orders!$F$2:$F$20001,"RTO"))</f>
        <v/>
      </c>
      <c r="C1273" s="17" t="str">
        <f aca="false">IF($A1273="","",COUNTIFS(Orders!$C$2:$C$20001,$A1273,Orders!$E$2:$E$20001,"COD",Orders!$F$2:$F$20001,"RTO"))</f>
        <v/>
      </c>
      <c r="D1273" s="18" t="str">
        <f aca="false">IF($A1273="","",IFERROR(C1273/B1273,0))</f>
        <v/>
      </c>
      <c r="E1273" s="17" t="str">
        <f aca="false">IF($A1273="","",COUNTIFS(Orders!$C$2:$C$20001,$A1273,Orders!$E$2:$E$20001,"Prepaid",Orders!$F$2:$F$20001,"Delivered")+COUNTIFS(Orders!$C$2:$C$20001,$A1273,Orders!$E$2:$E$20001,"Prepaid",Orders!$F$2:$F$20001,"RTO"))</f>
        <v/>
      </c>
      <c r="F1273" s="17" t="str">
        <f aca="false">IF($A1273="","",COUNTIFS(Orders!$C$2:$C$20001,$A1273,Orders!$E$2:$E$20001,"Prepaid",Orders!$F$2:$F$20001,"RTO"))</f>
        <v/>
      </c>
      <c r="G1273" s="18" t="str">
        <f aca="false">IF($A1273="","",IFERROR(F1273/E1273,0))</f>
        <v/>
      </c>
      <c r="H1273" s="19" t="str">
        <f aca="false">IF($A1273="","",C1273*Settings!$B$11)</f>
        <v/>
      </c>
      <c r="I1273" s="20" t="str">
        <f aca="false">IF($A1273="","",IF(N(H1273)=0,"",RANK(H1273,$H$5:$H$2004)))</f>
        <v/>
      </c>
      <c r="J1273" s="21" t="str">
        <f aca="false">IF($A1273="","",IF(B1273=0,"No COD orders",IF(B1273&lt;Settings!$B$8,"Too few orders",IF(D1273&gt;=Settings!$B$9,"Restrict COD or verify","Keep COD"))))</f>
        <v/>
      </c>
    </row>
    <row r="1274" customFormat="false" ht="15" hidden="false" customHeight="false" outlineLevel="0" collapsed="false">
      <c r="A1274" s="27"/>
      <c r="B1274" s="17" t="str">
        <f aca="false">IF($A1274="","",COUNTIFS(Orders!$C$2:$C$20001,$A1274,Orders!$E$2:$E$20001,"COD",Orders!$F$2:$F$20001,"Delivered")+COUNTIFS(Orders!$C$2:$C$20001,$A1274,Orders!$E$2:$E$20001,"COD",Orders!$F$2:$F$20001,"RTO"))</f>
        <v/>
      </c>
      <c r="C1274" s="17" t="str">
        <f aca="false">IF($A1274="","",COUNTIFS(Orders!$C$2:$C$20001,$A1274,Orders!$E$2:$E$20001,"COD",Orders!$F$2:$F$20001,"RTO"))</f>
        <v/>
      </c>
      <c r="D1274" s="18" t="str">
        <f aca="false">IF($A1274="","",IFERROR(C1274/B1274,0))</f>
        <v/>
      </c>
      <c r="E1274" s="17" t="str">
        <f aca="false">IF($A1274="","",COUNTIFS(Orders!$C$2:$C$20001,$A1274,Orders!$E$2:$E$20001,"Prepaid",Orders!$F$2:$F$20001,"Delivered")+COUNTIFS(Orders!$C$2:$C$20001,$A1274,Orders!$E$2:$E$20001,"Prepaid",Orders!$F$2:$F$20001,"RTO"))</f>
        <v/>
      </c>
      <c r="F1274" s="17" t="str">
        <f aca="false">IF($A1274="","",COUNTIFS(Orders!$C$2:$C$20001,$A1274,Orders!$E$2:$E$20001,"Prepaid",Orders!$F$2:$F$20001,"RTO"))</f>
        <v/>
      </c>
      <c r="G1274" s="18" t="str">
        <f aca="false">IF($A1274="","",IFERROR(F1274/E1274,0))</f>
        <v/>
      </c>
      <c r="H1274" s="19" t="str">
        <f aca="false">IF($A1274="","",C1274*Settings!$B$11)</f>
        <v/>
      </c>
      <c r="I1274" s="20" t="str">
        <f aca="false">IF($A1274="","",IF(N(H1274)=0,"",RANK(H1274,$H$5:$H$2004)))</f>
        <v/>
      </c>
      <c r="J1274" s="21" t="str">
        <f aca="false">IF($A1274="","",IF(B1274=0,"No COD orders",IF(B1274&lt;Settings!$B$8,"Too few orders",IF(D1274&gt;=Settings!$B$9,"Restrict COD or verify","Keep COD"))))</f>
        <v/>
      </c>
    </row>
    <row r="1275" customFormat="false" ht="15" hidden="false" customHeight="false" outlineLevel="0" collapsed="false">
      <c r="A1275" s="27"/>
      <c r="B1275" s="17" t="str">
        <f aca="false">IF($A1275="","",COUNTIFS(Orders!$C$2:$C$20001,$A1275,Orders!$E$2:$E$20001,"COD",Orders!$F$2:$F$20001,"Delivered")+COUNTIFS(Orders!$C$2:$C$20001,$A1275,Orders!$E$2:$E$20001,"COD",Orders!$F$2:$F$20001,"RTO"))</f>
        <v/>
      </c>
      <c r="C1275" s="17" t="str">
        <f aca="false">IF($A1275="","",COUNTIFS(Orders!$C$2:$C$20001,$A1275,Orders!$E$2:$E$20001,"COD",Orders!$F$2:$F$20001,"RTO"))</f>
        <v/>
      </c>
      <c r="D1275" s="18" t="str">
        <f aca="false">IF($A1275="","",IFERROR(C1275/B1275,0))</f>
        <v/>
      </c>
      <c r="E1275" s="17" t="str">
        <f aca="false">IF($A1275="","",COUNTIFS(Orders!$C$2:$C$20001,$A1275,Orders!$E$2:$E$20001,"Prepaid",Orders!$F$2:$F$20001,"Delivered")+COUNTIFS(Orders!$C$2:$C$20001,$A1275,Orders!$E$2:$E$20001,"Prepaid",Orders!$F$2:$F$20001,"RTO"))</f>
        <v/>
      </c>
      <c r="F1275" s="17" t="str">
        <f aca="false">IF($A1275="","",COUNTIFS(Orders!$C$2:$C$20001,$A1275,Orders!$E$2:$E$20001,"Prepaid",Orders!$F$2:$F$20001,"RTO"))</f>
        <v/>
      </c>
      <c r="G1275" s="18" t="str">
        <f aca="false">IF($A1275="","",IFERROR(F1275/E1275,0))</f>
        <v/>
      </c>
      <c r="H1275" s="19" t="str">
        <f aca="false">IF($A1275="","",C1275*Settings!$B$11)</f>
        <v/>
      </c>
      <c r="I1275" s="20" t="str">
        <f aca="false">IF($A1275="","",IF(N(H1275)=0,"",RANK(H1275,$H$5:$H$2004)))</f>
        <v/>
      </c>
      <c r="J1275" s="21" t="str">
        <f aca="false">IF($A1275="","",IF(B1275=0,"No COD orders",IF(B1275&lt;Settings!$B$8,"Too few orders",IF(D1275&gt;=Settings!$B$9,"Restrict COD or verify","Keep COD"))))</f>
        <v/>
      </c>
    </row>
    <row r="1276" customFormat="false" ht="15" hidden="false" customHeight="false" outlineLevel="0" collapsed="false">
      <c r="A1276" s="27"/>
      <c r="B1276" s="17" t="str">
        <f aca="false">IF($A1276="","",COUNTIFS(Orders!$C$2:$C$20001,$A1276,Orders!$E$2:$E$20001,"COD",Orders!$F$2:$F$20001,"Delivered")+COUNTIFS(Orders!$C$2:$C$20001,$A1276,Orders!$E$2:$E$20001,"COD",Orders!$F$2:$F$20001,"RTO"))</f>
        <v/>
      </c>
      <c r="C1276" s="17" t="str">
        <f aca="false">IF($A1276="","",COUNTIFS(Orders!$C$2:$C$20001,$A1276,Orders!$E$2:$E$20001,"COD",Orders!$F$2:$F$20001,"RTO"))</f>
        <v/>
      </c>
      <c r="D1276" s="18" t="str">
        <f aca="false">IF($A1276="","",IFERROR(C1276/B1276,0))</f>
        <v/>
      </c>
      <c r="E1276" s="17" t="str">
        <f aca="false">IF($A1276="","",COUNTIFS(Orders!$C$2:$C$20001,$A1276,Orders!$E$2:$E$20001,"Prepaid",Orders!$F$2:$F$20001,"Delivered")+COUNTIFS(Orders!$C$2:$C$20001,$A1276,Orders!$E$2:$E$20001,"Prepaid",Orders!$F$2:$F$20001,"RTO"))</f>
        <v/>
      </c>
      <c r="F1276" s="17" t="str">
        <f aca="false">IF($A1276="","",COUNTIFS(Orders!$C$2:$C$20001,$A1276,Orders!$E$2:$E$20001,"Prepaid",Orders!$F$2:$F$20001,"RTO"))</f>
        <v/>
      </c>
      <c r="G1276" s="18" t="str">
        <f aca="false">IF($A1276="","",IFERROR(F1276/E1276,0))</f>
        <v/>
      </c>
      <c r="H1276" s="19" t="str">
        <f aca="false">IF($A1276="","",C1276*Settings!$B$11)</f>
        <v/>
      </c>
      <c r="I1276" s="20" t="str">
        <f aca="false">IF($A1276="","",IF(N(H1276)=0,"",RANK(H1276,$H$5:$H$2004)))</f>
        <v/>
      </c>
      <c r="J1276" s="21" t="str">
        <f aca="false">IF($A1276="","",IF(B1276=0,"No COD orders",IF(B1276&lt;Settings!$B$8,"Too few orders",IF(D1276&gt;=Settings!$B$9,"Restrict COD or verify","Keep COD"))))</f>
        <v/>
      </c>
    </row>
    <row r="1277" customFormat="false" ht="15" hidden="false" customHeight="false" outlineLevel="0" collapsed="false">
      <c r="A1277" s="27"/>
      <c r="B1277" s="17" t="str">
        <f aca="false">IF($A1277="","",COUNTIFS(Orders!$C$2:$C$20001,$A1277,Orders!$E$2:$E$20001,"COD",Orders!$F$2:$F$20001,"Delivered")+COUNTIFS(Orders!$C$2:$C$20001,$A1277,Orders!$E$2:$E$20001,"COD",Orders!$F$2:$F$20001,"RTO"))</f>
        <v/>
      </c>
      <c r="C1277" s="17" t="str">
        <f aca="false">IF($A1277="","",COUNTIFS(Orders!$C$2:$C$20001,$A1277,Orders!$E$2:$E$20001,"COD",Orders!$F$2:$F$20001,"RTO"))</f>
        <v/>
      </c>
      <c r="D1277" s="18" t="str">
        <f aca="false">IF($A1277="","",IFERROR(C1277/B1277,0))</f>
        <v/>
      </c>
      <c r="E1277" s="17" t="str">
        <f aca="false">IF($A1277="","",COUNTIFS(Orders!$C$2:$C$20001,$A1277,Orders!$E$2:$E$20001,"Prepaid",Orders!$F$2:$F$20001,"Delivered")+COUNTIFS(Orders!$C$2:$C$20001,$A1277,Orders!$E$2:$E$20001,"Prepaid",Orders!$F$2:$F$20001,"RTO"))</f>
        <v/>
      </c>
      <c r="F1277" s="17" t="str">
        <f aca="false">IF($A1277="","",COUNTIFS(Orders!$C$2:$C$20001,$A1277,Orders!$E$2:$E$20001,"Prepaid",Orders!$F$2:$F$20001,"RTO"))</f>
        <v/>
      </c>
      <c r="G1277" s="18" t="str">
        <f aca="false">IF($A1277="","",IFERROR(F1277/E1277,0))</f>
        <v/>
      </c>
      <c r="H1277" s="19" t="str">
        <f aca="false">IF($A1277="","",C1277*Settings!$B$11)</f>
        <v/>
      </c>
      <c r="I1277" s="20" t="str">
        <f aca="false">IF($A1277="","",IF(N(H1277)=0,"",RANK(H1277,$H$5:$H$2004)))</f>
        <v/>
      </c>
      <c r="J1277" s="21" t="str">
        <f aca="false">IF($A1277="","",IF(B1277=0,"No COD orders",IF(B1277&lt;Settings!$B$8,"Too few orders",IF(D1277&gt;=Settings!$B$9,"Restrict COD or verify","Keep COD"))))</f>
        <v/>
      </c>
    </row>
    <row r="1278" customFormat="false" ht="15" hidden="false" customHeight="false" outlineLevel="0" collapsed="false">
      <c r="A1278" s="27"/>
      <c r="B1278" s="17" t="str">
        <f aca="false">IF($A1278="","",COUNTIFS(Orders!$C$2:$C$20001,$A1278,Orders!$E$2:$E$20001,"COD",Orders!$F$2:$F$20001,"Delivered")+COUNTIFS(Orders!$C$2:$C$20001,$A1278,Orders!$E$2:$E$20001,"COD",Orders!$F$2:$F$20001,"RTO"))</f>
        <v/>
      </c>
      <c r="C1278" s="17" t="str">
        <f aca="false">IF($A1278="","",COUNTIFS(Orders!$C$2:$C$20001,$A1278,Orders!$E$2:$E$20001,"COD",Orders!$F$2:$F$20001,"RTO"))</f>
        <v/>
      </c>
      <c r="D1278" s="18" t="str">
        <f aca="false">IF($A1278="","",IFERROR(C1278/B1278,0))</f>
        <v/>
      </c>
      <c r="E1278" s="17" t="str">
        <f aca="false">IF($A1278="","",COUNTIFS(Orders!$C$2:$C$20001,$A1278,Orders!$E$2:$E$20001,"Prepaid",Orders!$F$2:$F$20001,"Delivered")+COUNTIFS(Orders!$C$2:$C$20001,$A1278,Orders!$E$2:$E$20001,"Prepaid",Orders!$F$2:$F$20001,"RTO"))</f>
        <v/>
      </c>
      <c r="F1278" s="17" t="str">
        <f aca="false">IF($A1278="","",COUNTIFS(Orders!$C$2:$C$20001,$A1278,Orders!$E$2:$E$20001,"Prepaid",Orders!$F$2:$F$20001,"RTO"))</f>
        <v/>
      </c>
      <c r="G1278" s="18" t="str">
        <f aca="false">IF($A1278="","",IFERROR(F1278/E1278,0))</f>
        <v/>
      </c>
      <c r="H1278" s="19" t="str">
        <f aca="false">IF($A1278="","",C1278*Settings!$B$11)</f>
        <v/>
      </c>
      <c r="I1278" s="20" t="str">
        <f aca="false">IF($A1278="","",IF(N(H1278)=0,"",RANK(H1278,$H$5:$H$2004)))</f>
        <v/>
      </c>
      <c r="J1278" s="21" t="str">
        <f aca="false">IF($A1278="","",IF(B1278=0,"No COD orders",IF(B1278&lt;Settings!$B$8,"Too few orders",IF(D1278&gt;=Settings!$B$9,"Restrict COD or verify","Keep COD"))))</f>
        <v/>
      </c>
    </row>
    <row r="1279" customFormat="false" ht="15" hidden="false" customHeight="false" outlineLevel="0" collapsed="false">
      <c r="A1279" s="27"/>
      <c r="B1279" s="17" t="str">
        <f aca="false">IF($A1279="","",COUNTIFS(Orders!$C$2:$C$20001,$A1279,Orders!$E$2:$E$20001,"COD",Orders!$F$2:$F$20001,"Delivered")+COUNTIFS(Orders!$C$2:$C$20001,$A1279,Orders!$E$2:$E$20001,"COD",Orders!$F$2:$F$20001,"RTO"))</f>
        <v/>
      </c>
      <c r="C1279" s="17" t="str">
        <f aca="false">IF($A1279="","",COUNTIFS(Orders!$C$2:$C$20001,$A1279,Orders!$E$2:$E$20001,"COD",Orders!$F$2:$F$20001,"RTO"))</f>
        <v/>
      </c>
      <c r="D1279" s="18" t="str">
        <f aca="false">IF($A1279="","",IFERROR(C1279/B1279,0))</f>
        <v/>
      </c>
      <c r="E1279" s="17" t="str">
        <f aca="false">IF($A1279="","",COUNTIFS(Orders!$C$2:$C$20001,$A1279,Orders!$E$2:$E$20001,"Prepaid",Orders!$F$2:$F$20001,"Delivered")+COUNTIFS(Orders!$C$2:$C$20001,$A1279,Orders!$E$2:$E$20001,"Prepaid",Orders!$F$2:$F$20001,"RTO"))</f>
        <v/>
      </c>
      <c r="F1279" s="17" t="str">
        <f aca="false">IF($A1279="","",COUNTIFS(Orders!$C$2:$C$20001,$A1279,Orders!$E$2:$E$20001,"Prepaid",Orders!$F$2:$F$20001,"RTO"))</f>
        <v/>
      </c>
      <c r="G1279" s="18" t="str">
        <f aca="false">IF($A1279="","",IFERROR(F1279/E1279,0))</f>
        <v/>
      </c>
      <c r="H1279" s="19" t="str">
        <f aca="false">IF($A1279="","",C1279*Settings!$B$11)</f>
        <v/>
      </c>
      <c r="I1279" s="20" t="str">
        <f aca="false">IF($A1279="","",IF(N(H1279)=0,"",RANK(H1279,$H$5:$H$2004)))</f>
        <v/>
      </c>
      <c r="J1279" s="21" t="str">
        <f aca="false">IF($A1279="","",IF(B1279=0,"No COD orders",IF(B1279&lt;Settings!$B$8,"Too few orders",IF(D1279&gt;=Settings!$B$9,"Restrict COD or verify","Keep COD"))))</f>
        <v/>
      </c>
    </row>
    <row r="1280" customFormat="false" ht="15" hidden="false" customHeight="false" outlineLevel="0" collapsed="false">
      <c r="A1280" s="27"/>
      <c r="B1280" s="17" t="str">
        <f aca="false">IF($A1280="","",COUNTIFS(Orders!$C$2:$C$20001,$A1280,Orders!$E$2:$E$20001,"COD",Orders!$F$2:$F$20001,"Delivered")+COUNTIFS(Orders!$C$2:$C$20001,$A1280,Orders!$E$2:$E$20001,"COD",Orders!$F$2:$F$20001,"RTO"))</f>
        <v/>
      </c>
      <c r="C1280" s="17" t="str">
        <f aca="false">IF($A1280="","",COUNTIFS(Orders!$C$2:$C$20001,$A1280,Orders!$E$2:$E$20001,"COD",Orders!$F$2:$F$20001,"RTO"))</f>
        <v/>
      </c>
      <c r="D1280" s="18" t="str">
        <f aca="false">IF($A1280="","",IFERROR(C1280/B1280,0))</f>
        <v/>
      </c>
      <c r="E1280" s="17" t="str">
        <f aca="false">IF($A1280="","",COUNTIFS(Orders!$C$2:$C$20001,$A1280,Orders!$E$2:$E$20001,"Prepaid",Orders!$F$2:$F$20001,"Delivered")+COUNTIFS(Orders!$C$2:$C$20001,$A1280,Orders!$E$2:$E$20001,"Prepaid",Orders!$F$2:$F$20001,"RTO"))</f>
        <v/>
      </c>
      <c r="F1280" s="17" t="str">
        <f aca="false">IF($A1280="","",COUNTIFS(Orders!$C$2:$C$20001,$A1280,Orders!$E$2:$E$20001,"Prepaid",Orders!$F$2:$F$20001,"RTO"))</f>
        <v/>
      </c>
      <c r="G1280" s="18" t="str">
        <f aca="false">IF($A1280="","",IFERROR(F1280/E1280,0))</f>
        <v/>
      </c>
      <c r="H1280" s="19" t="str">
        <f aca="false">IF($A1280="","",C1280*Settings!$B$11)</f>
        <v/>
      </c>
      <c r="I1280" s="20" t="str">
        <f aca="false">IF($A1280="","",IF(N(H1280)=0,"",RANK(H1280,$H$5:$H$2004)))</f>
        <v/>
      </c>
      <c r="J1280" s="21" t="str">
        <f aca="false">IF($A1280="","",IF(B1280=0,"No COD orders",IF(B1280&lt;Settings!$B$8,"Too few orders",IF(D1280&gt;=Settings!$B$9,"Restrict COD or verify","Keep COD"))))</f>
        <v/>
      </c>
    </row>
    <row r="1281" customFormat="false" ht="15" hidden="false" customHeight="false" outlineLevel="0" collapsed="false">
      <c r="A1281" s="27"/>
      <c r="B1281" s="17" t="str">
        <f aca="false">IF($A1281="","",COUNTIFS(Orders!$C$2:$C$20001,$A1281,Orders!$E$2:$E$20001,"COD",Orders!$F$2:$F$20001,"Delivered")+COUNTIFS(Orders!$C$2:$C$20001,$A1281,Orders!$E$2:$E$20001,"COD",Orders!$F$2:$F$20001,"RTO"))</f>
        <v/>
      </c>
      <c r="C1281" s="17" t="str">
        <f aca="false">IF($A1281="","",COUNTIFS(Orders!$C$2:$C$20001,$A1281,Orders!$E$2:$E$20001,"COD",Orders!$F$2:$F$20001,"RTO"))</f>
        <v/>
      </c>
      <c r="D1281" s="18" t="str">
        <f aca="false">IF($A1281="","",IFERROR(C1281/B1281,0))</f>
        <v/>
      </c>
      <c r="E1281" s="17" t="str">
        <f aca="false">IF($A1281="","",COUNTIFS(Orders!$C$2:$C$20001,$A1281,Orders!$E$2:$E$20001,"Prepaid",Orders!$F$2:$F$20001,"Delivered")+COUNTIFS(Orders!$C$2:$C$20001,$A1281,Orders!$E$2:$E$20001,"Prepaid",Orders!$F$2:$F$20001,"RTO"))</f>
        <v/>
      </c>
      <c r="F1281" s="17" t="str">
        <f aca="false">IF($A1281="","",COUNTIFS(Orders!$C$2:$C$20001,$A1281,Orders!$E$2:$E$20001,"Prepaid",Orders!$F$2:$F$20001,"RTO"))</f>
        <v/>
      </c>
      <c r="G1281" s="18" t="str">
        <f aca="false">IF($A1281="","",IFERROR(F1281/E1281,0))</f>
        <v/>
      </c>
      <c r="H1281" s="19" t="str">
        <f aca="false">IF($A1281="","",C1281*Settings!$B$11)</f>
        <v/>
      </c>
      <c r="I1281" s="20" t="str">
        <f aca="false">IF($A1281="","",IF(N(H1281)=0,"",RANK(H1281,$H$5:$H$2004)))</f>
        <v/>
      </c>
      <c r="J1281" s="21" t="str">
        <f aca="false">IF($A1281="","",IF(B1281=0,"No COD orders",IF(B1281&lt;Settings!$B$8,"Too few orders",IF(D1281&gt;=Settings!$B$9,"Restrict COD or verify","Keep COD"))))</f>
        <v/>
      </c>
    </row>
    <row r="1282" customFormat="false" ht="15" hidden="false" customHeight="false" outlineLevel="0" collapsed="false">
      <c r="A1282" s="27"/>
      <c r="B1282" s="17" t="str">
        <f aca="false">IF($A1282="","",COUNTIFS(Orders!$C$2:$C$20001,$A1282,Orders!$E$2:$E$20001,"COD",Orders!$F$2:$F$20001,"Delivered")+COUNTIFS(Orders!$C$2:$C$20001,$A1282,Orders!$E$2:$E$20001,"COD",Orders!$F$2:$F$20001,"RTO"))</f>
        <v/>
      </c>
      <c r="C1282" s="17" t="str">
        <f aca="false">IF($A1282="","",COUNTIFS(Orders!$C$2:$C$20001,$A1282,Orders!$E$2:$E$20001,"COD",Orders!$F$2:$F$20001,"RTO"))</f>
        <v/>
      </c>
      <c r="D1282" s="18" t="str">
        <f aca="false">IF($A1282="","",IFERROR(C1282/B1282,0))</f>
        <v/>
      </c>
      <c r="E1282" s="17" t="str">
        <f aca="false">IF($A1282="","",COUNTIFS(Orders!$C$2:$C$20001,$A1282,Orders!$E$2:$E$20001,"Prepaid",Orders!$F$2:$F$20001,"Delivered")+COUNTIFS(Orders!$C$2:$C$20001,$A1282,Orders!$E$2:$E$20001,"Prepaid",Orders!$F$2:$F$20001,"RTO"))</f>
        <v/>
      </c>
      <c r="F1282" s="17" t="str">
        <f aca="false">IF($A1282="","",COUNTIFS(Orders!$C$2:$C$20001,$A1282,Orders!$E$2:$E$20001,"Prepaid",Orders!$F$2:$F$20001,"RTO"))</f>
        <v/>
      </c>
      <c r="G1282" s="18" t="str">
        <f aca="false">IF($A1282="","",IFERROR(F1282/E1282,0))</f>
        <v/>
      </c>
      <c r="H1282" s="19" t="str">
        <f aca="false">IF($A1282="","",C1282*Settings!$B$11)</f>
        <v/>
      </c>
      <c r="I1282" s="20" t="str">
        <f aca="false">IF($A1282="","",IF(N(H1282)=0,"",RANK(H1282,$H$5:$H$2004)))</f>
        <v/>
      </c>
      <c r="J1282" s="21" t="str">
        <f aca="false">IF($A1282="","",IF(B1282=0,"No COD orders",IF(B1282&lt;Settings!$B$8,"Too few orders",IF(D1282&gt;=Settings!$B$9,"Restrict COD or verify","Keep COD"))))</f>
        <v/>
      </c>
    </row>
    <row r="1283" customFormat="false" ht="15" hidden="false" customHeight="false" outlineLevel="0" collapsed="false">
      <c r="A1283" s="27"/>
      <c r="B1283" s="17" t="str">
        <f aca="false">IF($A1283="","",COUNTIFS(Orders!$C$2:$C$20001,$A1283,Orders!$E$2:$E$20001,"COD",Orders!$F$2:$F$20001,"Delivered")+COUNTIFS(Orders!$C$2:$C$20001,$A1283,Orders!$E$2:$E$20001,"COD",Orders!$F$2:$F$20001,"RTO"))</f>
        <v/>
      </c>
      <c r="C1283" s="17" t="str">
        <f aca="false">IF($A1283="","",COUNTIFS(Orders!$C$2:$C$20001,$A1283,Orders!$E$2:$E$20001,"COD",Orders!$F$2:$F$20001,"RTO"))</f>
        <v/>
      </c>
      <c r="D1283" s="18" t="str">
        <f aca="false">IF($A1283="","",IFERROR(C1283/B1283,0))</f>
        <v/>
      </c>
      <c r="E1283" s="17" t="str">
        <f aca="false">IF($A1283="","",COUNTIFS(Orders!$C$2:$C$20001,$A1283,Orders!$E$2:$E$20001,"Prepaid",Orders!$F$2:$F$20001,"Delivered")+COUNTIFS(Orders!$C$2:$C$20001,$A1283,Orders!$E$2:$E$20001,"Prepaid",Orders!$F$2:$F$20001,"RTO"))</f>
        <v/>
      </c>
      <c r="F1283" s="17" t="str">
        <f aca="false">IF($A1283="","",COUNTIFS(Orders!$C$2:$C$20001,$A1283,Orders!$E$2:$E$20001,"Prepaid",Orders!$F$2:$F$20001,"RTO"))</f>
        <v/>
      </c>
      <c r="G1283" s="18" t="str">
        <f aca="false">IF($A1283="","",IFERROR(F1283/E1283,0))</f>
        <v/>
      </c>
      <c r="H1283" s="19" t="str">
        <f aca="false">IF($A1283="","",C1283*Settings!$B$11)</f>
        <v/>
      </c>
      <c r="I1283" s="20" t="str">
        <f aca="false">IF($A1283="","",IF(N(H1283)=0,"",RANK(H1283,$H$5:$H$2004)))</f>
        <v/>
      </c>
      <c r="J1283" s="21" t="str">
        <f aca="false">IF($A1283="","",IF(B1283=0,"No COD orders",IF(B1283&lt;Settings!$B$8,"Too few orders",IF(D1283&gt;=Settings!$B$9,"Restrict COD or verify","Keep COD"))))</f>
        <v/>
      </c>
    </row>
    <row r="1284" customFormat="false" ht="15" hidden="false" customHeight="false" outlineLevel="0" collapsed="false">
      <c r="A1284" s="27"/>
      <c r="B1284" s="17" t="str">
        <f aca="false">IF($A1284="","",COUNTIFS(Orders!$C$2:$C$20001,$A1284,Orders!$E$2:$E$20001,"COD",Orders!$F$2:$F$20001,"Delivered")+COUNTIFS(Orders!$C$2:$C$20001,$A1284,Orders!$E$2:$E$20001,"COD",Orders!$F$2:$F$20001,"RTO"))</f>
        <v/>
      </c>
      <c r="C1284" s="17" t="str">
        <f aca="false">IF($A1284="","",COUNTIFS(Orders!$C$2:$C$20001,$A1284,Orders!$E$2:$E$20001,"COD",Orders!$F$2:$F$20001,"RTO"))</f>
        <v/>
      </c>
      <c r="D1284" s="18" t="str">
        <f aca="false">IF($A1284="","",IFERROR(C1284/B1284,0))</f>
        <v/>
      </c>
      <c r="E1284" s="17" t="str">
        <f aca="false">IF($A1284="","",COUNTIFS(Orders!$C$2:$C$20001,$A1284,Orders!$E$2:$E$20001,"Prepaid",Orders!$F$2:$F$20001,"Delivered")+COUNTIFS(Orders!$C$2:$C$20001,$A1284,Orders!$E$2:$E$20001,"Prepaid",Orders!$F$2:$F$20001,"RTO"))</f>
        <v/>
      </c>
      <c r="F1284" s="17" t="str">
        <f aca="false">IF($A1284="","",COUNTIFS(Orders!$C$2:$C$20001,$A1284,Orders!$E$2:$E$20001,"Prepaid",Orders!$F$2:$F$20001,"RTO"))</f>
        <v/>
      </c>
      <c r="G1284" s="18" t="str">
        <f aca="false">IF($A1284="","",IFERROR(F1284/E1284,0))</f>
        <v/>
      </c>
      <c r="H1284" s="19" t="str">
        <f aca="false">IF($A1284="","",C1284*Settings!$B$11)</f>
        <v/>
      </c>
      <c r="I1284" s="20" t="str">
        <f aca="false">IF($A1284="","",IF(N(H1284)=0,"",RANK(H1284,$H$5:$H$2004)))</f>
        <v/>
      </c>
      <c r="J1284" s="21" t="str">
        <f aca="false">IF($A1284="","",IF(B1284=0,"No COD orders",IF(B1284&lt;Settings!$B$8,"Too few orders",IF(D1284&gt;=Settings!$B$9,"Restrict COD or verify","Keep COD"))))</f>
        <v/>
      </c>
    </row>
    <row r="1285" customFormat="false" ht="15" hidden="false" customHeight="false" outlineLevel="0" collapsed="false">
      <c r="A1285" s="27"/>
      <c r="B1285" s="17" t="str">
        <f aca="false">IF($A1285="","",COUNTIFS(Orders!$C$2:$C$20001,$A1285,Orders!$E$2:$E$20001,"COD",Orders!$F$2:$F$20001,"Delivered")+COUNTIFS(Orders!$C$2:$C$20001,$A1285,Orders!$E$2:$E$20001,"COD",Orders!$F$2:$F$20001,"RTO"))</f>
        <v/>
      </c>
      <c r="C1285" s="17" t="str">
        <f aca="false">IF($A1285="","",COUNTIFS(Orders!$C$2:$C$20001,$A1285,Orders!$E$2:$E$20001,"COD",Orders!$F$2:$F$20001,"RTO"))</f>
        <v/>
      </c>
      <c r="D1285" s="18" t="str">
        <f aca="false">IF($A1285="","",IFERROR(C1285/B1285,0))</f>
        <v/>
      </c>
      <c r="E1285" s="17" t="str">
        <f aca="false">IF($A1285="","",COUNTIFS(Orders!$C$2:$C$20001,$A1285,Orders!$E$2:$E$20001,"Prepaid",Orders!$F$2:$F$20001,"Delivered")+COUNTIFS(Orders!$C$2:$C$20001,$A1285,Orders!$E$2:$E$20001,"Prepaid",Orders!$F$2:$F$20001,"RTO"))</f>
        <v/>
      </c>
      <c r="F1285" s="17" t="str">
        <f aca="false">IF($A1285="","",COUNTIFS(Orders!$C$2:$C$20001,$A1285,Orders!$E$2:$E$20001,"Prepaid",Orders!$F$2:$F$20001,"RTO"))</f>
        <v/>
      </c>
      <c r="G1285" s="18" t="str">
        <f aca="false">IF($A1285="","",IFERROR(F1285/E1285,0))</f>
        <v/>
      </c>
      <c r="H1285" s="19" t="str">
        <f aca="false">IF($A1285="","",C1285*Settings!$B$11)</f>
        <v/>
      </c>
      <c r="I1285" s="20" t="str">
        <f aca="false">IF($A1285="","",IF(N(H1285)=0,"",RANK(H1285,$H$5:$H$2004)))</f>
        <v/>
      </c>
      <c r="J1285" s="21" t="str">
        <f aca="false">IF($A1285="","",IF(B1285=0,"No COD orders",IF(B1285&lt;Settings!$B$8,"Too few orders",IF(D1285&gt;=Settings!$B$9,"Restrict COD or verify","Keep COD"))))</f>
        <v/>
      </c>
    </row>
    <row r="1286" customFormat="false" ht="15" hidden="false" customHeight="false" outlineLevel="0" collapsed="false">
      <c r="A1286" s="27"/>
      <c r="B1286" s="17" t="str">
        <f aca="false">IF($A1286="","",COUNTIFS(Orders!$C$2:$C$20001,$A1286,Orders!$E$2:$E$20001,"COD",Orders!$F$2:$F$20001,"Delivered")+COUNTIFS(Orders!$C$2:$C$20001,$A1286,Orders!$E$2:$E$20001,"COD",Orders!$F$2:$F$20001,"RTO"))</f>
        <v/>
      </c>
      <c r="C1286" s="17" t="str">
        <f aca="false">IF($A1286="","",COUNTIFS(Orders!$C$2:$C$20001,$A1286,Orders!$E$2:$E$20001,"COD",Orders!$F$2:$F$20001,"RTO"))</f>
        <v/>
      </c>
      <c r="D1286" s="18" t="str">
        <f aca="false">IF($A1286="","",IFERROR(C1286/B1286,0))</f>
        <v/>
      </c>
      <c r="E1286" s="17" t="str">
        <f aca="false">IF($A1286="","",COUNTIFS(Orders!$C$2:$C$20001,$A1286,Orders!$E$2:$E$20001,"Prepaid",Orders!$F$2:$F$20001,"Delivered")+COUNTIFS(Orders!$C$2:$C$20001,$A1286,Orders!$E$2:$E$20001,"Prepaid",Orders!$F$2:$F$20001,"RTO"))</f>
        <v/>
      </c>
      <c r="F1286" s="17" t="str">
        <f aca="false">IF($A1286="","",COUNTIFS(Orders!$C$2:$C$20001,$A1286,Orders!$E$2:$E$20001,"Prepaid",Orders!$F$2:$F$20001,"RTO"))</f>
        <v/>
      </c>
      <c r="G1286" s="18" t="str">
        <f aca="false">IF($A1286="","",IFERROR(F1286/E1286,0))</f>
        <v/>
      </c>
      <c r="H1286" s="19" t="str">
        <f aca="false">IF($A1286="","",C1286*Settings!$B$11)</f>
        <v/>
      </c>
      <c r="I1286" s="20" t="str">
        <f aca="false">IF($A1286="","",IF(N(H1286)=0,"",RANK(H1286,$H$5:$H$2004)))</f>
        <v/>
      </c>
      <c r="J1286" s="21" t="str">
        <f aca="false">IF($A1286="","",IF(B1286=0,"No COD orders",IF(B1286&lt;Settings!$B$8,"Too few orders",IF(D1286&gt;=Settings!$B$9,"Restrict COD or verify","Keep COD"))))</f>
        <v/>
      </c>
    </row>
    <row r="1287" customFormat="false" ht="15" hidden="false" customHeight="false" outlineLevel="0" collapsed="false">
      <c r="A1287" s="27"/>
      <c r="B1287" s="17" t="str">
        <f aca="false">IF($A1287="","",COUNTIFS(Orders!$C$2:$C$20001,$A1287,Orders!$E$2:$E$20001,"COD",Orders!$F$2:$F$20001,"Delivered")+COUNTIFS(Orders!$C$2:$C$20001,$A1287,Orders!$E$2:$E$20001,"COD",Orders!$F$2:$F$20001,"RTO"))</f>
        <v/>
      </c>
      <c r="C1287" s="17" t="str">
        <f aca="false">IF($A1287="","",COUNTIFS(Orders!$C$2:$C$20001,$A1287,Orders!$E$2:$E$20001,"COD",Orders!$F$2:$F$20001,"RTO"))</f>
        <v/>
      </c>
      <c r="D1287" s="18" t="str">
        <f aca="false">IF($A1287="","",IFERROR(C1287/B1287,0))</f>
        <v/>
      </c>
      <c r="E1287" s="17" t="str">
        <f aca="false">IF($A1287="","",COUNTIFS(Orders!$C$2:$C$20001,$A1287,Orders!$E$2:$E$20001,"Prepaid",Orders!$F$2:$F$20001,"Delivered")+COUNTIFS(Orders!$C$2:$C$20001,$A1287,Orders!$E$2:$E$20001,"Prepaid",Orders!$F$2:$F$20001,"RTO"))</f>
        <v/>
      </c>
      <c r="F1287" s="17" t="str">
        <f aca="false">IF($A1287="","",COUNTIFS(Orders!$C$2:$C$20001,$A1287,Orders!$E$2:$E$20001,"Prepaid",Orders!$F$2:$F$20001,"RTO"))</f>
        <v/>
      </c>
      <c r="G1287" s="18" t="str">
        <f aca="false">IF($A1287="","",IFERROR(F1287/E1287,0))</f>
        <v/>
      </c>
      <c r="H1287" s="19" t="str">
        <f aca="false">IF($A1287="","",C1287*Settings!$B$11)</f>
        <v/>
      </c>
      <c r="I1287" s="20" t="str">
        <f aca="false">IF($A1287="","",IF(N(H1287)=0,"",RANK(H1287,$H$5:$H$2004)))</f>
        <v/>
      </c>
      <c r="J1287" s="21" t="str">
        <f aca="false">IF($A1287="","",IF(B1287=0,"No COD orders",IF(B1287&lt;Settings!$B$8,"Too few orders",IF(D1287&gt;=Settings!$B$9,"Restrict COD or verify","Keep COD"))))</f>
        <v/>
      </c>
    </row>
    <row r="1288" customFormat="false" ht="15" hidden="false" customHeight="false" outlineLevel="0" collapsed="false">
      <c r="A1288" s="27"/>
      <c r="B1288" s="17" t="str">
        <f aca="false">IF($A1288="","",COUNTIFS(Orders!$C$2:$C$20001,$A1288,Orders!$E$2:$E$20001,"COD",Orders!$F$2:$F$20001,"Delivered")+COUNTIFS(Orders!$C$2:$C$20001,$A1288,Orders!$E$2:$E$20001,"COD",Orders!$F$2:$F$20001,"RTO"))</f>
        <v/>
      </c>
      <c r="C1288" s="17" t="str">
        <f aca="false">IF($A1288="","",COUNTIFS(Orders!$C$2:$C$20001,$A1288,Orders!$E$2:$E$20001,"COD",Orders!$F$2:$F$20001,"RTO"))</f>
        <v/>
      </c>
      <c r="D1288" s="18" t="str">
        <f aca="false">IF($A1288="","",IFERROR(C1288/B1288,0))</f>
        <v/>
      </c>
      <c r="E1288" s="17" t="str">
        <f aca="false">IF($A1288="","",COUNTIFS(Orders!$C$2:$C$20001,$A1288,Orders!$E$2:$E$20001,"Prepaid",Orders!$F$2:$F$20001,"Delivered")+COUNTIFS(Orders!$C$2:$C$20001,$A1288,Orders!$E$2:$E$20001,"Prepaid",Orders!$F$2:$F$20001,"RTO"))</f>
        <v/>
      </c>
      <c r="F1288" s="17" t="str">
        <f aca="false">IF($A1288="","",COUNTIFS(Orders!$C$2:$C$20001,$A1288,Orders!$E$2:$E$20001,"Prepaid",Orders!$F$2:$F$20001,"RTO"))</f>
        <v/>
      </c>
      <c r="G1288" s="18" t="str">
        <f aca="false">IF($A1288="","",IFERROR(F1288/E1288,0))</f>
        <v/>
      </c>
      <c r="H1288" s="19" t="str">
        <f aca="false">IF($A1288="","",C1288*Settings!$B$11)</f>
        <v/>
      </c>
      <c r="I1288" s="20" t="str">
        <f aca="false">IF($A1288="","",IF(N(H1288)=0,"",RANK(H1288,$H$5:$H$2004)))</f>
        <v/>
      </c>
      <c r="J1288" s="21" t="str">
        <f aca="false">IF($A1288="","",IF(B1288=0,"No COD orders",IF(B1288&lt;Settings!$B$8,"Too few orders",IF(D1288&gt;=Settings!$B$9,"Restrict COD or verify","Keep COD"))))</f>
        <v/>
      </c>
    </row>
    <row r="1289" customFormat="false" ht="15" hidden="false" customHeight="false" outlineLevel="0" collapsed="false">
      <c r="A1289" s="27"/>
      <c r="B1289" s="17" t="str">
        <f aca="false">IF($A1289="","",COUNTIFS(Orders!$C$2:$C$20001,$A1289,Orders!$E$2:$E$20001,"COD",Orders!$F$2:$F$20001,"Delivered")+COUNTIFS(Orders!$C$2:$C$20001,$A1289,Orders!$E$2:$E$20001,"COD",Orders!$F$2:$F$20001,"RTO"))</f>
        <v/>
      </c>
      <c r="C1289" s="17" t="str">
        <f aca="false">IF($A1289="","",COUNTIFS(Orders!$C$2:$C$20001,$A1289,Orders!$E$2:$E$20001,"COD",Orders!$F$2:$F$20001,"RTO"))</f>
        <v/>
      </c>
      <c r="D1289" s="18" t="str">
        <f aca="false">IF($A1289="","",IFERROR(C1289/B1289,0))</f>
        <v/>
      </c>
      <c r="E1289" s="17" t="str">
        <f aca="false">IF($A1289="","",COUNTIFS(Orders!$C$2:$C$20001,$A1289,Orders!$E$2:$E$20001,"Prepaid",Orders!$F$2:$F$20001,"Delivered")+COUNTIFS(Orders!$C$2:$C$20001,$A1289,Orders!$E$2:$E$20001,"Prepaid",Orders!$F$2:$F$20001,"RTO"))</f>
        <v/>
      </c>
      <c r="F1289" s="17" t="str">
        <f aca="false">IF($A1289="","",COUNTIFS(Orders!$C$2:$C$20001,$A1289,Orders!$E$2:$E$20001,"Prepaid",Orders!$F$2:$F$20001,"RTO"))</f>
        <v/>
      </c>
      <c r="G1289" s="18" t="str">
        <f aca="false">IF($A1289="","",IFERROR(F1289/E1289,0))</f>
        <v/>
      </c>
      <c r="H1289" s="19" t="str">
        <f aca="false">IF($A1289="","",C1289*Settings!$B$11)</f>
        <v/>
      </c>
      <c r="I1289" s="20" t="str">
        <f aca="false">IF($A1289="","",IF(N(H1289)=0,"",RANK(H1289,$H$5:$H$2004)))</f>
        <v/>
      </c>
      <c r="J1289" s="21" t="str">
        <f aca="false">IF($A1289="","",IF(B1289=0,"No COD orders",IF(B1289&lt;Settings!$B$8,"Too few orders",IF(D1289&gt;=Settings!$B$9,"Restrict COD or verify","Keep COD"))))</f>
        <v/>
      </c>
    </row>
    <row r="1290" customFormat="false" ht="15" hidden="false" customHeight="false" outlineLevel="0" collapsed="false">
      <c r="A1290" s="27"/>
      <c r="B1290" s="17" t="str">
        <f aca="false">IF($A1290="","",COUNTIFS(Orders!$C$2:$C$20001,$A1290,Orders!$E$2:$E$20001,"COD",Orders!$F$2:$F$20001,"Delivered")+COUNTIFS(Orders!$C$2:$C$20001,$A1290,Orders!$E$2:$E$20001,"COD",Orders!$F$2:$F$20001,"RTO"))</f>
        <v/>
      </c>
      <c r="C1290" s="17" t="str">
        <f aca="false">IF($A1290="","",COUNTIFS(Orders!$C$2:$C$20001,$A1290,Orders!$E$2:$E$20001,"COD",Orders!$F$2:$F$20001,"RTO"))</f>
        <v/>
      </c>
      <c r="D1290" s="18" t="str">
        <f aca="false">IF($A1290="","",IFERROR(C1290/B1290,0))</f>
        <v/>
      </c>
      <c r="E1290" s="17" t="str">
        <f aca="false">IF($A1290="","",COUNTIFS(Orders!$C$2:$C$20001,$A1290,Orders!$E$2:$E$20001,"Prepaid",Orders!$F$2:$F$20001,"Delivered")+COUNTIFS(Orders!$C$2:$C$20001,$A1290,Orders!$E$2:$E$20001,"Prepaid",Orders!$F$2:$F$20001,"RTO"))</f>
        <v/>
      </c>
      <c r="F1290" s="17" t="str">
        <f aca="false">IF($A1290="","",COUNTIFS(Orders!$C$2:$C$20001,$A1290,Orders!$E$2:$E$20001,"Prepaid",Orders!$F$2:$F$20001,"RTO"))</f>
        <v/>
      </c>
      <c r="G1290" s="18" t="str">
        <f aca="false">IF($A1290="","",IFERROR(F1290/E1290,0))</f>
        <v/>
      </c>
      <c r="H1290" s="19" t="str">
        <f aca="false">IF($A1290="","",C1290*Settings!$B$11)</f>
        <v/>
      </c>
      <c r="I1290" s="20" t="str">
        <f aca="false">IF($A1290="","",IF(N(H1290)=0,"",RANK(H1290,$H$5:$H$2004)))</f>
        <v/>
      </c>
      <c r="J1290" s="21" t="str">
        <f aca="false">IF($A1290="","",IF(B1290=0,"No COD orders",IF(B1290&lt;Settings!$B$8,"Too few orders",IF(D1290&gt;=Settings!$B$9,"Restrict COD or verify","Keep COD"))))</f>
        <v/>
      </c>
    </row>
    <row r="1291" customFormat="false" ht="15" hidden="false" customHeight="false" outlineLevel="0" collapsed="false">
      <c r="A1291" s="27"/>
      <c r="B1291" s="17" t="str">
        <f aca="false">IF($A1291="","",COUNTIFS(Orders!$C$2:$C$20001,$A1291,Orders!$E$2:$E$20001,"COD",Orders!$F$2:$F$20001,"Delivered")+COUNTIFS(Orders!$C$2:$C$20001,$A1291,Orders!$E$2:$E$20001,"COD",Orders!$F$2:$F$20001,"RTO"))</f>
        <v/>
      </c>
      <c r="C1291" s="17" t="str">
        <f aca="false">IF($A1291="","",COUNTIFS(Orders!$C$2:$C$20001,$A1291,Orders!$E$2:$E$20001,"COD",Orders!$F$2:$F$20001,"RTO"))</f>
        <v/>
      </c>
      <c r="D1291" s="18" t="str">
        <f aca="false">IF($A1291="","",IFERROR(C1291/B1291,0))</f>
        <v/>
      </c>
      <c r="E1291" s="17" t="str">
        <f aca="false">IF($A1291="","",COUNTIFS(Orders!$C$2:$C$20001,$A1291,Orders!$E$2:$E$20001,"Prepaid",Orders!$F$2:$F$20001,"Delivered")+COUNTIFS(Orders!$C$2:$C$20001,$A1291,Orders!$E$2:$E$20001,"Prepaid",Orders!$F$2:$F$20001,"RTO"))</f>
        <v/>
      </c>
      <c r="F1291" s="17" t="str">
        <f aca="false">IF($A1291="","",COUNTIFS(Orders!$C$2:$C$20001,$A1291,Orders!$E$2:$E$20001,"Prepaid",Orders!$F$2:$F$20001,"RTO"))</f>
        <v/>
      </c>
      <c r="G1291" s="18" t="str">
        <f aca="false">IF($A1291="","",IFERROR(F1291/E1291,0))</f>
        <v/>
      </c>
      <c r="H1291" s="19" t="str">
        <f aca="false">IF($A1291="","",C1291*Settings!$B$11)</f>
        <v/>
      </c>
      <c r="I1291" s="20" t="str">
        <f aca="false">IF($A1291="","",IF(N(H1291)=0,"",RANK(H1291,$H$5:$H$2004)))</f>
        <v/>
      </c>
      <c r="J1291" s="21" t="str">
        <f aca="false">IF($A1291="","",IF(B1291=0,"No COD orders",IF(B1291&lt;Settings!$B$8,"Too few orders",IF(D1291&gt;=Settings!$B$9,"Restrict COD or verify","Keep COD"))))</f>
        <v/>
      </c>
    </row>
    <row r="1292" customFormat="false" ht="15" hidden="false" customHeight="false" outlineLevel="0" collapsed="false">
      <c r="A1292" s="27"/>
      <c r="B1292" s="17" t="str">
        <f aca="false">IF($A1292="","",COUNTIFS(Orders!$C$2:$C$20001,$A1292,Orders!$E$2:$E$20001,"COD",Orders!$F$2:$F$20001,"Delivered")+COUNTIFS(Orders!$C$2:$C$20001,$A1292,Orders!$E$2:$E$20001,"COD",Orders!$F$2:$F$20001,"RTO"))</f>
        <v/>
      </c>
      <c r="C1292" s="17" t="str">
        <f aca="false">IF($A1292="","",COUNTIFS(Orders!$C$2:$C$20001,$A1292,Orders!$E$2:$E$20001,"COD",Orders!$F$2:$F$20001,"RTO"))</f>
        <v/>
      </c>
      <c r="D1292" s="18" t="str">
        <f aca="false">IF($A1292="","",IFERROR(C1292/B1292,0))</f>
        <v/>
      </c>
      <c r="E1292" s="17" t="str">
        <f aca="false">IF($A1292="","",COUNTIFS(Orders!$C$2:$C$20001,$A1292,Orders!$E$2:$E$20001,"Prepaid",Orders!$F$2:$F$20001,"Delivered")+COUNTIFS(Orders!$C$2:$C$20001,$A1292,Orders!$E$2:$E$20001,"Prepaid",Orders!$F$2:$F$20001,"RTO"))</f>
        <v/>
      </c>
      <c r="F1292" s="17" t="str">
        <f aca="false">IF($A1292="","",COUNTIFS(Orders!$C$2:$C$20001,$A1292,Orders!$E$2:$E$20001,"Prepaid",Orders!$F$2:$F$20001,"RTO"))</f>
        <v/>
      </c>
      <c r="G1292" s="18" t="str">
        <f aca="false">IF($A1292="","",IFERROR(F1292/E1292,0))</f>
        <v/>
      </c>
      <c r="H1292" s="19" t="str">
        <f aca="false">IF($A1292="","",C1292*Settings!$B$11)</f>
        <v/>
      </c>
      <c r="I1292" s="20" t="str">
        <f aca="false">IF($A1292="","",IF(N(H1292)=0,"",RANK(H1292,$H$5:$H$2004)))</f>
        <v/>
      </c>
      <c r="J1292" s="21" t="str">
        <f aca="false">IF($A1292="","",IF(B1292=0,"No COD orders",IF(B1292&lt;Settings!$B$8,"Too few orders",IF(D1292&gt;=Settings!$B$9,"Restrict COD or verify","Keep COD"))))</f>
        <v/>
      </c>
    </row>
    <row r="1293" customFormat="false" ht="15" hidden="false" customHeight="false" outlineLevel="0" collapsed="false">
      <c r="A1293" s="27"/>
      <c r="B1293" s="17" t="str">
        <f aca="false">IF($A1293="","",COUNTIFS(Orders!$C$2:$C$20001,$A1293,Orders!$E$2:$E$20001,"COD",Orders!$F$2:$F$20001,"Delivered")+COUNTIFS(Orders!$C$2:$C$20001,$A1293,Orders!$E$2:$E$20001,"COD",Orders!$F$2:$F$20001,"RTO"))</f>
        <v/>
      </c>
      <c r="C1293" s="17" t="str">
        <f aca="false">IF($A1293="","",COUNTIFS(Orders!$C$2:$C$20001,$A1293,Orders!$E$2:$E$20001,"COD",Orders!$F$2:$F$20001,"RTO"))</f>
        <v/>
      </c>
      <c r="D1293" s="18" t="str">
        <f aca="false">IF($A1293="","",IFERROR(C1293/B1293,0))</f>
        <v/>
      </c>
      <c r="E1293" s="17" t="str">
        <f aca="false">IF($A1293="","",COUNTIFS(Orders!$C$2:$C$20001,$A1293,Orders!$E$2:$E$20001,"Prepaid",Orders!$F$2:$F$20001,"Delivered")+COUNTIFS(Orders!$C$2:$C$20001,$A1293,Orders!$E$2:$E$20001,"Prepaid",Orders!$F$2:$F$20001,"RTO"))</f>
        <v/>
      </c>
      <c r="F1293" s="17" t="str">
        <f aca="false">IF($A1293="","",COUNTIFS(Orders!$C$2:$C$20001,$A1293,Orders!$E$2:$E$20001,"Prepaid",Orders!$F$2:$F$20001,"RTO"))</f>
        <v/>
      </c>
      <c r="G1293" s="18" t="str">
        <f aca="false">IF($A1293="","",IFERROR(F1293/E1293,0))</f>
        <v/>
      </c>
      <c r="H1293" s="19" t="str">
        <f aca="false">IF($A1293="","",C1293*Settings!$B$11)</f>
        <v/>
      </c>
      <c r="I1293" s="20" t="str">
        <f aca="false">IF($A1293="","",IF(N(H1293)=0,"",RANK(H1293,$H$5:$H$2004)))</f>
        <v/>
      </c>
      <c r="J1293" s="21" t="str">
        <f aca="false">IF($A1293="","",IF(B1293=0,"No COD orders",IF(B1293&lt;Settings!$B$8,"Too few orders",IF(D1293&gt;=Settings!$B$9,"Restrict COD or verify","Keep COD"))))</f>
        <v/>
      </c>
    </row>
    <row r="1294" customFormat="false" ht="15" hidden="false" customHeight="false" outlineLevel="0" collapsed="false">
      <c r="A1294" s="27"/>
      <c r="B1294" s="17" t="str">
        <f aca="false">IF($A1294="","",COUNTIFS(Orders!$C$2:$C$20001,$A1294,Orders!$E$2:$E$20001,"COD",Orders!$F$2:$F$20001,"Delivered")+COUNTIFS(Orders!$C$2:$C$20001,$A1294,Orders!$E$2:$E$20001,"COD",Orders!$F$2:$F$20001,"RTO"))</f>
        <v/>
      </c>
      <c r="C1294" s="17" t="str">
        <f aca="false">IF($A1294="","",COUNTIFS(Orders!$C$2:$C$20001,$A1294,Orders!$E$2:$E$20001,"COD",Orders!$F$2:$F$20001,"RTO"))</f>
        <v/>
      </c>
      <c r="D1294" s="18" t="str">
        <f aca="false">IF($A1294="","",IFERROR(C1294/B1294,0))</f>
        <v/>
      </c>
      <c r="E1294" s="17" t="str">
        <f aca="false">IF($A1294="","",COUNTIFS(Orders!$C$2:$C$20001,$A1294,Orders!$E$2:$E$20001,"Prepaid",Orders!$F$2:$F$20001,"Delivered")+COUNTIFS(Orders!$C$2:$C$20001,$A1294,Orders!$E$2:$E$20001,"Prepaid",Orders!$F$2:$F$20001,"RTO"))</f>
        <v/>
      </c>
      <c r="F1294" s="17" t="str">
        <f aca="false">IF($A1294="","",COUNTIFS(Orders!$C$2:$C$20001,$A1294,Orders!$E$2:$E$20001,"Prepaid",Orders!$F$2:$F$20001,"RTO"))</f>
        <v/>
      </c>
      <c r="G1294" s="18" t="str">
        <f aca="false">IF($A1294="","",IFERROR(F1294/E1294,0))</f>
        <v/>
      </c>
      <c r="H1294" s="19" t="str">
        <f aca="false">IF($A1294="","",C1294*Settings!$B$11)</f>
        <v/>
      </c>
      <c r="I1294" s="20" t="str">
        <f aca="false">IF($A1294="","",IF(N(H1294)=0,"",RANK(H1294,$H$5:$H$2004)))</f>
        <v/>
      </c>
      <c r="J1294" s="21" t="str">
        <f aca="false">IF($A1294="","",IF(B1294=0,"No COD orders",IF(B1294&lt;Settings!$B$8,"Too few orders",IF(D1294&gt;=Settings!$B$9,"Restrict COD or verify","Keep COD"))))</f>
        <v/>
      </c>
    </row>
    <row r="1295" customFormat="false" ht="15" hidden="false" customHeight="false" outlineLevel="0" collapsed="false">
      <c r="A1295" s="27"/>
      <c r="B1295" s="17" t="str">
        <f aca="false">IF($A1295="","",COUNTIFS(Orders!$C$2:$C$20001,$A1295,Orders!$E$2:$E$20001,"COD",Orders!$F$2:$F$20001,"Delivered")+COUNTIFS(Orders!$C$2:$C$20001,$A1295,Orders!$E$2:$E$20001,"COD",Orders!$F$2:$F$20001,"RTO"))</f>
        <v/>
      </c>
      <c r="C1295" s="17" t="str">
        <f aca="false">IF($A1295="","",COUNTIFS(Orders!$C$2:$C$20001,$A1295,Orders!$E$2:$E$20001,"COD",Orders!$F$2:$F$20001,"RTO"))</f>
        <v/>
      </c>
      <c r="D1295" s="18" t="str">
        <f aca="false">IF($A1295="","",IFERROR(C1295/B1295,0))</f>
        <v/>
      </c>
      <c r="E1295" s="17" t="str">
        <f aca="false">IF($A1295="","",COUNTIFS(Orders!$C$2:$C$20001,$A1295,Orders!$E$2:$E$20001,"Prepaid",Orders!$F$2:$F$20001,"Delivered")+COUNTIFS(Orders!$C$2:$C$20001,$A1295,Orders!$E$2:$E$20001,"Prepaid",Orders!$F$2:$F$20001,"RTO"))</f>
        <v/>
      </c>
      <c r="F1295" s="17" t="str">
        <f aca="false">IF($A1295="","",COUNTIFS(Orders!$C$2:$C$20001,$A1295,Orders!$E$2:$E$20001,"Prepaid",Orders!$F$2:$F$20001,"RTO"))</f>
        <v/>
      </c>
      <c r="G1295" s="18" t="str">
        <f aca="false">IF($A1295="","",IFERROR(F1295/E1295,0))</f>
        <v/>
      </c>
      <c r="H1295" s="19" t="str">
        <f aca="false">IF($A1295="","",C1295*Settings!$B$11)</f>
        <v/>
      </c>
      <c r="I1295" s="20" t="str">
        <f aca="false">IF($A1295="","",IF(N(H1295)=0,"",RANK(H1295,$H$5:$H$2004)))</f>
        <v/>
      </c>
      <c r="J1295" s="21" t="str">
        <f aca="false">IF($A1295="","",IF(B1295=0,"No COD orders",IF(B1295&lt;Settings!$B$8,"Too few orders",IF(D1295&gt;=Settings!$B$9,"Restrict COD or verify","Keep COD"))))</f>
        <v/>
      </c>
    </row>
    <row r="1296" customFormat="false" ht="15" hidden="false" customHeight="false" outlineLevel="0" collapsed="false">
      <c r="A1296" s="27"/>
      <c r="B1296" s="17" t="str">
        <f aca="false">IF($A1296="","",COUNTIFS(Orders!$C$2:$C$20001,$A1296,Orders!$E$2:$E$20001,"COD",Orders!$F$2:$F$20001,"Delivered")+COUNTIFS(Orders!$C$2:$C$20001,$A1296,Orders!$E$2:$E$20001,"COD",Orders!$F$2:$F$20001,"RTO"))</f>
        <v/>
      </c>
      <c r="C1296" s="17" t="str">
        <f aca="false">IF($A1296="","",COUNTIFS(Orders!$C$2:$C$20001,$A1296,Orders!$E$2:$E$20001,"COD",Orders!$F$2:$F$20001,"RTO"))</f>
        <v/>
      </c>
      <c r="D1296" s="18" t="str">
        <f aca="false">IF($A1296="","",IFERROR(C1296/B1296,0))</f>
        <v/>
      </c>
      <c r="E1296" s="17" t="str">
        <f aca="false">IF($A1296="","",COUNTIFS(Orders!$C$2:$C$20001,$A1296,Orders!$E$2:$E$20001,"Prepaid",Orders!$F$2:$F$20001,"Delivered")+COUNTIFS(Orders!$C$2:$C$20001,$A1296,Orders!$E$2:$E$20001,"Prepaid",Orders!$F$2:$F$20001,"RTO"))</f>
        <v/>
      </c>
      <c r="F1296" s="17" t="str">
        <f aca="false">IF($A1296="","",COUNTIFS(Orders!$C$2:$C$20001,$A1296,Orders!$E$2:$E$20001,"Prepaid",Orders!$F$2:$F$20001,"RTO"))</f>
        <v/>
      </c>
      <c r="G1296" s="18" t="str">
        <f aca="false">IF($A1296="","",IFERROR(F1296/E1296,0))</f>
        <v/>
      </c>
      <c r="H1296" s="19" t="str">
        <f aca="false">IF($A1296="","",C1296*Settings!$B$11)</f>
        <v/>
      </c>
      <c r="I1296" s="20" t="str">
        <f aca="false">IF($A1296="","",IF(N(H1296)=0,"",RANK(H1296,$H$5:$H$2004)))</f>
        <v/>
      </c>
      <c r="J1296" s="21" t="str">
        <f aca="false">IF($A1296="","",IF(B1296=0,"No COD orders",IF(B1296&lt;Settings!$B$8,"Too few orders",IF(D1296&gt;=Settings!$B$9,"Restrict COD or verify","Keep COD"))))</f>
        <v/>
      </c>
    </row>
    <row r="1297" customFormat="false" ht="15" hidden="false" customHeight="false" outlineLevel="0" collapsed="false">
      <c r="A1297" s="27"/>
      <c r="B1297" s="17" t="str">
        <f aca="false">IF($A1297="","",COUNTIFS(Orders!$C$2:$C$20001,$A1297,Orders!$E$2:$E$20001,"COD",Orders!$F$2:$F$20001,"Delivered")+COUNTIFS(Orders!$C$2:$C$20001,$A1297,Orders!$E$2:$E$20001,"COD",Orders!$F$2:$F$20001,"RTO"))</f>
        <v/>
      </c>
      <c r="C1297" s="17" t="str">
        <f aca="false">IF($A1297="","",COUNTIFS(Orders!$C$2:$C$20001,$A1297,Orders!$E$2:$E$20001,"COD",Orders!$F$2:$F$20001,"RTO"))</f>
        <v/>
      </c>
      <c r="D1297" s="18" t="str">
        <f aca="false">IF($A1297="","",IFERROR(C1297/B1297,0))</f>
        <v/>
      </c>
      <c r="E1297" s="17" t="str">
        <f aca="false">IF($A1297="","",COUNTIFS(Orders!$C$2:$C$20001,$A1297,Orders!$E$2:$E$20001,"Prepaid",Orders!$F$2:$F$20001,"Delivered")+COUNTIFS(Orders!$C$2:$C$20001,$A1297,Orders!$E$2:$E$20001,"Prepaid",Orders!$F$2:$F$20001,"RTO"))</f>
        <v/>
      </c>
      <c r="F1297" s="17" t="str">
        <f aca="false">IF($A1297="","",COUNTIFS(Orders!$C$2:$C$20001,$A1297,Orders!$E$2:$E$20001,"Prepaid",Orders!$F$2:$F$20001,"RTO"))</f>
        <v/>
      </c>
      <c r="G1297" s="18" t="str">
        <f aca="false">IF($A1297="","",IFERROR(F1297/E1297,0))</f>
        <v/>
      </c>
      <c r="H1297" s="19" t="str">
        <f aca="false">IF($A1297="","",C1297*Settings!$B$11)</f>
        <v/>
      </c>
      <c r="I1297" s="20" t="str">
        <f aca="false">IF($A1297="","",IF(N(H1297)=0,"",RANK(H1297,$H$5:$H$2004)))</f>
        <v/>
      </c>
      <c r="J1297" s="21" t="str">
        <f aca="false">IF($A1297="","",IF(B1297=0,"No COD orders",IF(B1297&lt;Settings!$B$8,"Too few orders",IF(D1297&gt;=Settings!$B$9,"Restrict COD or verify","Keep COD"))))</f>
        <v/>
      </c>
    </row>
    <row r="1298" customFormat="false" ht="15" hidden="false" customHeight="false" outlineLevel="0" collapsed="false">
      <c r="A1298" s="27"/>
      <c r="B1298" s="17" t="str">
        <f aca="false">IF($A1298="","",COUNTIFS(Orders!$C$2:$C$20001,$A1298,Orders!$E$2:$E$20001,"COD",Orders!$F$2:$F$20001,"Delivered")+COUNTIFS(Orders!$C$2:$C$20001,$A1298,Orders!$E$2:$E$20001,"COD",Orders!$F$2:$F$20001,"RTO"))</f>
        <v/>
      </c>
      <c r="C1298" s="17" t="str">
        <f aca="false">IF($A1298="","",COUNTIFS(Orders!$C$2:$C$20001,$A1298,Orders!$E$2:$E$20001,"COD",Orders!$F$2:$F$20001,"RTO"))</f>
        <v/>
      </c>
      <c r="D1298" s="18" t="str">
        <f aca="false">IF($A1298="","",IFERROR(C1298/B1298,0))</f>
        <v/>
      </c>
      <c r="E1298" s="17" t="str">
        <f aca="false">IF($A1298="","",COUNTIFS(Orders!$C$2:$C$20001,$A1298,Orders!$E$2:$E$20001,"Prepaid",Orders!$F$2:$F$20001,"Delivered")+COUNTIFS(Orders!$C$2:$C$20001,$A1298,Orders!$E$2:$E$20001,"Prepaid",Orders!$F$2:$F$20001,"RTO"))</f>
        <v/>
      </c>
      <c r="F1298" s="17" t="str">
        <f aca="false">IF($A1298="","",COUNTIFS(Orders!$C$2:$C$20001,$A1298,Orders!$E$2:$E$20001,"Prepaid",Orders!$F$2:$F$20001,"RTO"))</f>
        <v/>
      </c>
      <c r="G1298" s="18" t="str">
        <f aca="false">IF($A1298="","",IFERROR(F1298/E1298,0))</f>
        <v/>
      </c>
      <c r="H1298" s="19" t="str">
        <f aca="false">IF($A1298="","",C1298*Settings!$B$11)</f>
        <v/>
      </c>
      <c r="I1298" s="20" t="str">
        <f aca="false">IF($A1298="","",IF(N(H1298)=0,"",RANK(H1298,$H$5:$H$2004)))</f>
        <v/>
      </c>
      <c r="J1298" s="21" t="str">
        <f aca="false">IF($A1298="","",IF(B1298=0,"No COD orders",IF(B1298&lt;Settings!$B$8,"Too few orders",IF(D1298&gt;=Settings!$B$9,"Restrict COD or verify","Keep COD"))))</f>
        <v/>
      </c>
    </row>
    <row r="1299" customFormat="false" ht="15" hidden="false" customHeight="false" outlineLevel="0" collapsed="false">
      <c r="A1299" s="27"/>
      <c r="B1299" s="17" t="str">
        <f aca="false">IF($A1299="","",COUNTIFS(Orders!$C$2:$C$20001,$A1299,Orders!$E$2:$E$20001,"COD",Orders!$F$2:$F$20001,"Delivered")+COUNTIFS(Orders!$C$2:$C$20001,$A1299,Orders!$E$2:$E$20001,"COD",Orders!$F$2:$F$20001,"RTO"))</f>
        <v/>
      </c>
      <c r="C1299" s="17" t="str">
        <f aca="false">IF($A1299="","",COUNTIFS(Orders!$C$2:$C$20001,$A1299,Orders!$E$2:$E$20001,"COD",Orders!$F$2:$F$20001,"RTO"))</f>
        <v/>
      </c>
      <c r="D1299" s="18" t="str">
        <f aca="false">IF($A1299="","",IFERROR(C1299/B1299,0))</f>
        <v/>
      </c>
      <c r="E1299" s="17" t="str">
        <f aca="false">IF($A1299="","",COUNTIFS(Orders!$C$2:$C$20001,$A1299,Orders!$E$2:$E$20001,"Prepaid",Orders!$F$2:$F$20001,"Delivered")+COUNTIFS(Orders!$C$2:$C$20001,$A1299,Orders!$E$2:$E$20001,"Prepaid",Orders!$F$2:$F$20001,"RTO"))</f>
        <v/>
      </c>
      <c r="F1299" s="17" t="str">
        <f aca="false">IF($A1299="","",COUNTIFS(Orders!$C$2:$C$20001,$A1299,Orders!$E$2:$E$20001,"Prepaid",Orders!$F$2:$F$20001,"RTO"))</f>
        <v/>
      </c>
      <c r="G1299" s="18" t="str">
        <f aca="false">IF($A1299="","",IFERROR(F1299/E1299,0))</f>
        <v/>
      </c>
      <c r="H1299" s="19" t="str">
        <f aca="false">IF($A1299="","",C1299*Settings!$B$11)</f>
        <v/>
      </c>
      <c r="I1299" s="20" t="str">
        <f aca="false">IF($A1299="","",IF(N(H1299)=0,"",RANK(H1299,$H$5:$H$2004)))</f>
        <v/>
      </c>
      <c r="J1299" s="21" t="str">
        <f aca="false">IF($A1299="","",IF(B1299=0,"No COD orders",IF(B1299&lt;Settings!$B$8,"Too few orders",IF(D1299&gt;=Settings!$B$9,"Restrict COD or verify","Keep COD"))))</f>
        <v/>
      </c>
    </row>
    <row r="1300" customFormat="false" ht="15" hidden="false" customHeight="false" outlineLevel="0" collapsed="false">
      <c r="A1300" s="27"/>
      <c r="B1300" s="17" t="str">
        <f aca="false">IF($A1300="","",COUNTIFS(Orders!$C$2:$C$20001,$A1300,Orders!$E$2:$E$20001,"COD",Orders!$F$2:$F$20001,"Delivered")+COUNTIFS(Orders!$C$2:$C$20001,$A1300,Orders!$E$2:$E$20001,"COD",Orders!$F$2:$F$20001,"RTO"))</f>
        <v/>
      </c>
      <c r="C1300" s="17" t="str">
        <f aca="false">IF($A1300="","",COUNTIFS(Orders!$C$2:$C$20001,$A1300,Orders!$E$2:$E$20001,"COD",Orders!$F$2:$F$20001,"RTO"))</f>
        <v/>
      </c>
      <c r="D1300" s="18" t="str">
        <f aca="false">IF($A1300="","",IFERROR(C1300/B1300,0))</f>
        <v/>
      </c>
      <c r="E1300" s="17" t="str">
        <f aca="false">IF($A1300="","",COUNTIFS(Orders!$C$2:$C$20001,$A1300,Orders!$E$2:$E$20001,"Prepaid",Orders!$F$2:$F$20001,"Delivered")+COUNTIFS(Orders!$C$2:$C$20001,$A1300,Orders!$E$2:$E$20001,"Prepaid",Orders!$F$2:$F$20001,"RTO"))</f>
        <v/>
      </c>
      <c r="F1300" s="17" t="str">
        <f aca="false">IF($A1300="","",COUNTIFS(Orders!$C$2:$C$20001,$A1300,Orders!$E$2:$E$20001,"Prepaid",Orders!$F$2:$F$20001,"RTO"))</f>
        <v/>
      </c>
      <c r="G1300" s="18" t="str">
        <f aca="false">IF($A1300="","",IFERROR(F1300/E1300,0))</f>
        <v/>
      </c>
      <c r="H1300" s="19" t="str">
        <f aca="false">IF($A1300="","",C1300*Settings!$B$11)</f>
        <v/>
      </c>
      <c r="I1300" s="20" t="str">
        <f aca="false">IF($A1300="","",IF(N(H1300)=0,"",RANK(H1300,$H$5:$H$2004)))</f>
        <v/>
      </c>
      <c r="J1300" s="21" t="str">
        <f aca="false">IF($A1300="","",IF(B1300=0,"No COD orders",IF(B1300&lt;Settings!$B$8,"Too few orders",IF(D1300&gt;=Settings!$B$9,"Restrict COD or verify","Keep COD"))))</f>
        <v/>
      </c>
    </row>
    <row r="1301" customFormat="false" ht="15" hidden="false" customHeight="false" outlineLevel="0" collapsed="false">
      <c r="A1301" s="27"/>
      <c r="B1301" s="17" t="str">
        <f aca="false">IF($A1301="","",COUNTIFS(Orders!$C$2:$C$20001,$A1301,Orders!$E$2:$E$20001,"COD",Orders!$F$2:$F$20001,"Delivered")+COUNTIFS(Orders!$C$2:$C$20001,$A1301,Orders!$E$2:$E$20001,"COD",Orders!$F$2:$F$20001,"RTO"))</f>
        <v/>
      </c>
      <c r="C1301" s="17" t="str">
        <f aca="false">IF($A1301="","",COUNTIFS(Orders!$C$2:$C$20001,$A1301,Orders!$E$2:$E$20001,"COD",Orders!$F$2:$F$20001,"RTO"))</f>
        <v/>
      </c>
      <c r="D1301" s="18" t="str">
        <f aca="false">IF($A1301="","",IFERROR(C1301/B1301,0))</f>
        <v/>
      </c>
      <c r="E1301" s="17" t="str">
        <f aca="false">IF($A1301="","",COUNTIFS(Orders!$C$2:$C$20001,$A1301,Orders!$E$2:$E$20001,"Prepaid",Orders!$F$2:$F$20001,"Delivered")+COUNTIFS(Orders!$C$2:$C$20001,$A1301,Orders!$E$2:$E$20001,"Prepaid",Orders!$F$2:$F$20001,"RTO"))</f>
        <v/>
      </c>
      <c r="F1301" s="17" t="str">
        <f aca="false">IF($A1301="","",COUNTIFS(Orders!$C$2:$C$20001,$A1301,Orders!$E$2:$E$20001,"Prepaid",Orders!$F$2:$F$20001,"RTO"))</f>
        <v/>
      </c>
      <c r="G1301" s="18" t="str">
        <f aca="false">IF($A1301="","",IFERROR(F1301/E1301,0))</f>
        <v/>
      </c>
      <c r="H1301" s="19" t="str">
        <f aca="false">IF($A1301="","",C1301*Settings!$B$11)</f>
        <v/>
      </c>
      <c r="I1301" s="20" t="str">
        <f aca="false">IF($A1301="","",IF(N(H1301)=0,"",RANK(H1301,$H$5:$H$2004)))</f>
        <v/>
      </c>
      <c r="J1301" s="21" t="str">
        <f aca="false">IF($A1301="","",IF(B1301=0,"No COD orders",IF(B1301&lt;Settings!$B$8,"Too few orders",IF(D1301&gt;=Settings!$B$9,"Restrict COD or verify","Keep COD"))))</f>
        <v/>
      </c>
    </row>
    <row r="1302" customFormat="false" ht="15" hidden="false" customHeight="false" outlineLevel="0" collapsed="false">
      <c r="A1302" s="27"/>
      <c r="B1302" s="17" t="str">
        <f aca="false">IF($A1302="","",COUNTIFS(Orders!$C$2:$C$20001,$A1302,Orders!$E$2:$E$20001,"COD",Orders!$F$2:$F$20001,"Delivered")+COUNTIFS(Orders!$C$2:$C$20001,$A1302,Orders!$E$2:$E$20001,"COD",Orders!$F$2:$F$20001,"RTO"))</f>
        <v/>
      </c>
      <c r="C1302" s="17" t="str">
        <f aca="false">IF($A1302="","",COUNTIFS(Orders!$C$2:$C$20001,$A1302,Orders!$E$2:$E$20001,"COD",Orders!$F$2:$F$20001,"RTO"))</f>
        <v/>
      </c>
      <c r="D1302" s="18" t="str">
        <f aca="false">IF($A1302="","",IFERROR(C1302/B1302,0))</f>
        <v/>
      </c>
      <c r="E1302" s="17" t="str">
        <f aca="false">IF($A1302="","",COUNTIFS(Orders!$C$2:$C$20001,$A1302,Orders!$E$2:$E$20001,"Prepaid",Orders!$F$2:$F$20001,"Delivered")+COUNTIFS(Orders!$C$2:$C$20001,$A1302,Orders!$E$2:$E$20001,"Prepaid",Orders!$F$2:$F$20001,"RTO"))</f>
        <v/>
      </c>
      <c r="F1302" s="17" t="str">
        <f aca="false">IF($A1302="","",COUNTIFS(Orders!$C$2:$C$20001,$A1302,Orders!$E$2:$E$20001,"Prepaid",Orders!$F$2:$F$20001,"RTO"))</f>
        <v/>
      </c>
      <c r="G1302" s="18" t="str">
        <f aca="false">IF($A1302="","",IFERROR(F1302/E1302,0))</f>
        <v/>
      </c>
      <c r="H1302" s="19" t="str">
        <f aca="false">IF($A1302="","",C1302*Settings!$B$11)</f>
        <v/>
      </c>
      <c r="I1302" s="20" t="str">
        <f aca="false">IF($A1302="","",IF(N(H1302)=0,"",RANK(H1302,$H$5:$H$2004)))</f>
        <v/>
      </c>
      <c r="J1302" s="21" t="str">
        <f aca="false">IF($A1302="","",IF(B1302=0,"No COD orders",IF(B1302&lt;Settings!$B$8,"Too few orders",IF(D1302&gt;=Settings!$B$9,"Restrict COD or verify","Keep COD"))))</f>
        <v/>
      </c>
    </row>
    <row r="1303" customFormat="false" ht="15" hidden="false" customHeight="false" outlineLevel="0" collapsed="false">
      <c r="A1303" s="27"/>
      <c r="B1303" s="17" t="str">
        <f aca="false">IF($A1303="","",COUNTIFS(Orders!$C$2:$C$20001,$A1303,Orders!$E$2:$E$20001,"COD",Orders!$F$2:$F$20001,"Delivered")+COUNTIFS(Orders!$C$2:$C$20001,$A1303,Orders!$E$2:$E$20001,"COD",Orders!$F$2:$F$20001,"RTO"))</f>
        <v/>
      </c>
      <c r="C1303" s="17" t="str">
        <f aca="false">IF($A1303="","",COUNTIFS(Orders!$C$2:$C$20001,$A1303,Orders!$E$2:$E$20001,"COD",Orders!$F$2:$F$20001,"RTO"))</f>
        <v/>
      </c>
      <c r="D1303" s="18" t="str">
        <f aca="false">IF($A1303="","",IFERROR(C1303/B1303,0))</f>
        <v/>
      </c>
      <c r="E1303" s="17" t="str">
        <f aca="false">IF($A1303="","",COUNTIFS(Orders!$C$2:$C$20001,$A1303,Orders!$E$2:$E$20001,"Prepaid",Orders!$F$2:$F$20001,"Delivered")+COUNTIFS(Orders!$C$2:$C$20001,$A1303,Orders!$E$2:$E$20001,"Prepaid",Orders!$F$2:$F$20001,"RTO"))</f>
        <v/>
      </c>
      <c r="F1303" s="17" t="str">
        <f aca="false">IF($A1303="","",COUNTIFS(Orders!$C$2:$C$20001,$A1303,Orders!$E$2:$E$20001,"Prepaid",Orders!$F$2:$F$20001,"RTO"))</f>
        <v/>
      </c>
      <c r="G1303" s="18" t="str">
        <f aca="false">IF($A1303="","",IFERROR(F1303/E1303,0))</f>
        <v/>
      </c>
      <c r="H1303" s="19" t="str">
        <f aca="false">IF($A1303="","",C1303*Settings!$B$11)</f>
        <v/>
      </c>
      <c r="I1303" s="20" t="str">
        <f aca="false">IF($A1303="","",IF(N(H1303)=0,"",RANK(H1303,$H$5:$H$2004)))</f>
        <v/>
      </c>
      <c r="J1303" s="21" t="str">
        <f aca="false">IF($A1303="","",IF(B1303=0,"No COD orders",IF(B1303&lt;Settings!$B$8,"Too few orders",IF(D1303&gt;=Settings!$B$9,"Restrict COD or verify","Keep COD"))))</f>
        <v/>
      </c>
    </row>
    <row r="1304" customFormat="false" ht="15" hidden="false" customHeight="false" outlineLevel="0" collapsed="false">
      <c r="A1304" s="27"/>
      <c r="B1304" s="17" t="str">
        <f aca="false">IF($A1304="","",COUNTIFS(Orders!$C$2:$C$20001,$A1304,Orders!$E$2:$E$20001,"COD",Orders!$F$2:$F$20001,"Delivered")+COUNTIFS(Orders!$C$2:$C$20001,$A1304,Orders!$E$2:$E$20001,"COD",Orders!$F$2:$F$20001,"RTO"))</f>
        <v/>
      </c>
      <c r="C1304" s="17" t="str">
        <f aca="false">IF($A1304="","",COUNTIFS(Orders!$C$2:$C$20001,$A1304,Orders!$E$2:$E$20001,"COD",Orders!$F$2:$F$20001,"RTO"))</f>
        <v/>
      </c>
      <c r="D1304" s="18" t="str">
        <f aca="false">IF($A1304="","",IFERROR(C1304/B1304,0))</f>
        <v/>
      </c>
      <c r="E1304" s="17" t="str">
        <f aca="false">IF($A1304="","",COUNTIFS(Orders!$C$2:$C$20001,$A1304,Orders!$E$2:$E$20001,"Prepaid",Orders!$F$2:$F$20001,"Delivered")+COUNTIFS(Orders!$C$2:$C$20001,$A1304,Orders!$E$2:$E$20001,"Prepaid",Orders!$F$2:$F$20001,"RTO"))</f>
        <v/>
      </c>
      <c r="F1304" s="17" t="str">
        <f aca="false">IF($A1304="","",COUNTIFS(Orders!$C$2:$C$20001,$A1304,Orders!$E$2:$E$20001,"Prepaid",Orders!$F$2:$F$20001,"RTO"))</f>
        <v/>
      </c>
      <c r="G1304" s="18" t="str">
        <f aca="false">IF($A1304="","",IFERROR(F1304/E1304,0))</f>
        <v/>
      </c>
      <c r="H1304" s="19" t="str">
        <f aca="false">IF($A1304="","",C1304*Settings!$B$11)</f>
        <v/>
      </c>
      <c r="I1304" s="20" t="str">
        <f aca="false">IF($A1304="","",IF(N(H1304)=0,"",RANK(H1304,$H$5:$H$2004)))</f>
        <v/>
      </c>
      <c r="J1304" s="21" t="str">
        <f aca="false">IF($A1304="","",IF(B1304=0,"No COD orders",IF(B1304&lt;Settings!$B$8,"Too few orders",IF(D1304&gt;=Settings!$B$9,"Restrict COD or verify","Keep COD"))))</f>
        <v/>
      </c>
    </row>
    <row r="1305" customFormat="false" ht="15" hidden="false" customHeight="false" outlineLevel="0" collapsed="false">
      <c r="A1305" s="27"/>
      <c r="B1305" s="17" t="str">
        <f aca="false">IF($A1305="","",COUNTIFS(Orders!$C$2:$C$20001,$A1305,Orders!$E$2:$E$20001,"COD",Orders!$F$2:$F$20001,"Delivered")+COUNTIFS(Orders!$C$2:$C$20001,$A1305,Orders!$E$2:$E$20001,"COD",Orders!$F$2:$F$20001,"RTO"))</f>
        <v/>
      </c>
      <c r="C1305" s="17" t="str">
        <f aca="false">IF($A1305="","",COUNTIFS(Orders!$C$2:$C$20001,$A1305,Orders!$E$2:$E$20001,"COD",Orders!$F$2:$F$20001,"RTO"))</f>
        <v/>
      </c>
      <c r="D1305" s="18" t="str">
        <f aca="false">IF($A1305="","",IFERROR(C1305/B1305,0))</f>
        <v/>
      </c>
      <c r="E1305" s="17" t="str">
        <f aca="false">IF($A1305="","",COUNTIFS(Orders!$C$2:$C$20001,$A1305,Orders!$E$2:$E$20001,"Prepaid",Orders!$F$2:$F$20001,"Delivered")+COUNTIFS(Orders!$C$2:$C$20001,$A1305,Orders!$E$2:$E$20001,"Prepaid",Orders!$F$2:$F$20001,"RTO"))</f>
        <v/>
      </c>
      <c r="F1305" s="17" t="str">
        <f aca="false">IF($A1305="","",COUNTIFS(Orders!$C$2:$C$20001,$A1305,Orders!$E$2:$E$20001,"Prepaid",Orders!$F$2:$F$20001,"RTO"))</f>
        <v/>
      </c>
      <c r="G1305" s="18" t="str">
        <f aca="false">IF($A1305="","",IFERROR(F1305/E1305,0))</f>
        <v/>
      </c>
      <c r="H1305" s="19" t="str">
        <f aca="false">IF($A1305="","",C1305*Settings!$B$11)</f>
        <v/>
      </c>
      <c r="I1305" s="20" t="str">
        <f aca="false">IF($A1305="","",IF(N(H1305)=0,"",RANK(H1305,$H$5:$H$2004)))</f>
        <v/>
      </c>
      <c r="J1305" s="21" t="str">
        <f aca="false">IF($A1305="","",IF(B1305=0,"No COD orders",IF(B1305&lt;Settings!$B$8,"Too few orders",IF(D1305&gt;=Settings!$B$9,"Restrict COD or verify","Keep COD"))))</f>
        <v/>
      </c>
    </row>
    <row r="1306" customFormat="false" ht="15" hidden="false" customHeight="false" outlineLevel="0" collapsed="false">
      <c r="A1306" s="27"/>
      <c r="B1306" s="17" t="str">
        <f aca="false">IF($A1306="","",COUNTIFS(Orders!$C$2:$C$20001,$A1306,Orders!$E$2:$E$20001,"COD",Orders!$F$2:$F$20001,"Delivered")+COUNTIFS(Orders!$C$2:$C$20001,$A1306,Orders!$E$2:$E$20001,"COD",Orders!$F$2:$F$20001,"RTO"))</f>
        <v/>
      </c>
      <c r="C1306" s="17" t="str">
        <f aca="false">IF($A1306="","",COUNTIFS(Orders!$C$2:$C$20001,$A1306,Orders!$E$2:$E$20001,"COD",Orders!$F$2:$F$20001,"RTO"))</f>
        <v/>
      </c>
      <c r="D1306" s="18" t="str">
        <f aca="false">IF($A1306="","",IFERROR(C1306/B1306,0))</f>
        <v/>
      </c>
      <c r="E1306" s="17" t="str">
        <f aca="false">IF($A1306="","",COUNTIFS(Orders!$C$2:$C$20001,$A1306,Orders!$E$2:$E$20001,"Prepaid",Orders!$F$2:$F$20001,"Delivered")+COUNTIFS(Orders!$C$2:$C$20001,$A1306,Orders!$E$2:$E$20001,"Prepaid",Orders!$F$2:$F$20001,"RTO"))</f>
        <v/>
      </c>
      <c r="F1306" s="17" t="str">
        <f aca="false">IF($A1306="","",COUNTIFS(Orders!$C$2:$C$20001,$A1306,Orders!$E$2:$E$20001,"Prepaid",Orders!$F$2:$F$20001,"RTO"))</f>
        <v/>
      </c>
      <c r="G1306" s="18" t="str">
        <f aca="false">IF($A1306="","",IFERROR(F1306/E1306,0))</f>
        <v/>
      </c>
      <c r="H1306" s="19" t="str">
        <f aca="false">IF($A1306="","",C1306*Settings!$B$11)</f>
        <v/>
      </c>
      <c r="I1306" s="20" t="str">
        <f aca="false">IF($A1306="","",IF(N(H1306)=0,"",RANK(H1306,$H$5:$H$2004)))</f>
        <v/>
      </c>
      <c r="J1306" s="21" t="str">
        <f aca="false">IF($A1306="","",IF(B1306=0,"No COD orders",IF(B1306&lt;Settings!$B$8,"Too few orders",IF(D1306&gt;=Settings!$B$9,"Restrict COD or verify","Keep COD"))))</f>
        <v/>
      </c>
    </row>
    <row r="1307" customFormat="false" ht="15" hidden="false" customHeight="false" outlineLevel="0" collapsed="false">
      <c r="A1307" s="27"/>
      <c r="B1307" s="17" t="str">
        <f aca="false">IF($A1307="","",COUNTIFS(Orders!$C$2:$C$20001,$A1307,Orders!$E$2:$E$20001,"COD",Orders!$F$2:$F$20001,"Delivered")+COUNTIFS(Orders!$C$2:$C$20001,$A1307,Orders!$E$2:$E$20001,"COD",Orders!$F$2:$F$20001,"RTO"))</f>
        <v/>
      </c>
      <c r="C1307" s="17" t="str">
        <f aca="false">IF($A1307="","",COUNTIFS(Orders!$C$2:$C$20001,$A1307,Orders!$E$2:$E$20001,"COD",Orders!$F$2:$F$20001,"RTO"))</f>
        <v/>
      </c>
      <c r="D1307" s="18" t="str">
        <f aca="false">IF($A1307="","",IFERROR(C1307/B1307,0))</f>
        <v/>
      </c>
      <c r="E1307" s="17" t="str">
        <f aca="false">IF($A1307="","",COUNTIFS(Orders!$C$2:$C$20001,$A1307,Orders!$E$2:$E$20001,"Prepaid",Orders!$F$2:$F$20001,"Delivered")+COUNTIFS(Orders!$C$2:$C$20001,$A1307,Orders!$E$2:$E$20001,"Prepaid",Orders!$F$2:$F$20001,"RTO"))</f>
        <v/>
      </c>
      <c r="F1307" s="17" t="str">
        <f aca="false">IF($A1307="","",COUNTIFS(Orders!$C$2:$C$20001,$A1307,Orders!$E$2:$E$20001,"Prepaid",Orders!$F$2:$F$20001,"RTO"))</f>
        <v/>
      </c>
      <c r="G1307" s="18" t="str">
        <f aca="false">IF($A1307="","",IFERROR(F1307/E1307,0))</f>
        <v/>
      </c>
      <c r="H1307" s="19" t="str">
        <f aca="false">IF($A1307="","",C1307*Settings!$B$11)</f>
        <v/>
      </c>
      <c r="I1307" s="20" t="str">
        <f aca="false">IF($A1307="","",IF(N(H1307)=0,"",RANK(H1307,$H$5:$H$2004)))</f>
        <v/>
      </c>
      <c r="J1307" s="21" t="str">
        <f aca="false">IF($A1307="","",IF(B1307=0,"No COD orders",IF(B1307&lt;Settings!$B$8,"Too few orders",IF(D1307&gt;=Settings!$B$9,"Restrict COD or verify","Keep COD"))))</f>
        <v/>
      </c>
    </row>
    <row r="1308" customFormat="false" ht="15" hidden="false" customHeight="false" outlineLevel="0" collapsed="false">
      <c r="A1308" s="27"/>
      <c r="B1308" s="17" t="str">
        <f aca="false">IF($A1308="","",COUNTIFS(Orders!$C$2:$C$20001,$A1308,Orders!$E$2:$E$20001,"COD",Orders!$F$2:$F$20001,"Delivered")+COUNTIFS(Orders!$C$2:$C$20001,$A1308,Orders!$E$2:$E$20001,"COD",Orders!$F$2:$F$20001,"RTO"))</f>
        <v/>
      </c>
      <c r="C1308" s="17" t="str">
        <f aca="false">IF($A1308="","",COUNTIFS(Orders!$C$2:$C$20001,$A1308,Orders!$E$2:$E$20001,"COD",Orders!$F$2:$F$20001,"RTO"))</f>
        <v/>
      </c>
      <c r="D1308" s="18" t="str">
        <f aca="false">IF($A1308="","",IFERROR(C1308/B1308,0))</f>
        <v/>
      </c>
      <c r="E1308" s="17" t="str">
        <f aca="false">IF($A1308="","",COUNTIFS(Orders!$C$2:$C$20001,$A1308,Orders!$E$2:$E$20001,"Prepaid",Orders!$F$2:$F$20001,"Delivered")+COUNTIFS(Orders!$C$2:$C$20001,$A1308,Orders!$E$2:$E$20001,"Prepaid",Orders!$F$2:$F$20001,"RTO"))</f>
        <v/>
      </c>
      <c r="F1308" s="17" t="str">
        <f aca="false">IF($A1308="","",COUNTIFS(Orders!$C$2:$C$20001,$A1308,Orders!$E$2:$E$20001,"Prepaid",Orders!$F$2:$F$20001,"RTO"))</f>
        <v/>
      </c>
      <c r="G1308" s="18" t="str">
        <f aca="false">IF($A1308="","",IFERROR(F1308/E1308,0))</f>
        <v/>
      </c>
      <c r="H1308" s="19" t="str">
        <f aca="false">IF($A1308="","",C1308*Settings!$B$11)</f>
        <v/>
      </c>
      <c r="I1308" s="20" t="str">
        <f aca="false">IF($A1308="","",IF(N(H1308)=0,"",RANK(H1308,$H$5:$H$2004)))</f>
        <v/>
      </c>
      <c r="J1308" s="21" t="str">
        <f aca="false">IF($A1308="","",IF(B1308=0,"No COD orders",IF(B1308&lt;Settings!$B$8,"Too few orders",IF(D1308&gt;=Settings!$B$9,"Restrict COD or verify","Keep COD"))))</f>
        <v/>
      </c>
    </row>
    <row r="1309" customFormat="false" ht="15" hidden="false" customHeight="false" outlineLevel="0" collapsed="false">
      <c r="A1309" s="27"/>
      <c r="B1309" s="17" t="str">
        <f aca="false">IF($A1309="","",COUNTIFS(Orders!$C$2:$C$20001,$A1309,Orders!$E$2:$E$20001,"COD",Orders!$F$2:$F$20001,"Delivered")+COUNTIFS(Orders!$C$2:$C$20001,$A1309,Orders!$E$2:$E$20001,"COD",Orders!$F$2:$F$20001,"RTO"))</f>
        <v/>
      </c>
      <c r="C1309" s="17" t="str">
        <f aca="false">IF($A1309="","",COUNTIFS(Orders!$C$2:$C$20001,$A1309,Orders!$E$2:$E$20001,"COD",Orders!$F$2:$F$20001,"RTO"))</f>
        <v/>
      </c>
      <c r="D1309" s="18" t="str">
        <f aca="false">IF($A1309="","",IFERROR(C1309/B1309,0))</f>
        <v/>
      </c>
      <c r="E1309" s="17" t="str">
        <f aca="false">IF($A1309="","",COUNTIFS(Orders!$C$2:$C$20001,$A1309,Orders!$E$2:$E$20001,"Prepaid",Orders!$F$2:$F$20001,"Delivered")+COUNTIFS(Orders!$C$2:$C$20001,$A1309,Orders!$E$2:$E$20001,"Prepaid",Orders!$F$2:$F$20001,"RTO"))</f>
        <v/>
      </c>
      <c r="F1309" s="17" t="str">
        <f aca="false">IF($A1309="","",COUNTIFS(Orders!$C$2:$C$20001,$A1309,Orders!$E$2:$E$20001,"Prepaid",Orders!$F$2:$F$20001,"RTO"))</f>
        <v/>
      </c>
      <c r="G1309" s="18" t="str">
        <f aca="false">IF($A1309="","",IFERROR(F1309/E1309,0))</f>
        <v/>
      </c>
      <c r="H1309" s="19" t="str">
        <f aca="false">IF($A1309="","",C1309*Settings!$B$11)</f>
        <v/>
      </c>
      <c r="I1309" s="20" t="str">
        <f aca="false">IF($A1309="","",IF(N(H1309)=0,"",RANK(H1309,$H$5:$H$2004)))</f>
        <v/>
      </c>
      <c r="J1309" s="21" t="str">
        <f aca="false">IF($A1309="","",IF(B1309=0,"No COD orders",IF(B1309&lt;Settings!$B$8,"Too few orders",IF(D1309&gt;=Settings!$B$9,"Restrict COD or verify","Keep COD"))))</f>
        <v/>
      </c>
    </row>
    <row r="1310" customFormat="false" ht="15" hidden="false" customHeight="false" outlineLevel="0" collapsed="false">
      <c r="A1310" s="27"/>
      <c r="B1310" s="17" t="str">
        <f aca="false">IF($A1310="","",COUNTIFS(Orders!$C$2:$C$20001,$A1310,Orders!$E$2:$E$20001,"COD",Orders!$F$2:$F$20001,"Delivered")+COUNTIFS(Orders!$C$2:$C$20001,$A1310,Orders!$E$2:$E$20001,"COD",Orders!$F$2:$F$20001,"RTO"))</f>
        <v/>
      </c>
      <c r="C1310" s="17" t="str">
        <f aca="false">IF($A1310="","",COUNTIFS(Orders!$C$2:$C$20001,$A1310,Orders!$E$2:$E$20001,"COD",Orders!$F$2:$F$20001,"RTO"))</f>
        <v/>
      </c>
      <c r="D1310" s="18" t="str">
        <f aca="false">IF($A1310="","",IFERROR(C1310/B1310,0))</f>
        <v/>
      </c>
      <c r="E1310" s="17" t="str">
        <f aca="false">IF($A1310="","",COUNTIFS(Orders!$C$2:$C$20001,$A1310,Orders!$E$2:$E$20001,"Prepaid",Orders!$F$2:$F$20001,"Delivered")+COUNTIFS(Orders!$C$2:$C$20001,$A1310,Orders!$E$2:$E$20001,"Prepaid",Orders!$F$2:$F$20001,"RTO"))</f>
        <v/>
      </c>
      <c r="F1310" s="17" t="str">
        <f aca="false">IF($A1310="","",COUNTIFS(Orders!$C$2:$C$20001,$A1310,Orders!$E$2:$E$20001,"Prepaid",Orders!$F$2:$F$20001,"RTO"))</f>
        <v/>
      </c>
      <c r="G1310" s="18" t="str">
        <f aca="false">IF($A1310="","",IFERROR(F1310/E1310,0))</f>
        <v/>
      </c>
      <c r="H1310" s="19" t="str">
        <f aca="false">IF($A1310="","",C1310*Settings!$B$11)</f>
        <v/>
      </c>
      <c r="I1310" s="20" t="str">
        <f aca="false">IF($A1310="","",IF(N(H1310)=0,"",RANK(H1310,$H$5:$H$2004)))</f>
        <v/>
      </c>
      <c r="J1310" s="21" t="str">
        <f aca="false">IF($A1310="","",IF(B1310=0,"No COD orders",IF(B1310&lt;Settings!$B$8,"Too few orders",IF(D1310&gt;=Settings!$B$9,"Restrict COD or verify","Keep COD"))))</f>
        <v/>
      </c>
    </row>
    <row r="1311" customFormat="false" ht="15" hidden="false" customHeight="false" outlineLevel="0" collapsed="false">
      <c r="A1311" s="27"/>
      <c r="B1311" s="17" t="str">
        <f aca="false">IF($A1311="","",COUNTIFS(Orders!$C$2:$C$20001,$A1311,Orders!$E$2:$E$20001,"COD",Orders!$F$2:$F$20001,"Delivered")+COUNTIFS(Orders!$C$2:$C$20001,$A1311,Orders!$E$2:$E$20001,"COD",Orders!$F$2:$F$20001,"RTO"))</f>
        <v/>
      </c>
      <c r="C1311" s="17" t="str">
        <f aca="false">IF($A1311="","",COUNTIFS(Orders!$C$2:$C$20001,$A1311,Orders!$E$2:$E$20001,"COD",Orders!$F$2:$F$20001,"RTO"))</f>
        <v/>
      </c>
      <c r="D1311" s="18" t="str">
        <f aca="false">IF($A1311="","",IFERROR(C1311/B1311,0))</f>
        <v/>
      </c>
      <c r="E1311" s="17" t="str">
        <f aca="false">IF($A1311="","",COUNTIFS(Orders!$C$2:$C$20001,$A1311,Orders!$E$2:$E$20001,"Prepaid",Orders!$F$2:$F$20001,"Delivered")+COUNTIFS(Orders!$C$2:$C$20001,$A1311,Orders!$E$2:$E$20001,"Prepaid",Orders!$F$2:$F$20001,"RTO"))</f>
        <v/>
      </c>
      <c r="F1311" s="17" t="str">
        <f aca="false">IF($A1311="","",COUNTIFS(Orders!$C$2:$C$20001,$A1311,Orders!$E$2:$E$20001,"Prepaid",Orders!$F$2:$F$20001,"RTO"))</f>
        <v/>
      </c>
      <c r="G1311" s="18" t="str">
        <f aca="false">IF($A1311="","",IFERROR(F1311/E1311,0))</f>
        <v/>
      </c>
      <c r="H1311" s="19" t="str">
        <f aca="false">IF($A1311="","",C1311*Settings!$B$11)</f>
        <v/>
      </c>
      <c r="I1311" s="20" t="str">
        <f aca="false">IF($A1311="","",IF(N(H1311)=0,"",RANK(H1311,$H$5:$H$2004)))</f>
        <v/>
      </c>
      <c r="J1311" s="21" t="str">
        <f aca="false">IF($A1311="","",IF(B1311=0,"No COD orders",IF(B1311&lt;Settings!$B$8,"Too few orders",IF(D1311&gt;=Settings!$B$9,"Restrict COD or verify","Keep COD"))))</f>
        <v/>
      </c>
    </row>
    <row r="1312" customFormat="false" ht="15" hidden="false" customHeight="false" outlineLevel="0" collapsed="false">
      <c r="A1312" s="27"/>
      <c r="B1312" s="17" t="str">
        <f aca="false">IF($A1312="","",COUNTIFS(Orders!$C$2:$C$20001,$A1312,Orders!$E$2:$E$20001,"COD",Orders!$F$2:$F$20001,"Delivered")+COUNTIFS(Orders!$C$2:$C$20001,$A1312,Orders!$E$2:$E$20001,"COD",Orders!$F$2:$F$20001,"RTO"))</f>
        <v/>
      </c>
      <c r="C1312" s="17" t="str">
        <f aca="false">IF($A1312="","",COUNTIFS(Orders!$C$2:$C$20001,$A1312,Orders!$E$2:$E$20001,"COD",Orders!$F$2:$F$20001,"RTO"))</f>
        <v/>
      </c>
      <c r="D1312" s="18" t="str">
        <f aca="false">IF($A1312="","",IFERROR(C1312/B1312,0))</f>
        <v/>
      </c>
      <c r="E1312" s="17" t="str">
        <f aca="false">IF($A1312="","",COUNTIFS(Orders!$C$2:$C$20001,$A1312,Orders!$E$2:$E$20001,"Prepaid",Orders!$F$2:$F$20001,"Delivered")+COUNTIFS(Orders!$C$2:$C$20001,$A1312,Orders!$E$2:$E$20001,"Prepaid",Orders!$F$2:$F$20001,"RTO"))</f>
        <v/>
      </c>
      <c r="F1312" s="17" t="str">
        <f aca="false">IF($A1312="","",COUNTIFS(Orders!$C$2:$C$20001,$A1312,Orders!$E$2:$E$20001,"Prepaid",Orders!$F$2:$F$20001,"RTO"))</f>
        <v/>
      </c>
      <c r="G1312" s="18" t="str">
        <f aca="false">IF($A1312="","",IFERROR(F1312/E1312,0))</f>
        <v/>
      </c>
      <c r="H1312" s="19" t="str">
        <f aca="false">IF($A1312="","",C1312*Settings!$B$11)</f>
        <v/>
      </c>
      <c r="I1312" s="20" t="str">
        <f aca="false">IF($A1312="","",IF(N(H1312)=0,"",RANK(H1312,$H$5:$H$2004)))</f>
        <v/>
      </c>
      <c r="J1312" s="21" t="str">
        <f aca="false">IF($A1312="","",IF(B1312=0,"No COD orders",IF(B1312&lt;Settings!$B$8,"Too few orders",IF(D1312&gt;=Settings!$B$9,"Restrict COD or verify","Keep COD"))))</f>
        <v/>
      </c>
    </row>
    <row r="1313" customFormat="false" ht="15" hidden="false" customHeight="false" outlineLevel="0" collapsed="false">
      <c r="A1313" s="27"/>
      <c r="B1313" s="17" t="str">
        <f aca="false">IF($A1313="","",COUNTIFS(Orders!$C$2:$C$20001,$A1313,Orders!$E$2:$E$20001,"COD",Orders!$F$2:$F$20001,"Delivered")+COUNTIFS(Orders!$C$2:$C$20001,$A1313,Orders!$E$2:$E$20001,"COD",Orders!$F$2:$F$20001,"RTO"))</f>
        <v/>
      </c>
      <c r="C1313" s="17" t="str">
        <f aca="false">IF($A1313="","",COUNTIFS(Orders!$C$2:$C$20001,$A1313,Orders!$E$2:$E$20001,"COD",Orders!$F$2:$F$20001,"RTO"))</f>
        <v/>
      </c>
      <c r="D1313" s="18" t="str">
        <f aca="false">IF($A1313="","",IFERROR(C1313/B1313,0))</f>
        <v/>
      </c>
      <c r="E1313" s="17" t="str">
        <f aca="false">IF($A1313="","",COUNTIFS(Orders!$C$2:$C$20001,$A1313,Orders!$E$2:$E$20001,"Prepaid",Orders!$F$2:$F$20001,"Delivered")+COUNTIFS(Orders!$C$2:$C$20001,$A1313,Orders!$E$2:$E$20001,"Prepaid",Orders!$F$2:$F$20001,"RTO"))</f>
        <v/>
      </c>
      <c r="F1313" s="17" t="str">
        <f aca="false">IF($A1313="","",COUNTIFS(Orders!$C$2:$C$20001,$A1313,Orders!$E$2:$E$20001,"Prepaid",Orders!$F$2:$F$20001,"RTO"))</f>
        <v/>
      </c>
      <c r="G1313" s="18" t="str">
        <f aca="false">IF($A1313="","",IFERROR(F1313/E1313,0))</f>
        <v/>
      </c>
      <c r="H1313" s="19" t="str">
        <f aca="false">IF($A1313="","",C1313*Settings!$B$11)</f>
        <v/>
      </c>
      <c r="I1313" s="20" t="str">
        <f aca="false">IF($A1313="","",IF(N(H1313)=0,"",RANK(H1313,$H$5:$H$2004)))</f>
        <v/>
      </c>
      <c r="J1313" s="21" t="str">
        <f aca="false">IF($A1313="","",IF(B1313=0,"No COD orders",IF(B1313&lt;Settings!$B$8,"Too few orders",IF(D1313&gt;=Settings!$B$9,"Restrict COD or verify","Keep COD"))))</f>
        <v/>
      </c>
    </row>
    <row r="1314" customFormat="false" ht="15" hidden="false" customHeight="false" outlineLevel="0" collapsed="false">
      <c r="A1314" s="27"/>
      <c r="B1314" s="17" t="str">
        <f aca="false">IF($A1314="","",COUNTIFS(Orders!$C$2:$C$20001,$A1314,Orders!$E$2:$E$20001,"COD",Orders!$F$2:$F$20001,"Delivered")+COUNTIFS(Orders!$C$2:$C$20001,$A1314,Orders!$E$2:$E$20001,"COD",Orders!$F$2:$F$20001,"RTO"))</f>
        <v/>
      </c>
      <c r="C1314" s="17" t="str">
        <f aca="false">IF($A1314="","",COUNTIFS(Orders!$C$2:$C$20001,$A1314,Orders!$E$2:$E$20001,"COD",Orders!$F$2:$F$20001,"RTO"))</f>
        <v/>
      </c>
      <c r="D1314" s="18" t="str">
        <f aca="false">IF($A1314="","",IFERROR(C1314/B1314,0))</f>
        <v/>
      </c>
      <c r="E1314" s="17" t="str">
        <f aca="false">IF($A1314="","",COUNTIFS(Orders!$C$2:$C$20001,$A1314,Orders!$E$2:$E$20001,"Prepaid",Orders!$F$2:$F$20001,"Delivered")+COUNTIFS(Orders!$C$2:$C$20001,$A1314,Orders!$E$2:$E$20001,"Prepaid",Orders!$F$2:$F$20001,"RTO"))</f>
        <v/>
      </c>
      <c r="F1314" s="17" t="str">
        <f aca="false">IF($A1314="","",COUNTIFS(Orders!$C$2:$C$20001,$A1314,Orders!$E$2:$E$20001,"Prepaid",Orders!$F$2:$F$20001,"RTO"))</f>
        <v/>
      </c>
      <c r="G1314" s="18" t="str">
        <f aca="false">IF($A1314="","",IFERROR(F1314/E1314,0))</f>
        <v/>
      </c>
      <c r="H1314" s="19" t="str">
        <f aca="false">IF($A1314="","",C1314*Settings!$B$11)</f>
        <v/>
      </c>
      <c r="I1314" s="20" t="str">
        <f aca="false">IF($A1314="","",IF(N(H1314)=0,"",RANK(H1314,$H$5:$H$2004)))</f>
        <v/>
      </c>
      <c r="J1314" s="21" t="str">
        <f aca="false">IF($A1314="","",IF(B1314=0,"No COD orders",IF(B1314&lt;Settings!$B$8,"Too few orders",IF(D1314&gt;=Settings!$B$9,"Restrict COD or verify","Keep COD"))))</f>
        <v/>
      </c>
    </row>
    <row r="1315" customFormat="false" ht="15" hidden="false" customHeight="false" outlineLevel="0" collapsed="false">
      <c r="A1315" s="27"/>
      <c r="B1315" s="17" t="str">
        <f aca="false">IF($A1315="","",COUNTIFS(Orders!$C$2:$C$20001,$A1315,Orders!$E$2:$E$20001,"COD",Orders!$F$2:$F$20001,"Delivered")+COUNTIFS(Orders!$C$2:$C$20001,$A1315,Orders!$E$2:$E$20001,"COD",Orders!$F$2:$F$20001,"RTO"))</f>
        <v/>
      </c>
      <c r="C1315" s="17" t="str">
        <f aca="false">IF($A1315="","",COUNTIFS(Orders!$C$2:$C$20001,$A1315,Orders!$E$2:$E$20001,"COD",Orders!$F$2:$F$20001,"RTO"))</f>
        <v/>
      </c>
      <c r="D1315" s="18" t="str">
        <f aca="false">IF($A1315="","",IFERROR(C1315/B1315,0))</f>
        <v/>
      </c>
      <c r="E1315" s="17" t="str">
        <f aca="false">IF($A1315="","",COUNTIFS(Orders!$C$2:$C$20001,$A1315,Orders!$E$2:$E$20001,"Prepaid",Orders!$F$2:$F$20001,"Delivered")+COUNTIFS(Orders!$C$2:$C$20001,$A1315,Orders!$E$2:$E$20001,"Prepaid",Orders!$F$2:$F$20001,"RTO"))</f>
        <v/>
      </c>
      <c r="F1315" s="17" t="str">
        <f aca="false">IF($A1315="","",COUNTIFS(Orders!$C$2:$C$20001,$A1315,Orders!$E$2:$E$20001,"Prepaid",Orders!$F$2:$F$20001,"RTO"))</f>
        <v/>
      </c>
      <c r="G1315" s="18" t="str">
        <f aca="false">IF($A1315="","",IFERROR(F1315/E1315,0))</f>
        <v/>
      </c>
      <c r="H1315" s="19" t="str">
        <f aca="false">IF($A1315="","",C1315*Settings!$B$11)</f>
        <v/>
      </c>
      <c r="I1315" s="20" t="str">
        <f aca="false">IF($A1315="","",IF(N(H1315)=0,"",RANK(H1315,$H$5:$H$2004)))</f>
        <v/>
      </c>
      <c r="J1315" s="21" t="str">
        <f aca="false">IF($A1315="","",IF(B1315=0,"No COD orders",IF(B1315&lt;Settings!$B$8,"Too few orders",IF(D1315&gt;=Settings!$B$9,"Restrict COD or verify","Keep COD"))))</f>
        <v/>
      </c>
    </row>
    <row r="1316" customFormat="false" ht="15" hidden="false" customHeight="false" outlineLevel="0" collapsed="false">
      <c r="A1316" s="27"/>
      <c r="B1316" s="17" t="str">
        <f aca="false">IF($A1316="","",COUNTIFS(Orders!$C$2:$C$20001,$A1316,Orders!$E$2:$E$20001,"COD",Orders!$F$2:$F$20001,"Delivered")+COUNTIFS(Orders!$C$2:$C$20001,$A1316,Orders!$E$2:$E$20001,"COD",Orders!$F$2:$F$20001,"RTO"))</f>
        <v/>
      </c>
      <c r="C1316" s="17" t="str">
        <f aca="false">IF($A1316="","",COUNTIFS(Orders!$C$2:$C$20001,$A1316,Orders!$E$2:$E$20001,"COD",Orders!$F$2:$F$20001,"RTO"))</f>
        <v/>
      </c>
      <c r="D1316" s="18" t="str">
        <f aca="false">IF($A1316="","",IFERROR(C1316/B1316,0))</f>
        <v/>
      </c>
      <c r="E1316" s="17" t="str">
        <f aca="false">IF($A1316="","",COUNTIFS(Orders!$C$2:$C$20001,$A1316,Orders!$E$2:$E$20001,"Prepaid",Orders!$F$2:$F$20001,"Delivered")+COUNTIFS(Orders!$C$2:$C$20001,$A1316,Orders!$E$2:$E$20001,"Prepaid",Orders!$F$2:$F$20001,"RTO"))</f>
        <v/>
      </c>
      <c r="F1316" s="17" t="str">
        <f aca="false">IF($A1316="","",COUNTIFS(Orders!$C$2:$C$20001,$A1316,Orders!$E$2:$E$20001,"Prepaid",Orders!$F$2:$F$20001,"RTO"))</f>
        <v/>
      </c>
      <c r="G1316" s="18" t="str">
        <f aca="false">IF($A1316="","",IFERROR(F1316/E1316,0))</f>
        <v/>
      </c>
      <c r="H1316" s="19" t="str">
        <f aca="false">IF($A1316="","",C1316*Settings!$B$11)</f>
        <v/>
      </c>
      <c r="I1316" s="20" t="str">
        <f aca="false">IF($A1316="","",IF(N(H1316)=0,"",RANK(H1316,$H$5:$H$2004)))</f>
        <v/>
      </c>
      <c r="J1316" s="21" t="str">
        <f aca="false">IF($A1316="","",IF(B1316=0,"No COD orders",IF(B1316&lt;Settings!$B$8,"Too few orders",IF(D1316&gt;=Settings!$B$9,"Restrict COD or verify","Keep COD"))))</f>
        <v/>
      </c>
    </row>
    <row r="1317" customFormat="false" ht="15" hidden="false" customHeight="false" outlineLevel="0" collapsed="false">
      <c r="A1317" s="27"/>
      <c r="B1317" s="17" t="str">
        <f aca="false">IF($A1317="","",COUNTIFS(Orders!$C$2:$C$20001,$A1317,Orders!$E$2:$E$20001,"COD",Orders!$F$2:$F$20001,"Delivered")+COUNTIFS(Orders!$C$2:$C$20001,$A1317,Orders!$E$2:$E$20001,"COD",Orders!$F$2:$F$20001,"RTO"))</f>
        <v/>
      </c>
      <c r="C1317" s="17" t="str">
        <f aca="false">IF($A1317="","",COUNTIFS(Orders!$C$2:$C$20001,$A1317,Orders!$E$2:$E$20001,"COD",Orders!$F$2:$F$20001,"RTO"))</f>
        <v/>
      </c>
      <c r="D1317" s="18" t="str">
        <f aca="false">IF($A1317="","",IFERROR(C1317/B1317,0))</f>
        <v/>
      </c>
      <c r="E1317" s="17" t="str">
        <f aca="false">IF($A1317="","",COUNTIFS(Orders!$C$2:$C$20001,$A1317,Orders!$E$2:$E$20001,"Prepaid",Orders!$F$2:$F$20001,"Delivered")+COUNTIFS(Orders!$C$2:$C$20001,$A1317,Orders!$E$2:$E$20001,"Prepaid",Orders!$F$2:$F$20001,"RTO"))</f>
        <v/>
      </c>
      <c r="F1317" s="17" t="str">
        <f aca="false">IF($A1317="","",COUNTIFS(Orders!$C$2:$C$20001,$A1317,Orders!$E$2:$E$20001,"Prepaid",Orders!$F$2:$F$20001,"RTO"))</f>
        <v/>
      </c>
      <c r="G1317" s="18" t="str">
        <f aca="false">IF($A1317="","",IFERROR(F1317/E1317,0))</f>
        <v/>
      </c>
      <c r="H1317" s="19" t="str">
        <f aca="false">IF($A1317="","",C1317*Settings!$B$11)</f>
        <v/>
      </c>
      <c r="I1317" s="20" t="str">
        <f aca="false">IF($A1317="","",IF(N(H1317)=0,"",RANK(H1317,$H$5:$H$2004)))</f>
        <v/>
      </c>
      <c r="J1317" s="21" t="str">
        <f aca="false">IF($A1317="","",IF(B1317=0,"No COD orders",IF(B1317&lt;Settings!$B$8,"Too few orders",IF(D1317&gt;=Settings!$B$9,"Restrict COD or verify","Keep COD"))))</f>
        <v/>
      </c>
    </row>
    <row r="1318" customFormat="false" ht="15" hidden="false" customHeight="false" outlineLevel="0" collapsed="false">
      <c r="A1318" s="27"/>
      <c r="B1318" s="17" t="str">
        <f aca="false">IF($A1318="","",COUNTIFS(Orders!$C$2:$C$20001,$A1318,Orders!$E$2:$E$20001,"COD",Orders!$F$2:$F$20001,"Delivered")+COUNTIFS(Orders!$C$2:$C$20001,$A1318,Orders!$E$2:$E$20001,"COD",Orders!$F$2:$F$20001,"RTO"))</f>
        <v/>
      </c>
      <c r="C1318" s="17" t="str">
        <f aca="false">IF($A1318="","",COUNTIFS(Orders!$C$2:$C$20001,$A1318,Orders!$E$2:$E$20001,"COD",Orders!$F$2:$F$20001,"RTO"))</f>
        <v/>
      </c>
      <c r="D1318" s="18" t="str">
        <f aca="false">IF($A1318="","",IFERROR(C1318/B1318,0))</f>
        <v/>
      </c>
      <c r="E1318" s="17" t="str">
        <f aca="false">IF($A1318="","",COUNTIFS(Orders!$C$2:$C$20001,$A1318,Orders!$E$2:$E$20001,"Prepaid",Orders!$F$2:$F$20001,"Delivered")+COUNTIFS(Orders!$C$2:$C$20001,$A1318,Orders!$E$2:$E$20001,"Prepaid",Orders!$F$2:$F$20001,"RTO"))</f>
        <v/>
      </c>
      <c r="F1318" s="17" t="str">
        <f aca="false">IF($A1318="","",COUNTIFS(Orders!$C$2:$C$20001,$A1318,Orders!$E$2:$E$20001,"Prepaid",Orders!$F$2:$F$20001,"RTO"))</f>
        <v/>
      </c>
      <c r="G1318" s="18" t="str">
        <f aca="false">IF($A1318="","",IFERROR(F1318/E1318,0))</f>
        <v/>
      </c>
      <c r="H1318" s="19" t="str">
        <f aca="false">IF($A1318="","",C1318*Settings!$B$11)</f>
        <v/>
      </c>
      <c r="I1318" s="20" t="str">
        <f aca="false">IF($A1318="","",IF(N(H1318)=0,"",RANK(H1318,$H$5:$H$2004)))</f>
        <v/>
      </c>
      <c r="J1318" s="21" t="str">
        <f aca="false">IF($A1318="","",IF(B1318=0,"No COD orders",IF(B1318&lt;Settings!$B$8,"Too few orders",IF(D1318&gt;=Settings!$B$9,"Restrict COD or verify","Keep COD"))))</f>
        <v/>
      </c>
    </row>
    <row r="1319" customFormat="false" ht="15" hidden="false" customHeight="false" outlineLevel="0" collapsed="false">
      <c r="A1319" s="27"/>
      <c r="B1319" s="17" t="str">
        <f aca="false">IF($A1319="","",COUNTIFS(Orders!$C$2:$C$20001,$A1319,Orders!$E$2:$E$20001,"COD",Orders!$F$2:$F$20001,"Delivered")+COUNTIFS(Orders!$C$2:$C$20001,$A1319,Orders!$E$2:$E$20001,"COD",Orders!$F$2:$F$20001,"RTO"))</f>
        <v/>
      </c>
      <c r="C1319" s="17" t="str">
        <f aca="false">IF($A1319="","",COUNTIFS(Orders!$C$2:$C$20001,$A1319,Orders!$E$2:$E$20001,"COD",Orders!$F$2:$F$20001,"RTO"))</f>
        <v/>
      </c>
      <c r="D1319" s="18" t="str">
        <f aca="false">IF($A1319="","",IFERROR(C1319/B1319,0))</f>
        <v/>
      </c>
      <c r="E1319" s="17" t="str">
        <f aca="false">IF($A1319="","",COUNTIFS(Orders!$C$2:$C$20001,$A1319,Orders!$E$2:$E$20001,"Prepaid",Orders!$F$2:$F$20001,"Delivered")+COUNTIFS(Orders!$C$2:$C$20001,$A1319,Orders!$E$2:$E$20001,"Prepaid",Orders!$F$2:$F$20001,"RTO"))</f>
        <v/>
      </c>
      <c r="F1319" s="17" t="str">
        <f aca="false">IF($A1319="","",COUNTIFS(Orders!$C$2:$C$20001,$A1319,Orders!$E$2:$E$20001,"Prepaid",Orders!$F$2:$F$20001,"RTO"))</f>
        <v/>
      </c>
      <c r="G1319" s="18" t="str">
        <f aca="false">IF($A1319="","",IFERROR(F1319/E1319,0))</f>
        <v/>
      </c>
      <c r="H1319" s="19" t="str">
        <f aca="false">IF($A1319="","",C1319*Settings!$B$11)</f>
        <v/>
      </c>
      <c r="I1319" s="20" t="str">
        <f aca="false">IF($A1319="","",IF(N(H1319)=0,"",RANK(H1319,$H$5:$H$2004)))</f>
        <v/>
      </c>
      <c r="J1319" s="21" t="str">
        <f aca="false">IF($A1319="","",IF(B1319=0,"No COD orders",IF(B1319&lt;Settings!$B$8,"Too few orders",IF(D1319&gt;=Settings!$B$9,"Restrict COD or verify","Keep COD"))))</f>
        <v/>
      </c>
    </row>
    <row r="1320" customFormat="false" ht="15" hidden="false" customHeight="false" outlineLevel="0" collapsed="false">
      <c r="A1320" s="27"/>
      <c r="B1320" s="17" t="str">
        <f aca="false">IF($A1320="","",COUNTIFS(Orders!$C$2:$C$20001,$A1320,Orders!$E$2:$E$20001,"COD",Orders!$F$2:$F$20001,"Delivered")+COUNTIFS(Orders!$C$2:$C$20001,$A1320,Orders!$E$2:$E$20001,"COD",Orders!$F$2:$F$20001,"RTO"))</f>
        <v/>
      </c>
      <c r="C1320" s="17" t="str">
        <f aca="false">IF($A1320="","",COUNTIFS(Orders!$C$2:$C$20001,$A1320,Orders!$E$2:$E$20001,"COD",Orders!$F$2:$F$20001,"RTO"))</f>
        <v/>
      </c>
      <c r="D1320" s="18" t="str">
        <f aca="false">IF($A1320="","",IFERROR(C1320/B1320,0))</f>
        <v/>
      </c>
      <c r="E1320" s="17" t="str">
        <f aca="false">IF($A1320="","",COUNTIFS(Orders!$C$2:$C$20001,$A1320,Orders!$E$2:$E$20001,"Prepaid",Orders!$F$2:$F$20001,"Delivered")+COUNTIFS(Orders!$C$2:$C$20001,$A1320,Orders!$E$2:$E$20001,"Prepaid",Orders!$F$2:$F$20001,"RTO"))</f>
        <v/>
      </c>
      <c r="F1320" s="17" t="str">
        <f aca="false">IF($A1320="","",COUNTIFS(Orders!$C$2:$C$20001,$A1320,Orders!$E$2:$E$20001,"Prepaid",Orders!$F$2:$F$20001,"RTO"))</f>
        <v/>
      </c>
      <c r="G1320" s="18" t="str">
        <f aca="false">IF($A1320="","",IFERROR(F1320/E1320,0))</f>
        <v/>
      </c>
      <c r="H1320" s="19" t="str">
        <f aca="false">IF($A1320="","",C1320*Settings!$B$11)</f>
        <v/>
      </c>
      <c r="I1320" s="20" t="str">
        <f aca="false">IF($A1320="","",IF(N(H1320)=0,"",RANK(H1320,$H$5:$H$2004)))</f>
        <v/>
      </c>
      <c r="J1320" s="21" t="str">
        <f aca="false">IF($A1320="","",IF(B1320=0,"No COD orders",IF(B1320&lt;Settings!$B$8,"Too few orders",IF(D1320&gt;=Settings!$B$9,"Restrict COD or verify","Keep COD"))))</f>
        <v/>
      </c>
    </row>
    <row r="1321" customFormat="false" ht="15" hidden="false" customHeight="false" outlineLevel="0" collapsed="false">
      <c r="A1321" s="27"/>
      <c r="B1321" s="17" t="str">
        <f aca="false">IF($A1321="","",COUNTIFS(Orders!$C$2:$C$20001,$A1321,Orders!$E$2:$E$20001,"COD",Orders!$F$2:$F$20001,"Delivered")+COUNTIFS(Orders!$C$2:$C$20001,$A1321,Orders!$E$2:$E$20001,"COD",Orders!$F$2:$F$20001,"RTO"))</f>
        <v/>
      </c>
      <c r="C1321" s="17" t="str">
        <f aca="false">IF($A1321="","",COUNTIFS(Orders!$C$2:$C$20001,$A1321,Orders!$E$2:$E$20001,"COD",Orders!$F$2:$F$20001,"RTO"))</f>
        <v/>
      </c>
      <c r="D1321" s="18" t="str">
        <f aca="false">IF($A1321="","",IFERROR(C1321/B1321,0))</f>
        <v/>
      </c>
      <c r="E1321" s="17" t="str">
        <f aca="false">IF($A1321="","",COUNTIFS(Orders!$C$2:$C$20001,$A1321,Orders!$E$2:$E$20001,"Prepaid",Orders!$F$2:$F$20001,"Delivered")+COUNTIFS(Orders!$C$2:$C$20001,$A1321,Orders!$E$2:$E$20001,"Prepaid",Orders!$F$2:$F$20001,"RTO"))</f>
        <v/>
      </c>
      <c r="F1321" s="17" t="str">
        <f aca="false">IF($A1321="","",COUNTIFS(Orders!$C$2:$C$20001,$A1321,Orders!$E$2:$E$20001,"Prepaid",Orders!$F$2:$F$20001,"RTO"))</f>
        <v/>
      </c>
      <c r="G1321" s="18" t="str">
        <f aca="false">IF($A1321="","",IFERROR(F1321/E1321,0))</f>
        <v/>
      </c>
      <c r="H1321" s="19" t="str">
        <f aca="false">IF($A1321="","",C1321*Settings!$B$11)</f>
        <v/>
      </c>
      <c r="I1321" s="20" t="str">
        <f aca="false">IF($A1321="","",IF(N(H1321)=0,"",RANK(H1321,$H$5:$H$2004)))</f>
        <v/>
      </c>
      <c r="J1321" s="21" t="str">
        <f aca="false">IF($A1321="","",IF(B1321=0,"No COD orders",IF(B1321&lt;Settings!$B$8,"Too few orders",IF(D1321&gt;=Settings!$B$9,"Restrict COD or verify","Keep COD"))))</f>
        <v/>
      </c>
    </row>
    <row r="1322" customFormat="false" ht="15" hidden="false" customHeight="false" outlineLevel="0" collapsed="false">
      <c r="A1322" s="27"/>
      <c r="B1322" s="17" t="str">
        <f aca="false">IF($A1322="","",COUNTIFS(Orders!$C$2:$C$20001,$A1322,Orders!$E$2:$E$20001,"COD",Orders!$F$2:$F$20001,"Delivered")+COUNTIFS(Orders!$C$2:$C$20001,$A1322,Orders!$E$2:$E$20001,"COD",Orders!$F$2:$F$20001,"RTO"))</f>
        <v/>
      </c>
      <c r="C1322" s="17" t="str">
        <f aca="false">IF($A1322="","",COUNTIFS(Orders!$C$2:$C$20001,$A1322,Orders!$E$2:$E$20001,"COD",Orders!$F$2:$F$20001,"RTO"))</f>
        <v/>
      </c>
      <c r="D1322" s="18" t="str">
        <f aca="false">IF($A1322="","",IFERROR(C1322/B1322,0))</f>
        <v/>
      </c>
      <c r="E1322" s="17" t="str">
        <f aca="false">IF($A1322="","",COUNTIFS(Orders!$C$2:$C$20001,$A1322,Orders!$E$2:$E$20001,"Prepaid",Orders!$F$2:$F$20001,"Delivered")+COUNTIFS(Orders!$C$2:$C$20001,$A1322,Orders!$E$2:$E$20001,"Prepaid",Orders!$F$2:$F$20001,"RTO"))</f>
        <v/>
      </c>
      <c r="F1322" s="17" t="str">
        <f aca="false">IF($A1322="","",COUNTIFS(Orders!$C$2:$C$20001,$A1322,Orders!$E$2:$E$20001,"Prepaid",Orders!$F$2:$F$20001,"RTO"))</f>
        <v/>
      </c>
      <c r="G1322" s="18" t="str">
        <f aca="false">IF($A1322="","",IFERROR(F1322/E1322,0))</f>
        <v/>
      </c>
      <c r="H1322" s="19" t="str">
        <f aca="false">IF($A1322="","",C1322*Settings!$B$11)</f>
        <v/>
      </c>
      <c r="I1322" s="20" t="str">
        <f aca="false">IF($A1322="","",IF(N(H1322)=0,"",RANK(H1322,$H$5:$H$2004)))</f>
        <v/>
      </c>
      <c r="J1322" s="21" t="str">
        <f aca="false">IF($A1322="","",IF(B1322=0,"No COD orders",IF(B1322&lt;Settings!$B$8,"Too few orders",IF(D1322&gt;=Settings!$B$9,"Restrict COD or verify","Keep COD"))))</f>
        <v/>
      </c>
    </row>
    <row r="1323" customFormat="false" ht="15" hidden="false" customHeight="false" outlineLevel="0" collapsed="false">
      <c r="A1323" s="27"/>
      <c r="B1323" s="17" t="str">
        <f aca="false">IF($A1323="","",COUNTIFS(Orders!$C$2:$C$20001,$A1323,Orders!$E$2:$E$20001,"COD",Orders!$F$2:$F$20001,"Delivered")+COUNTIFS(Orders!$C$2:$C$20001,$A1323,Orders!$E$2:$E$20001,"COD",Orders!$F$2:$F$20001,"RTO"))</f>
        <v/>
      </c>
      <c r="C1323" s="17" t="str">
        <f aca="false">IF($A1323="","",COUNTIFS(Orders!$C$2:$C$20001,$A1323,Orders!$E$2:$E$20001,"COD",Orders!$F$2:$F$20001,"RTO"))</f>
        <v/>
      </c>
      <c r="D1323" s="18" t="str">
        <f aca="false">IF($A1323="","",IFERROR(C1323/B1323,0))</f>
        <v/>
      </c>
      <c r="E1323" s="17" t="str">
        <f aca="false">IF($A1323="","",COUNTIFS(Orders!$C$2:$C$20001,$A1323,Orders!$E$2:$E$20001,"Prepaid",Orders!$F$2:$F$20001,"Delivered")+COUNTIFS(Orders!$C$2:$C$20001,$A1323,Orders!$E$2:$E$20001,"Prepaid",Orders!$F$2:$F$20001,"RTO"))</f>
        <v/>
      </c>
      <c r="F1323" s="17" t="str">
        <f aca="false">IF($A1323="","",COUNTIFS(Orders!$C$2:$C$20001,$A1323,Orders!$E$2:$E$20001,"Prepaid",Orders!$F$2:$F$20001,"RTO"))</f>
        <v/>
      </c>
      <c r="G1323" s="18" t="str">
        <f aca="false">IF($A1323="","",IFERROR(F1323/E1323,0))</f>
        <v/>
      </c>
      <c r="H1323" s="19" t="str">
        <f aca="false">IF($A1323="","",C1323*Settings!$B$11)</f>
        <v/>
      </c>
      <c r="I1323" s="20" t="str">
        <f aca="false">IF($A1323="","",IF(N(H1323)=0,"",RANK(H1323,$H$5:$H$2004)))</f>
        <v/>
      </c>
      <c r="J1323" s="21" t="str">
        <f aca="false">IF($A1323="","",IF(B1323=0,"No COD orders",IF(B1323&lt;Settings!$B$8,"Too few orders",IF(D1323&gt;=Settings!$B$9,"Restrict COD or verify","Keep COD"))))</f>
        <v/>
      </c>
    </row>
    <row r="1324" customFormat="false" ht="15" hidden="false" customHeight="false" outlineLevel="0" collapsed="false">
      <c r="A1324" s="27"/>
      <c r="B1324" s="17" t="str">
        <f aca="false">IF($A1324="","",COUNTIFS(Orders!$C$2:$C$20001,$A1324,Orders!$E$2:$E$20001,"COD",Orders!$F$2:$F$20001,"Delivered")+COUNTIFS(Orders!$C$2:$C$20001,$A1324,Orders!$E$2:$E$20001,"COD",Orders!$F$2:$F$20001,"RTO"))</f>
        <v/>
      </c>
      <c r="C1324" s="17" t="str">
        <f aca="false">IF($A1324="","",COUNTIFS(Orders!$C$2:$C$20001,$A1324,Orders!$E$2:$E$20001,"COD",Orders!$F$2:$F$20001,"RTO"))</f>
        <v/>
      </c>
      <c r="D1324" s="18" t="str">
        <f aca="false">IF($A1324="","",IFERROR(C1324/B1324,0))</f>
        <v/>
      </c>
      <c r="E1324" s="17" t="str">
        <f aca="false">IF($A1324="","",COUNTIFS(Orders!$C$2:$C$20001,$A1324,Orders!$E$2:$E$20001,"Prepaid",Orders!$F$2:$F$20001,"Delivered")+COUNTIFS(Orders!$C$2:$C$20001,$A1324,Orders!$E$2:$E$20001,"Prepaid",Orders!$F$2:$F$20001,"RTO"))</f>
        <v/>
      </c>
      <c r="F1324" s="17" t="str">
        <f aca="false">IF($A1324="","",COUNTIFS(Orders!$C$2:$C$20001,$A1324,Orders!$E$2:$E$20001,"Prepaid",Orders!$F$2:$F$20001,"RTO"))</f>
        <v/>
      </c>
      <c r="G1324" s="18" t="str">
        <f aca="false">IF($A1324="","",IFERROR(F1324/E1324,0))</f>
        <v/>
      </c>
      <c r="H1324" s="19" t="str">
        <f aca="false">IF($A1324="","",C1324*Settings!$B$11)</f>
        <v/>
      </c>
      <c r="I1324" s="20" t="str">
        <f aca="false">IF($A1324="","",IF(N(H1324)=0,"",RANK(H1324,$H$5:$H$2004)))</f>
        <v/>
      </c>
      <c r="J1324" s="21" t="str">
        <f aca="false">IF($A1324="","",IF(B1324=0,"No COD orders",IF(B1324&lt;Settings!$B$8,"Too few orders",IF(D1324&gt;=Settings!$B$9,"Restrict COD or verify","Keep COD"))))</f>
        <v/>
      </c>
    </row>
    <row r="1325" customFormat="false" ht="15" hidden="false" customHeight="false" outlineLevel="0" collapsed="false">
      <c r="A1325" s="27"/>
      <c r="B1325" s="17" t="str">
        <f aca="false">IF($A1325="","",COUNTIFS(Orders!$C$2:$C$20001,$A1325,Orders!$E$2:$E$20001,"COD",Orders!$F$2:$F$20001,"Delivered")+COUNTIFS(Orders!$C$2:$C$20001,$A1325,Orders!$E$2:$E$20001,"COD",Orders!$F$2:$F$20001,"RTO"))</f>
        <v/>
      </c>
      <c r="C1325" s="17" t="str">
        <f aca="false">IF($A1325="","",COUNTIFS(Orders!$C$2:$C$20001,$A1325,Orders!$E$2:$E$20001,"COD",Orders!$F$2:$F$20001,"RTO"))</f>
        <v/>
      </c>
      <c r="D1325" s="18" t="str">
        <f aca="false">IF($A1325="","",IFERROR(C1325/B1325,0))</f>
        <v/>
      </c>
      <c r="E1325" s="17" t="str">
        <f aca="false">IF($A1325="","",COUNTIFS(Orders!$C$2:$C$20001,$A1325,Orders!$E$2:$E$20001,"Prepaid",Orders!$F$2:$F$20001,"Delivered")+COUNTIFS(Orders!$C$2:$C$20001,$A1325,Orders!$E$2:$E$20001,"Prepaid",Orders!$F$2:$F$20001,"RTO"))</f>
        <v/>
      </c>
      <c r="F1325" s="17" t="str">
        <f aca="false">IF($A1325="","",COUNTIFS(Orders!$C$2:$C$20001,$A1325,Orders!$E$2:$E$20001,"Prepaid",Orders!$F$2:$F$20001,"RTO"))</f>
        <v/>
      </c>
      <c r="G1325" s="18" t="str">
        <f aca="false">IF($A1325="","",IFERROR(F1325/E1325,0))</f>
        <v/>
      </c>
      <c r="H1325" s="19" t="str">
        <f aca="false">IF($A1325="","",C1325*Settings!$B$11)</f>
        <v/>
      </c>
      <c r="I1325" s="20" t="str">
        <f aca="false">IF($A1325="","",IF(N(H1325)=0,"",RANK(H1325,$H$5:$H$2004)))</f>
        <v/>
      </c>
      <c r="J1325" s="21" t="str">
        <f aca="false">IF($A1325="","",IF(B1325=0,"No COD orders",IF(B1325&lt;Settings!$B$8,"Too few orders",IF(D1325&gt;=Settings!$B$9,"Restrict COD or verify","Keep COD"))))</f>
        <v/>
      </c>
    </row>
    <row r="1326" customFormat="false" ht="15" hidden="false" customHeight="false" outlineLevel="0" collapsed="false">
      <c r="A1326" s="27"/>
      <c r="B1326" s="17" t="str">
        <f aca="false">IF($A1326="","",COUNTIFS(Orders!$C$2:$C$20001,$A1326,Orders!$E$2:$E$20001,"COD",Orders!$F$2:$F$20001,"Delivered")+COUNTIFS(Orders!$C$2:$C$20001,$A1326,Orders!$E$2:$E$20001,"COD",Orders!$F$2:$F$20001,"RTO"))</f>
        <v/>
      </c>
      <c r="C1326" s="17" t="str">
        <f aca="false">IF($A1326="","",COUNTIFS(Orders!$C$2:$C$20001,$A1326,Orders!$E$2:$E$20001,"COD",Orders!$F$2:$F$20001,"RTO"))</f>
        <v/>
      </c>
      <c r="D1326" s="18" t="str">
        <f aca="false">IF($A1326="","",IFERROR(C1326/B1326,0))</f>
        <v/>
      </c>
      <c r="E1326" s="17" t="str">
        <f aca="false">IF($A1326="","",COUNTIFS(Orders!$C$2:$C$20001,$A1326,Orders!$E$2:$E$20001,"Prepaid",Orders!$F$2:$F$20001,"Delivered")+COUNTIFS(Orders!$C$2:$C$20001,$A1326,Orders!$E$2:$E$20001,"Prepaid",Orders!$F$2:$F$20001,"RTO"))</f>
        <v/>
      </c>
      <c r="F1326" s="17" t="str">
        <f aca="false">IF($A1326="","",COUNTIFS(Orders!$C$2:$C$20001,$A1326,Orders!$E$2:$E$20001,"Prepaid",Orders!$F$2:$F$20001,"RTO"))</f>
        <v/>
      </c>
      <c r="G1326" s="18" t="str">
        <f aca="false">IF($A1326="","",IFERROR(F1326/E1326,0))</f>
        <v/>
      </c>
      <c r="H1326" s="19" t="str">
        <f aca="false">IF($A1326="","",C1326*Settings!$B$11)</f>
        <v/>
      </c>
      <c r="I1326" s="20" t="str">
        <f aca="false">IF($A1326="","",IF(N(H1326)=0,"",RANK(H1326,$H$5:$H$2004)))</f>
        <v/>
      </c>
      <c r="J1326" s="21" t="str">
        <f aca="false">IF($A1326="","",IF(B1326=0,"No COD orders",IF(B1326&lt;Settings!$B$8,"Too few orders",IF(D1326&gt;=Settings!$B$9,"Restrict COD or verify","Keep COD"))))</f>
        <v/>
      </c>
    </row>
    <row r="1327" customFormat="false" ht="15" hidden="false" customHeight="false" outlineLevel="0" collapsed="false">
      <c r="A1327" s="27"/>
      <c r="B1327" s="17" t="str">
        <f aca="false">IF($A1327="","",COUNTIFS(Orders!$C$2:$C$20001,$A1327,Orders!$E$2:$E$20001,"COD",Orders!$F$2:$F$20001,"Delivered")+COUNTIFS(Orders!$C$2:$C$20001,$A1327,Orders!$E$2:$E$20001,"COD",Orders!$F$2:$F$20001,"RTO"))</f>
        <v/>
      </c>
      <c r="C1327" s="17" t="str">
        <f aca="false">IF($A1327="","",COUNTIFS(Orders!$C$2:$C$20001,$A1327,Orders!$E$2:$E$20001,"COD",Orders!$F$2:$F$20001,"RTO"))</f>
        <v/>
      </c>
      <c r="D1327" s="18" t="str">
        <f aca="false">IF($A1327="","",IFERROR(C1327/B1327,0))</f>
        <v/>
      </c>
      <c r="E1327" s="17" t="str">
        <f aca="false">IF($A1327="","",COUNTIFS(Orders!$C$2:$C$20001,$A1327,Orders!$E$2:$E$20001,"Prepaid",Orders!$F$2:$F$20001,"Delivered")+COUNTIFS(Orders!$C$2:$C$20001,$A1327,Orders!$E$2:$E$20001,"Prepaid",Orders!$F$2:$F$20001,"RTO"))</f>
        <v/>
      </c>
      <c r="F1327" s="17" t="str">
        <f aca="false">IF($A1327="","",COUNTIFS(Orders!$C$2:$C$20001,$A1327,Orders!$E$2:$E$20001,"Prepaid",Orders!$F$2:$F$20001,"RTO"))</f>
        <v/>
      </c>
      <c r="G1327" s="18" t="str">
        <f aca="false">IF($A1327="","",IFERROR(F1327/E1327,0))</f>
        <v/>
      </c>
      <c r="H1327" s="19" t="str">
        <f aca="false">IF($A1327="","",C1327*Settings!$B$11)</f>
        <v/>
      </c>
      <c r="I1327" s="20" t="str">
        <f aca="false">IF($A1327="","",IF(N(H1327)=0,"",RANK(H1327,$H$5:$H$2004)))</f>
        <v/>
      </c>
      <c r="J1327" s="21" t="str">
        <f aca="false">IF($A1327="","",IF(B1327=0,"No COD orders",IF(B1327&lt;Settings!$B$8,"Too few orders",IF(D1327&gt;=Settings!$B$9,"Restrict COD or verify","Keep COD"))))</f>
        <v/>
      </c>
    </row>
    <row r="1328" customFormat="false" ht="15" hidden="false" customHeight="false" outlineLevel="0" collapsed="false">
      <c r="A1328" s="27"/>
      <c r="B1328" s="17" t="str">
        <f aca="false">IF($A1328="","",COUNTIFS(Orders!$C$2:$C$20001,$A1328,Orders!$E$2:$E$20001,"COD",Orders!$F$2:$F$20001,"Delivered")+COUNTIFS(Orders!$C$2:$C$20001,$A1328,Orders!$E$2:$E$20001,"COD",Orders!$F$2:$F$20001,"RTO"))</f>
        <v/>
      </c>
      <c r="C1328" s="17" t="str">
        <f aca="false">IF($A1328="","",COUNTIFS(Orders!$C$2:$C$20001,$A1328,Orders!$E$2:$E$20001,"COD",Orders!$F$2:$F$20001,"RTO"))</f>
        <v/>
      </c>
      <c r="D1328" s="18" t="str">
        <f aca="false">IF($A1328="","",IFERROR(C1328/B1328,0))</f>
        <v/>
      </c>
      <c r="E1328" s="17" t="str">
        <f aca="false">IF($A1328="","",COUNTIFS(Orders!$C$2:$C$20001,$A1328,Orders!$E$2:$E$20001,"Prepaid",Orders!$F$2:$F$20001,"Delivered")+COUNTIFS(Orders!$C$2:$C$20001,$A1328,Orders!$E$2:$E$20001,"Prepaid",Orders!$F$2:$F$20001,"RTO"))</f>
        <v/>
      </c>
      <c r="F1328" s="17" t="str">
        <f aca="false">IF($A1328="","",COUNTIFS(Orders!$C$2:$C$20001,$A1328,Orders!$E$2:$E$20001,"Prepaid",Orders!$F$2:$F$20001,"RTO"))</f>
        <v/>
      </c>
      <c r="G1328" s="18" t="str">
        <f aca="false">IF($A1328="","",IFERROR(F1328/E1328,0))</f>
        <v/>
      </c>
      <c r="H1328" s="19" t="str">
        <f aca="false">IF($A1328="","",C1328*Settings!$B$11)</f>
        <v/>
      </c>
      <c r="I1328" s="20" t="str">
        <f aca="false">IF($A1328="","",IF(N(H1328)=0,"",RANK(H1328,$H$5:$H$2004)))</f>
        <v/>
      </c>
      <c r="J1328" s="21" t="str">
        <f aca="false">IF($A1328="","",IF(B1328=0,"No COD orders",IF(B1328&lt;Settings!$B$8,"Too few orders",IF(D1328&gt;=Settings!$B$9,"Restrict COD or verify","Keep COD"))))</f>
        <v/>
      </c>
    </row>
    <row r="1329" customFormat="false" ht="15" hidden="false" customHeight="false" outlineLevel="0" collapsed="false">
      <c r="A1329" s="27"/>
      <c r="B1329" s="17" t="str">
        <f aca="false">IF($A1329="","",COUNTIFS(Orders!$C$2:$C$20001,$A1329,Orders!$E$2:$E$20001,"COD",Orders!$F$2:$F$20001,"Delivered")+COUNTIFS(Orders!$C$2:$C$20001,$A1329,Orders!$E$2:$E$20001,"COD",Orders!$F$2:$F$20001,"RTO"))</f>
        <v/>
      </c>
      <c r="C1329" s="17" t="str">
        <f aca="false">IF($A1329="","",COUNTIFS(Orders!$C$2:$C$20001,$A1329,Orders!$E$2:$E$20001,"COD",Orders!$F$2:$F$20001,"RTO"))</f>
        <v/>
      </c>
      <c r="D1329" s="18" t="str">
        <f aca="false">IF($A1329="","",IFERROR(C1329/B1329,0))</f>
        <v/>
      </c>
      <c r="E1329" s="17" t="str">
        <f aca="false">IF($A1329="","",COUNTIFS(Orders!$C$2:$C$20001,$A1329,Orders!$E$2:$E$20001,"Prepaid",Orders!$F$2:$F$20001,"Delivered")+COUNTIFS(Orders!$C$2:$C$20001,$A1329,Orders!$E$2:$E$20001,"Prepaid",Orders!$F$2:$F$20001,"RTO"))</f>
        <v/>
      </c>
      <c r="F1329" s="17" t="str">
        <f aca="false">IF($A1329="","",COUNTIFS(Orders!$C$2:$C$20001,$A1329,Orders!$E$2:$E$20001,"Prepaid",Orders!$F$2:$F$20001,"RTO"))</f>
        <v/>
      </c>
      <c r="G1329" s="18" t="str">
        <f aca="false">IF($A1329="","",IFERROR(F1329/E1329,0))</f>
        <v/>
      </c>
      <c r="H1329" s="19" t="str">
        <f aca="false">IF($A1329="","",C1329*Settings!$B$11)</f>
        <v/>
      </c>
      <c r="I1329" s="20" t="str">
        <f aca="false">IF($A1329="","",IF(N(H1329)=0,"",RANK(H1329,$H$5:$H$2004)))</f>
        <v/>
      </c>
      <c r="J1329" s="21" t="str">
        <f aca="false">IF($A1329="","",IF(B1329=0,"No COD orders",IF(B1329&lt;Settings!$B$8,"Too few orders",IF(D1329&gt;=Settings!$B$9,"Restrict COD or verify","Keep COD"))))</f>
        <v/>
      </c>
    </row>
    <row r="1330" customFormat="false" ht="15" hidden="false" customHeight="false" outlineLevel="0" collapsed="false">
      <c r="A1330" s="27"/>
      <c r="B1330" s="17" t="str">
        <f aca="false">IF($A1330="","",COUNTIFS(Orders!$C$2:$C$20001,$A1330,Orders!$E$2:$E$20001,"COD",Orders!$F$2:$F$20001,"Delivered")+COUNTIFS(Orders!$C$2:$C$20001,$A1330,Orders!$E$2:$E$20001,"COD",Orders!$F$2:$F$20001,"RTO"))</f>
        <v/>
      </c>
      <c r="C1330" s="17" t="str">
        <f aca="false">IF($A1330="","",COUNTIFS(Orders!$C$2:$C$20001,$A1330,Orders!$E$2:$E$20001,"COD",Orders!$F$2:$F$20001,"RTO"))</f>
        <v/>
      </c>
      <c r="D1330" s="18" t="str">
        <f aca="false">IF($A1330="","",IFERROR(C1330/B1330,0))</f>
        <v/>
      </c>
      <c r="E1330" s="17" t="str">
        <f aca="false">IF($A1330="","",COUNTIFS(Orders!$C$2:$C$20001,$A1330,Orders!$E$2:$E$20001,"Prepaid",Orders!$F$2:$F$20001,"Delivered")+COUNTIFS(Orders!$C$2:$C$20001,$A1330,Orders!$E$2:$E$20001,"Prepaid",Orders!$F$2:$F$20001,"RTO"))</f>
        <v/>
      </c>
      <c r="F1330" s="17" t="str">
        <f aca="false">IF($A1330="","",COUNTIFS(Orders!$C$2:$C$20001,$A1330,Orders!$E$2:$E$20001,"Prepaid",Orders!$F$2:$F$20001,"RTO"))</f>
        <v/>
      </c>
      <c r="G1330" s="18" t="str">
        <f aca="false">IF($A1330="","",IFERROR(F1330/E1330,0))</f>
        <v/>
      </c>
      <c r="H1330" s="19" t="str">
        <f aca="false">IF($A1330="","",C1330*Settings!$B$11)</f>
        <v/>
      </c>
      <c r="I1330" s="20" t="str">
        <f aca="false">IF($A1330="","",IF(N(H1330)=0,"",RANK(H1330,$H$5:$H$2004)))</f>
        <v/>
      </c>
      <c r="J1330" s="21" t="str">
        <f aca="false">IF($A1330="","",IF(B1330=0,"No COD orders",IF(B1330&lt;Settings!$B$8,"Too few orders",IF(D1330&gt;=Settings!$B$9,"Restrict COD or verify","Keep COD"))))</f>
        <v/>
      </c>
    </row>
    <row r="1331" customFormat="false" ht="15" hidden="false" customHeight="false" outlineLevel="0" collapsed="false">
      <c r="A1331" s="27"/>
      <c r="B1331" s="17" t="str">
        <f aca="false">IF($A1331="","",COUNTIFS(Orders!$C$2:$C$20001,$A1331,Orders!$E$2:$E$20001,"COD",Orders!$F$2:$F$20001,"Delivered")+COUNTIFS(Orders!$C$2:$C$20001,$A1331,Orders!$E$2:$E$20001,"COD",Orders!$F$2:$F$20001,"RTO"))</f>
        <v/>
      </c>
      <c r="C1331" s="17" t="str">
        <f aca="false">IF($A1331="","",COUNTIFS(Orders!$C$2:$C$20001,$A1331,Orders!$E$2:$E$20001,"COD",Orders!$F$2:$F$20001,"RTO"))</f>
        <v/>
      </c>
      <c r="D1331" s="18" t="str">
        <f aca="false">IF($A1331="","",IFERROR(C1331/B1331,0))</f>
        <v/>
      </c>
      <c r="E1331" s="17" t="str">
        <f aca="false">IF($A1331="","",COUNTIFS(Orders!$C$2:$C$20001,$A1331,Orders!$E$2:$E$20001,"Prepaid",Orders!$F$2:$F$20001,"Delivered")+COUNTIFS(Orders!$C$2:$C$20001,$A1331,Orders!$E$2:$E$20001,"Prepaid",Orders!$F$2:$F$20001,"RTO"))</f>
        <v/>
      </c>
      <c r="F1331" s="17" t="str">
        <f aca="false">IF($A1331="","",COUNTIFS(Orders!$C$2:$C$20001,$A1331,Orders!$E$2:$E$20001,"Prepaid",Orders!$F$2:$F$20001,"RTO"))</f>
        <v/>
      </c>
      <c r="G1331" s="18" t="str">
        <f aca="false">IF($A1331="","",IFERROR(F1331/E1331,0))</f>
        <v/>
      </c>
      <c r="H1331" s="19" t="str">
        <f aca="false">IF($A1331="","",C1331*Settings!$B$11)</f>
        <v/>
      </c>
      <c r="I1331" s="20" t="str">
        <f aca="false">IF($A1331="","",IF(N(H1331)=0,"",RANK(H1331,$H$5:$H$2004)))</f>
        <v/>
      </c>
      <c r="J1331" s="21" t="str">
        <f aca="false">IF($A1331="","",IF(B1331=0,"No COD orders",IF(B1331&lt;Settings!$B$8,"Too few orders",IF(D1331&gt;=Settings!$B$9,"Restrict COD or verify","Keep COD"))))</f>
        <v/>
      </c>
    </row>
    <row r="1332" customFormat="false" ht="15" hidden="false" customHeight="false" outlineLevel="0" collapsed="false">
      <c r="A1332" s="27"/>
      <c r="B1332" s="17" t="str">
        <f aca="false">IF($A1332="","",COUNTIFS(Orders!$C$2:$C$20001,$A1332,Orders!$E$2:$E$20001,"COD",Orders!$F$2:$F$20001,"Delivered")+COUNTIFS(Orders!$C$2:$C$20001,$A1332,Orders!$E$2:$E$20001,"COD",Orders!$F$2:$F$20001,"RTO"))</f>
        <v/>
      </c>
      <c r="C1332" s="17" t="str">
        <f aca="false">IF($A1332="","",COUNTIFS(Orders!$C$2:$C$20001,$A1332,Orders!$E$2:$E$20001,"COD",Orders!$F$2:$F$20001,"RTO"))</f>
        <v/>
      </c>
      <c r="D1332" s="18" t="str">
        <f aca="false">IF($A1332="","",IFERROR(C1332/B1332,0))</f>
        <v/>
      </c>
      <c r="E1332" s="17" t="str">
        <f aca="false">IF($A1332="","",COUNTIFS(Orders!$C$2:$C$20001,$A1332,Orders!$E$2:$E$20001,"Prepaid",Orders!$F$2:$F$20001,"Delivered")+COUNTIFS(Orders!$C$2:$C$20001,$A1332,Orders!$E$2:$E$20001,"Prepaid",Orders!$F$2:$F$20001,"RTO"))</f>
        <v/>
      </c>
      <c r="F1332" s="17" t="str">
        <f aca="false">IF($A1332="","",COUNTIFS(Orders!$C$2:$C$20001,$A1332,Orders!$E$2:$E$20001,"Prepaid",Orders!$F$2:$F$20001,"RTO"))</f>
        <v/>
      </c>
      <c r="G1332" s="18" t="str">
        <f aca="false">IF($A1332="","",IFERROR(F1332/E1332,0))</f>
        <v/>
      </c>
      <c r="H1332" s="19" t="str">
        <f aca="false">IF($A1332="","",C1332*Settings!$B$11)</f>
        <v/>
      </c>
      <c r="I1332" s="20" t="str">
        <f aca="false">IF($A1332="","",IF(N(H1332)=0,"",RANK(H1332,$H$5:$H$2004)))</f>
        <v/>
      </c>
      <c r="J1332" s="21" t="str">
        <f aca="false">IF($A1332="","",IF(B1332=0,"No COD orders",IF(B1332&lt;Settings!$B$8,"Too few orders",IF(D1332&gt;=Settings!$B$9,"Restrict COD or verify","Keep COD"))))</f>
        <v/>
      </c>
    </row>
    <row r="1333" customFormat="false" ht="15" hidden="false" customHeight="false" outlineLevel="0" collapsed="false">
      <c r="A1333" s="27"/>
      <c r="B1333" s="17" t="str">
        <f aca="false">IF($A1333="","",COUNTIFS(Orders!$C$2:$C$20001,$A1333,Orders!$E$2:$E$20001,"COD",Orders!$F$2:$F$20001,"Delivered")+COUNTIFS(Orders!$C$2:$C$20001,$A1333,Orders!$E$2:$E$20001,"COD",Orders!$F$2:$F$20001,"RTO"))</f>
        <v/>
      </c>
      <c r="C1333" s="17" t="str">
        <f aca="false">IF($A1333="","",COUNTIFS(Orders!$C$2:$C$20001,$A1333,Orders!$E$2:$E$20001,"COD",Orders!$F$2:$F$20001,"RTO"))</f>
        <v/>
      </c>
      <c r="D1333" s="18" t="str">
        <f aca="false">IF($A1333="","",IFERROR(C1333/B1333,0))</f>
        <v/>
      </c>
      <c r="E1333" s="17" t="str">
        <f aca="false">IF($A1333="","",COUNTIFS(Orders!$C$2:$C$20001,$A1333,Orders!$E$2:$E$20001,"Prepaid",Orders!$F$2:$F$20001,"Delivered")+COUNTIFS(Orders!$C$2:$C$20001,$A1333,Orders!$E$2:$E$20001,"Prepaid",Orders!$F$2:$F$20001,"RTO"))</f>
        <v/>
      </c>
      <c r="F1333" s="17" t="str">
        <f aca="false">IF($A1333="","",COUNTIFS(Orders!$C$2:$C$20001,$A1333,Orders!$E$2:$E$20001,"Prepaid",Orders!$F$2:$F$20001,"RTO"))</f>
        <v/>
      </c>
      <c r="G1333" s="18" t="str">
        <f aca="false">IF($A1333="","",IFERROR(F1333/E1333,0))</f>
        <v/>
      </c>
      <c r="H1333" s="19" t="str">
        <f aca="false">IF($A1333="","",C1333*Settings!$B$11)</f>
        <v/>
      </c>
      <c r="I1333" s="20" t="str">
        <f aca="false">IF($A1333="","",IF(N(H1333)=0,"",RANK(H1333,$H$5:$H$2004)))</f>
        <v/>
      </c>
      <c r="J1333" s="21" t="str">
        <f aca="false">IF($A1333="","",IF(B1333=0,"No COD orders",IF(B1333&lt;Settings!$B$8,"Too few orders",IF(D1333&gt;=Settings!$B$9,"Restrict COD or verify","Keep COD"))))</f>
        <v/>
      </c>
    </row>
    <row r="1334" customFormat="false" ht="15" hidden="false" customHeight="false" outlineLevel="0" collapsed="false">
      <c r="A1334" s="27"/>
      <c r="B1334" s="17" t="str">
        <f aca="false">IF($A1334="","",COUNTIFS(Orders!$C$2:$C$20001,$A1334,Orders!$E$2:$E$20001,"COD",Orders!$F$2:$F$20001,"Delivered")+COUNTIFS(Orders!$C$2:$C$20001,$A1334,Orders!$E$2:$E$20001,"COD",Orders!$F$2:$F$20001,"RTO"))</f>
        <v/>
      </c>
      <c r="C1334" s="17" t="str">
        <f aca="false">IF($A1334="","",COUNTIFS(Orders!$C$2:$C$20001,$A1334,Orders!$E$2:$E$20001,"COD",Orders!$F$2:$F$20001,"RTO"))</f>
        <v/>
      </c>
      <c r="D1334" s="18" t="str">
        <f aca="false">IF($A1334="","",IFERROR(C1334/B1334,0))</f>
        <v/>
      </c>
      <c r="E1334" s="17" t="str">
        <f aca="false">IF($A1334="","",COUNTIFS(Orders!$C$2:$C$20001,$A1334,Orders!$E$2:$E$20001,"Prepaid",Orders!$F$2:$F$20001,"Delivered")+COUNTIFS(Orders!$C$2:$C$20001,$A1334,Orders!$E$2:$E$20001,"Prepaid",Orders!$F$2:$F$20001,"RTO"))</f>
        <v/>
      </c>
      <c r="F1334" s="17" t="str">
        <f aca="false">IF($A1334="","",COUNTIFS(Orders!$C$2:$C$20001,$A1334,Orders!$E$2:$E$20001,"Prepaid",Orders!$F$2:$F$20001,"RTO"))</f>
        <v/>
      </c>
      <c r="G1334" s="18" t="str">
        <f aca="false">IF($A1334="","",IFERROR(F1334/E1334,0))</f>
        <v/>
      </c>
      <c r="H1334" s="19" t="str">
        <f aca="false">IF($A1334="","",C1334*Settings!$B$11)</f>
        <v/>
      </c>
      <c r="I1334" s="20" t="str">
        <f aca="false">IF($A1334="","",IF(N(H1334)=0,"",RANK(H1334,$H$5:$H$2004)))</f>
        <v/>
      </c>
      <c r="J1334" s="21" t="str">
        <f aca="false">IF($A1334="","",IF(B1334=0,"No COD orders",IF(B1334&lt;Settings!$B$8,"Too few orders",IF(D1334&gt;=Settings!$B$9,"Restrict COD or verify","Keep COD"))))</f>
        <v/>
      </c>
    </row>
    <row r="1335" customFormat="false" ht="15" hidden="false" customHeight="false" outlineLevel="0" collapsed="false">
      <c r="A1335" s="27"/>
      <c r="B1335" s="17" t="str">
        <f aca="false">IF($A1335="","",COUNTIFS(Orders!$C$2:$C$20001,$A1335,Orders!$E$2:$E$20001,"COD",Orders!$F$2:$F$20001,"Delivered")+COUNTIFS(Orders!$C$2:$C$20001,$A1335,Orders!$E$2:$E$20001,"COD",Orders!$F$2:$F$20001,"RTO"))</f>
        <v/>
      </c>
      <c r="C1335" s="17" t="str">
        <f aca="false">IF($A1335="","",COUNTIFS(Orders!$C$2:$C$20001,$A1335,Orders!$E$2:$E$20001,"COD",Orders!$F$2:$F$20001,"RTO"))</f>
        <v/>
      </c>
      <c r="D1335" s="18" t="str">
        <f aca="false">IF($A1335="","",IFERROR(C1335/B1335,0))</f>
        <v/>
      </c>
      <c r="E1335" s="17" t="str">
        <f aca="false">IF($A1335="","",COUNTIFS(Orders!$C$2:$C$20001,$A1335,Orders!$E$2:$E$20001,"Prepaid",Orders!$F$2:$F$20001,"Delivered")+COUNTIFS(Orders!$C$2:$C$20001,$A1335,Orders!$E$2:$E$20001,"Prepaid",Orders!$F$2:$F$20001,"RTO"))</f>
        <v/>
      </c>
      <c r="F1335" s="17" t="str">
        <f aca="false">IF($A1335="","",COUNTIFS(Orders!$C$2:$C$20001,$A1335,Orders!$E$2:$E$20001,"Prepaid",Orders!$F$2:$F$20001,"RTO"))</f>
        <v/>
      </c>
      <c r="G1335" s="18" t="str">
        <f aca="false">IF($A1335="","",IFERROR(F1335/E1335,0))</f>
        <v/>
      </c>
      <c r="H1335" s="19" t="str">
        <f aca="false">IF($A1335="","",C1335*Settings!$B$11)</f>
        <v/>
      </c>
      <c r="I1335" s="20" t="str">
        <f aca="false">IF($A1335="","",IF(N(H1335)=0,"",RANK(H1335,$H$5:$H$2004)))</f>
        <v/>
      </c>
      <c r="J1335" s="21" t="str">
        <f aca="false">IF($A1335="","",IF(B1335=0,"No COD orders",IF(B1335&lt;Settings!$B$8,"Too few orders",IF(D1335&gt;=Settings!$B$9,"Restrict COD or verify","Keep COD"))))</f>
        <v/>
      </c>
    </row>
    <row r="1336" customFormat="false" ht="15" hidden="false" customHeight="false" outlineLevel="0" collapsed="false">
      <c r="A1336" s="27"/>
      <c r="B1336" s="17" t="str">
        <f aca="false">IF($A1336="","",COUNTIFS(Orders!$C$2:$C$20001,$A1336,Orders!$E$2:$E$20001,"COD",Orders!$F$2:$F$20001,"Delivered")+COUNTIFS(Orders!$C$2:$C$20001,$A1336,Orders!$E$2:$E$20001,"COD",Orders!$F$2:$F$20001,"RTO"))</f>
        <v/>
      </c>
      <c r="C1336" s="17" t="str">
        <f aca="false">IF($A1336="","",COUNTIFS(Orders!$C$2:$C$20001,$A1336,Orders!$E$2:$E$20001,"COD",Orders!$F$2:$F$20001,"RTO"))</f>
        <v/>
      </c>
      <c r="D1336" s="18" t="str">
        <f aca="false">IF($A1336="","",IFERROR(C1336/B1336,0))</f>
        <v/>
      </c>
      <c r="E1336" s="17" t="str">
        <f aca="false">IF($A1336="","",COUNTIFS(Orders!$C$2:$C$20001,$A1336,Orders!$E$2:$E$20001,"Prepaid",Orders!$F$2:$F$20001,"Delivered")+COUNTIFS(Orders!$C$2:$C$20001,$A1336,Orders!$E$2:$E$20001,"Prepaid",Orders!$F$2:$F$20001,"RTO"))</f>
        <v/>
      </c>
      <c r="F1336" s="17" t="str">
        <f aca="false">IF($A1336="","",COUNTIFS(Orders!$C$2:$C$20001,$A1336,Orders!$E$2:$E$20001,"Prepaid",Orders!$F$2:$F$20001,"RTO"))</f>
        <v/>
      </c>
      <c r="G1336" s="18" t="str">
        <f aca="false">IF($A1336="","",IFERROR(F1336/E1336,0))</f>
        <v/>
      </c>
      <c r="H1336" s="19" t="str">
        <f aca="false">IF($A1336="","",C1336*Settings!$B$11)</f>
        <v/>
      </c>
      <c r="I1336" s="20" t="str">
        <f aca="false">IF($A1336="","",IF(N(H1336)=0,"",RANK(H1336,$H$5:$H$2004)))</f>
        <v/>
      </c>
      <c r="J1336" s="21" t="str">
        <f aca="false">IF($A1336="","",IF(B1336=0,"No COD orders",IF(B1336&lt;Settings!$B$8,"Too few orders",IF(D1336&gt;=Settings!$B$9,"Restrict COD or verify","Keep COD"))))</f>
        <v/>
      </c>
    </row>
    <row r="1337" customFormat="false" ht="15" hidden="false" customHeight="false" outlineLevel="0" collapsed="false">
      <c r="A1337" s="27"/>
      <c r="B1337" s="17" t="str">
        <f aca="false">IF($A1337="","",COUNTIFS(Orders!$C$2:$C$20001,$A1337,Orders!$E$2:$E$20001,"COD",Orders!$F$2:$F$20001,"Delivered")+COUNTIFS(Orders!$C$2:$C$20001,$A1337,Orders!$E$2:$E$20001,"COD",Orders!$F$2:$F$20001,"RTO"))</f>
        <v/>
      </c>
      <c r="C1337" s="17" t="str">
        <f aca="false">IF($A1337="","",COUNTIFS(Orders!$C$2:$C$20001,$A1337,Orders!$E$2:$E$20001,"COD",Orders!$F$2:$F$20001,"RTO"))</f>
        <v/>
      </c>
      <c r="D1337" s="18" t="str">
        <f aca="false">IF($A1337="","",IFERROR(C1337/B1337,0))</f>
        <v/>
      </c>
      <c r="E1337" s="17" t="str">
        <f aca="false">IF($A1337="","",COUNTIFS(Orders!$C$2:$C$20001,$A1337,Orders!$E$2:$E$20001,"Prepaid",Orders!$F$2:$F$20001,"Delivered")+COUNTIFS(Orders!$C$2:$C$20001,$A1337,Orders!$E$2:$E$20001,"Prepaid",Orders!$F$2:$F$20001,"RTO"))</f>
        <v/>
      </c>
      <c r="F1337" s="17" t="str">
        <f aca="false">IF($A1337="","",COUNTIFS(Orders!$C$2:$C$20001,$A1337,Orders!$E$2:$E$20001,"Prepaid",Orders!$F$2:$F$20001,"RTO"))</f>
        <v/>
      </c>
      <c r="G1337" s="18" t="str">
        <f aca="false">IF($A1337="","",IFERROR(F1337/E1337,0))</f>
        <v/>
      </c>
      <c r="H1337" s="19" t="str">
        <f aca="false">IF($A1337="","",C1337*Settings!$B$11)</f>
        <v/>
      </c>
      <c r="I1337" s="20" t="str">
        <f aca="false">IF($A1337="","",IF(N(H1337)=0,"",RANK(H1337,$H$5:$H$2004)))</f>
        <v/>
      </c>
      <c r="J1337" s="21" t="str">
        <f aca="false">IF($A1337="","",IF(B1337=0,"No COD orders",IF(B1337&lt;Settings!$B$8,"Too few orders",IF(D1337&gt;=Settings!$B$9,"Restrict COD or verify","Keep COD"))))</f>
        <v/>
      </c>
    </row>
    <row r="1338" customFormat="false" ht="15" hidden="false" customHeight="false" outlineLevel="0" collapsed="false">
      <c r="A1338" s="27"/>
      <c r="B1338" s="17" t="str">
        <f aca="false">IF($A1338="","",COUNTIFS(Orders!$C$2:$C$20001,$A1338,Orders!$E$2:$E$20001,"COD",Orders!$F$2:$F$20001,"Delivered")+COUNTIFS(Orders!$C$2:$C$20001,$A1338,Orders!$E$2:$E$20001,"COD",Orders!$F$2:$F$20001,"RTO"))</f>
        <v/>
      </c>
      <c r="C1338" s="17" t="str">
        <f aca="false">IF($A1338="","",COUNTIFS(Orders!$C$2:$C$20001,$A1338,Orders!$E$2:$E$20001,"COD",Orders!$F$2:$F$20001,"RTO"))</f>
        <v/>
      </c>
      <c r="D1338" s="18" t="str">
        <f aca="false">IF($A1338="","",IFERROR(C1338/B1338,0))</f>
        <v/>
      </c>
      <c r="E1338" s="17" t="str">
        <f aca="false">IF($A1338="","",COUNTIFS(Orders!$C$2:$C$20001,$A1338,Orders!$E$2:$E$20001,"Prepaid",Orders!$F$2:$F$20001,"Delivered")+COUNTIFS(Orders!$C$2:$C$20001,$A1338,Orders!$E$2:$E$20001,"Prepaid",Orders!$F$2:$F$20001,"RTO"))</f>
        <v/>
      </c>
      <c r="F1338" s="17" t="str">
        <f aca="false">IF($A1338="","",COUNTIFS(Orders!$C$2:$C$20001,$A1338,Orders!$E$2:$E$20001,"Prepaid",Orders!$F$2:$F$20001,"RTO"))</f>
        <v/>
      </c>
      <c r="G1338" s="18" t="str">
        <f aca="false">IF($A1338="","",IFERROR(F1338/E1338,0))</f>
        <v/>
      </c>
      <c r="H1338" s="19" t="str">
        <f aca="false">IF($A1338="","",C1338*Settings!$B$11)</f>
        <v/>
      </c>
      <c r="I1338" s="20" t="str">
        <f aca="false">IF($A1338="","",IF(N(H1338)=0,"",RANK(H1338,$H$5:$H$2004)))</f>
        <v/>
      </c>
      <c r="J1338" s="21" t="str">
        <f aca="false">IF($A1338="","",IF(B1338=0,"No COD orders",IF(B1338&lt;Settings!$B$8,"Too few orders",IF(D1338&gt;=Settings!$B$9,"Restrict COD or verify","Keep COD"))))</f>
        <v/>
      </c>
    </row>
    <row r="1339" customFormat="false" ht="15" hidden="false" customHeight="false" outlineLevel="0" collapsed="false">
      <c r="A1339" s="27"/>
      <c r="B1339" s="17" t="str">
        <f aca="false">IF($A1339="","",COUNTIFS(Orders!$C$2:$C$20001,$A1339,Orders!$E$2:$E$20001,"COD",Orders!$F$2:$F$20001,"Delivered")+COUNTIFS(Orders!$C$2:$C$20001,$A1339,Orders!$E$2:$E$20001,"COD",Orders!$F$2:$F$20001,"RTO"))</f>
        <v/>
      </c>
      <c r="C1339" s="17" t="str">
        <f aca="false">IF($A1339="","",COUNTIFS(Orders!$C$2:$C$20001,$A1339,Orders!$E$2:$E$20001,"COD",Orders!$F$2:$F$20001,"RTO"))</f>
        <v/>
      </c>
      <c r="D1339" s="18" t="str">
        <f aca="false">IF($A1339="","",IFERROR(C1339/B1339,0))</f>
        <v/>
      </c>
      <c r="E1339" s="17" t="str">
        <f aca="false">IF($A1339="","",COUNTIFS(Orders!$C$2:$C$20001,$A1339,Orders!$E$2:$E$20001,"Prepaid",Orders!$F$2:$F$20001,"Delivered")+COUNTIFS(Orders!$C$2:$C$20001,$A1339,Orders!$E$2:$E$20001,"Prepaid",Orders!$F$2:$F$20001,"RTO"))</f>
        <v/>
      </c>
      <c r="F1339" s="17" t="str">
        <f aca="false">IF($A1339="","",COUNTIFS(Orders!$C$2:$C$20001,$A1339,Orders!$E$2:$E$20001,"Prepaid",Orders!$F$2:$F$20001,"RTO"))</f>
        <v/>
      </c>
      <c r="G1339" s="18" t="str">
        <f aca="false">IF($A1339="","",IFERROR(F1339/E1339,0))</f>
        <v/>
      </c>
      <c r="H1339" s="19" t="str">
        <f aca="false">IF($A1339="","",C1339*Settings!$B$11)</f>
        <v/>
      </c>
      <c r="I1339" s="20" t="str">
        <f aca="false">IF($A1339="","",IF(N(H1339)=0,"",RANK(H1339,$H$5:$H$2004)))</f>
        <v/>
      </c>
      <c r="J1339" s="21" t="str">
        <f aca="false">IF($A1339="","",IF(B1339=0,"No COD orders",IF(B1339&lt;Settings!$B$8,"Too few orders",IF(D1339&gt;=Settings!$B$9,"Restrict COD or verify","Keep COD"))))</f>
        <v/>
      </c>
    </row>
    <row r="1340" customFormat="false" ht="15" hidden="false" customHeight="false" outlineLevel="0" collapsed="false">
      <c r="A1340" s="27"/>
      <c r="B1340" s="17" t="str">
        <f aca="false">IF($A1340="","",COUNTIFS(Orders!$C$2:$C$20001,$A1340,Orders!$E$2:$E$20001,"COD",Orders!$F$2:$F$20001,"Delivered")+COUNTIFS(Orders!$C$2:$C$20001,$A1340,Orders!$E$2:$E$20001,"COD",Orders!$F$2:$F$20001,"RTO"))</f>
        <v/>
      </c>
      <c r="C1340" s="17" t="str">
        <f aca="false">IF($A1340="","",COUNTIFS(Orders!$C$2:$C$20001,$A1340,Orders!$E$2:$E$20001,"COD",Orders!$F$2:$F$20001,"RTO"))</f>
        <v/>
      </c>
      <c r="D1340" s="18" t="str">
        <f aca="false">IF($A1340="","",IFERROR(C1340/B1340,0))</f>
        <v/>
      </c>
      <c r="E1340" s="17" t="str">
        <f aca="false">IF($A1340="","",COUNTIFS(Orders!$C$2:$C$20001,$A1340,Orders!$E$2:$E$20001,"Prepaid",Orders!$F$2:$F$20001,"Delivered")+COUNTIFS(Orders!$C$2:$C$20001,$A1340,Orders!$E$2:$E$20001,"Prepaid",Orders!$F$2:$F$20001,"RTO"))</f>
        <v/>
      </c>
      <c r="F1340" s="17" t="str">
        <f aca="false">IF($A1340="","",COUNTIFS(Orders!$C$2:$C$20001,$A1340,Orders!$E$2:$E$20001,"Prepaid",Orders!$F$2:$F$20001,"RTO"))</f>
        <v/>
      </c>
      <c r="G1340" s="18" t="str">
        <f aca="false">IF($A1340="","",IFERROR(F1340/E1340,0))</f>
        <v/>
      </c>
      <c r="H1340" s="19" t="str">
        <f aca="false">IF($A1340="","",C1340*Settings!$B$11)</f>
        <v/>
      </c>
      <c r="I1340" s="20" t="str">
        <f aca="false">IF($A1340="","",IF(N(H1340)=0,"",RANK(H1340,$H$5:$H$2004)))</f>
        <v/>
      </c>
      <c r="J1340" s="21" t="str">
        <f aca="false">IF($A1340="","",IF(B1340=0,"No COD orders",IF(B1340&lt;Settings!$B$8,"Too few orders",IF(D1340&gt;=Settings!$B$9,"Restrict COD or verify","Keep COD"))))</f>
        <v/>
      </c>
    </row>
    <row r="1341" customFormat="false" ht="15" hidden="false" customHeight="false" outlineLevel="0" collapsed="false">
      <c r="A1341" s="27"/>
      <c r="B1341" s="17" t="str">
        <f aca="false">IF($A1341="","",COUNTIFS(Orders!$C$2:$C$20001,$A1341,Orders!$E$2:$E$20001,"COD",Orders!$F$2:$F$20001,"Delivered")+COUNTIFS(Orders!$C$2:$C$20001,$A1341,Orders!$E$2:$E$20001,"COD",Orders!$F$2:$F$20001,"RTO"))</f>
        <v/>
      </c>
      <c r="C1341" s="17" t="str">
        <f aca="false">IF($A1341="","",COUNTIFS(Orders!$C$2:$C$20001,$A1341,Orders!$E$2:$E$20001,"COD",Orders!$F$2:$F$20001,"RTO"))</f>
        <v/>
      </c>
      <c r="D1341" s="18" t="str">
        <f aca="false">IF($A1341="","",IFERROR(C1341/B1341,0))</f>
        <v/>
      </c>
      <c r="E1341" s="17" t="str">
        <f aca="false">IF($A1341="","",COUNTIFS(Orders!$C$2:$C$20001,$A1341,Orders!$E$2:$E$20001,"Prepaid",Orders!$F$2:$F$20001,"Delivered")+COUNTIFS(Orders!$C$2:$C$20001,$A1341,Orders!$E$2:$E$20001,"Prepaid",Orders!$F$2:$F$20001,"RTO"))</f>
        <v/>
      </c>
      <c r="F1341" s="17" t="str">
        <f aca="false">IF($A1341="","",COUNTIFS(Orders!$C$2:$C$20001,$A1341,Orders!$E$2:$E$20001,"Prepaid",Orders!$F$2:$F$20001,"RTO"))</f>
        <v/>
      </c>
      <c r="G1341" s="18" t="str">
        <f aca="false">IF($A1341="","",IFERROR(F1341/E1341,0))</f>
        <v/>
      </c>
      <c r="H1341" s="19" t="str">
        <f aca="false">IF($A1341="","",C1341*Settings!$B$11)</f>
        <v/>
      </c>
      <c r="I1341" s="20" t="str">
        <f aca="false">IF($A1341="","",IF(N(H1341)=0,"",RANK(H1341,$H$5:$H$2004)))</f>
        <v/>
      </c>
      <c r="J1341" s="21" t="str">
        <f aca="false">IF($A1341="","",IF(B1341=0,"No COD orders",IF(B1341&lt;Settings!$B$8,"Too few orders",IF(D1341&gt;=Settings!$B$9,"Restrict COD or verify","Keep COD"))))</f>
        <v/>
      </c>
    </row>
    <row r="1342" customFormat="false" ht="15" hidden="false" customHeight="false" outlineLevel="0" collapsed="false">
      <c r="A1342" s="27"/>
      <c r="B1342" s="17" t="str">
        <f aca="false">IF($A1342="","",COUNTIFS(Orders!$C$2:$C$20001,$A1342,Orders!$E$2:$E$20001,"COD",Orders!$F$2:$F$20001,"Delivered")+COUNTIFS(Orders!$C$2:$C$20001,$A1342,Orders!$E$2:$E$20001,"COD",Orders!$F$2:$F$20001,"RTO"))</f>
        <v/>
      </c>
      <c r="C1342" s="17" t="str">
        <f aca="false">IF($A1342="","",COUNTIFS(Orders!$C$2:$C$20001,$A1342,Orders!$E$2:$E$20001,"COD",Orders!$F$2:$F$20001,"RTO"))</f>
        <v/>
      </c>
      <c r="D1342" s="18" t="str">
        <f aca="false">IF($A1342="","",IFERROR(C1342/B1342,0))</f>
        <v/>
      </c>
      <c r="E1342" s="17" t="str">
        <f aca="false">IF($A1342="","",COUNTIFS(Orders!$C$2:$C$20001,$A1342,Orders!$E$2:$E$20001,"Prepaid",Orders!$F$2:$F$20001,"Delivered")+COUNTIFS(Orders!$C$2:$C$20001,$A1342,Orders!$E$2:$E$20001,"Prepaid",Orders!$F$2:$F$20001,"RTO"))</f>
        <v/>
      </c>
      <c r="F1342" s="17" t="str">
        <f aca="false">IF($A1342="","",COUNTIFS(Orders!$C$2:$C$20001,$A1342,Orders!$E$2:$E$20001,"Prepaid",Orders!$F$2:$F$20001,"RTO"))</f>
        <v/>
      </c>
      <c r="G1342" s="18" t="str">
        <f aca="false">IF($A1342="","",IFERROR(F1342/E1342,0))</f>
        <v/>
      </c>
      <c r="H1342" s="19" t="str">
        <f aca="false">IF($A1342="","",C1342*Settings!$B$11)</f>
        <v/>
      </c>
      <c r="I1342" s="20" t="str">
        <f aca="false">IF($A1342="","",IF(N(H1342)=0,"",RANK(H1342,$H$5:$H$2004)))</f>
        <v/>
      </c>
      <c r="J1342" s="21" t="str">
        <f aca="false">IF($A1342="","",IF(B1342=0,"No COD orders",IF(B1342&lt;Settings!$B$8,"Too few orders",IF(D1342&gt;=Settings!$B$9,"Restrict COD or verify","Keep COD"))))</f>
        <v/>
      </c>
    </row>
    <row r="1343" customFormat="false" ht="15" hidden="false" customHeight="false" outlineLevel="0" collapsed="false">
      <c r="A1343" s="27"/>
      <c r="B1343" s="17" t="str">
        <f aca="false">IF($A1343="","",COUNTIFS(Orders!$C$2:$C$20001,$A1343,Orders!$E$2:$E$20001,"COD",Orders!$F$2:$F$20001,"Delivered")+COUNTIFS(Orders!$C$2:$C$20001,$A1343,Orders!$E$2:$E$20001,"COD",Orders!$F$2:$F$20001,"RTO"))</f>
        <v/>
      </c>
      <c r="C1343" s="17" t="str">
        <f aca="false">IF($A1343="","",COUNTIFS(Orders!$C$2:$C$20001,$A1343,Orders!$E$2:$E$20001,"COD",Orders!$F$2:$F$20001,"RTO"))</f>
        <v/>
      </c>
      <c r="D1343" s="18" t="str">
        <f aca="false">IF($A1343="","",IFERROR(C1343/B1343,0))</f>
        <v/>
      </c>
      <c r="E1343" s="17" t="str">
        <f aca="false">IF($A1343="","",COUNTIFS(Orders!$C$2:$C$20001,$A1343,Orders!$E$2:$E$20001,"Prepaid",Orders!$F$2:$F$20001,"Delivered")+COUNTIFS(Orders!$C$2:$C$20001,$A1343,Orders!$E$2:$E$20001,"Prepaid",Orders!$F$2:$F$20001,"RTO"))</f>
        <v/>
      </c>
      <c r="F1343" s="17" t="str">
        <f aca="false">IF($A1343="","",COUNTIFS(Orders!$C$2:$C$20001,$A1343,Orders!$E$2:$E$20001,"Prepaid",Orders!$F$2:$F$20001,"RTO"))</f>
        <v/>
      </c>
      <c r="G1343" s="18" t="str">
        <f aca="false">IF($A1343="","",IFERROR(F1343/E1343,0))</f>
        <v/>
      </c>
      <c r="H1343" s="19" t="str">
        <f aca="false">IF($A1343="","",C1343*Settings!$B$11)</f>
        <v/>
      </c>
      <c r="I1343" s="20" t="str">
        <f aca="false">IF($A1343="","",IF(N(H1343)=0,"",RANK(H1343,$H$5:$H$2004)))</f>
        <v/>
      </c>
      <c r="J1343" s="21" t="str">
        <f aca="false">IF($A1343="","",IF(B1343=0,"No COD orders",IF(B1343&lt;Settings!$B$8,"Too few orders",IF(D1343&gt;=Settings!$B$9,"Restrict COD or verify","Keep COD"))))</f>
        <v/>
      </c>
    </row>
    <row r="1344" customFormat="false" ht="15" hidden="false" customHeight="false" outlineLevel="0" collapsed="false">
      <c r="A1344" s="27"/>
      <c r="B1344" s="17" t="str">
        <f aca="false">IF($A1344="","",COUNTIFS(Orders!$C$2:$C$20001,$A1344,Orders!$E$2:$E$20001,"COD",Orders!$F$2:$F$20001,"Delivered")+COUNTIFS(Orders!$C$2:$C$20001,$A1344,Orders!$E$2:$E$20001,"COD",Orders!$F$2:$F$20001,"RTO"))</f>
        <v/>
      </c>
      <c r="C1344" s="17" t="str">
        <f aca="false">IF($A1344="","",COUNTIFS(Orders!$C$2:$C$20001,$A1344,Orders!$E$2:$E$20001,"COD",Orders!$F$2:$F$20001,"RTO"))</f>
        <v/>
      </c>
      <c r="D1344" s="18" t="str">
        <f aca="false">IF($A1344="","",IFERROR(C1344/B1344,0))</f>
        <v/>
      </c>
      <c r="E1344" s="17" t="str">
        <f aca="false">IF($A1344="","",COUNTIFS(Orders!$C$2:$C$20001,$A1344,Orders!$E$2:$E$20001,"Prepaid",Orders!$F$2:$F$20001,"Delivered")+COUNTIFS(Orders!$C$2:$C$20001,$A1344,Orders!$E$2:$E$20001,"Prepaid",Orders!$F$2:$F$20001,"RTO"))</f>
        <v/>
      </c>
      <c r="F1344" s="17" t="str">
        <f aca="false">IF($A1344="","",COUNTIFS(Orders!$C$2:$C$20001,$A1344,Orders!$E$2:$E$20001,"Prepaid",Orders!$F$2:$F$20001,"RTO"))</f>
        <v/>
      </c>
      <c r="G1344" s="18" t="str">
        <f aca="false">IF($A1344="","",IFERROR(F1344/E1344,0))</f>
        <v/>
      </c>
      <c r="H1344" s="19" t="str">
        <f aca="false">IF($A1344="","",C1344*Settings!$B$11)</f>
        <v/>
      </c>
      <c r="I1344" s="20" t="str">
        <f aca="false">IF($A1344="","",IF(N(H1344)=0,"",RANK(H1344,$H$5:$H$2004)))</f>
        <v/>
      </c>
      <c r="J1344" s="21" t="str">
        <f aca="false">IF($A1344="","",IF(B1344=0,"No COD orders",IF(B1344&lt;Settings!$B$8,"Too few orders",IF(D1344&gt;=Settings!$B$9,"Restrict COD or verify","Keep COD"))))</f>
        <v/>
      </c>
    </row>
    <row r="1345" customFormat="false" ht="15" hidden="false" customHeight="false" outlineLevel="0" collapsed="false">
      <c r="A1345" s="27"/>
      <c r="B1345" s="17" t="str">
        <f aca="false">IF($A1345="","",COUNTIFS(Orders!$C$2:$C$20001,$A1345,Orders!$E$2:$E$20001,"COD",Orders!$F$2:$F$20001,"Delivered")+COUNTIFS(Orders!$C$2:$C$20001,$A1345,Orders!$E$2:$E$20001,"COD",Orders!$F$2:$F$20001,"RTO"))</f>
        <v/>
      </c>
      <c r="C1345" s="17" t="str">
        <f aca="false">IF($A1345="","",COUNTIFS(Orders!$C$2:$C$20001,$A1345,Orders!$E$2:$E$20001,"COD",Orders!$F$2:$F$20001,"RTO"))</f>
        <v/>
      </c>
      <c r="D1345" s="18" t="str">
        <f aca="false">IF($A1345="","",IFERROR(C1345/B1345,0))</f>
        <v/>
      </c>
      <c r="E1345" s="17" t="str">
        <f aca="false">IF($A1345="","",COUNTIFS(Orders!$C$2:$C$20001,$A1345,Orders!$E$2:$E$20001,"Prepaid",Orders!$F$2:$F$20001,"Delivered")+COUNTIFS(Orders!$C$2:$C$20001,$A1345,Orders!$E$2:$E$20001,"Prepaid",Orders!$F$2:$F$20001,"RTO"))</f>
        <v/>
      </c>
      <c r="F1345" s="17" t="str">
        <f aca="false">IF($A1345="","",COUNTIFS(Orders!$C$2:$C$20001,$A1345,Orders!$E$2:$E$20001,"Prepaid",Orders!$F$2:$F$20001,"RTO"))</f>
        <v/>
      </c>
      <c r="G1345" s="18" t="str">
        <f aca="false">IF($A1345="","",IFERROR(F1345/E1345,0))</f>
        <v/>
      </c>
      <c r="H1345" s="19" t="str">
        <f aca="false">IF($A1345="","",C1345*Settings!$B$11)</f>
        <v/>
      </c>
      <c r="I1345" s="20" t="str">
        <f aca="false">IF($A1345="","",IF(N(H1345)=0,"",RANK(H1345,$H$5:$H$2004)))</f>
        <v/>
      </c>
      <c r="J1345" s="21" t="str">
        <f aca="false">IF($A1345="","",IF(B1345=0,"No COD orders",IF(B1345&lt;Settings!$B$8,"Too few orders",IF(D1345&gt;=Settings!$B$9,"Restrict COD or verify","Keep COD"))))</f>
        <v/>
      </c>
    </row>
    <row r="1346" customFormat="false" ht="15" hidden="false" customHeight="false" outlineLevel="0" collapsed="false">
      <c r="A1346" s="27"/>
      <c r="B1346" s="17" t="str">
        <f aca="false">IF($A1346="","",COUNTIFS(Orders!$C$2:$C$20001,$A1346,Orders!$E$2:$E$20001,"COD",Orders!$F$2:$F$20001,"Delivered")+COUNTIFS(Orders!$C$2:$C$20001,$A1346,Orders!$E$2:$E$20001,"COD",Orders!$F$2:$F$20001,"RTO"))</f>
        <v/>
      </c>
      <c r="C1346" s="17" t="str">
        <f aca="false">IF($A1346="","",COUNTIFS(Orders!$C$2:$C$20001,$A1346,Orders!$E$2:$E$20001,"COD",Orders!$F$2:$F$20001,"RTO"))</f>
        <v/>
      </c>
      <c r="D1346" s="18" t="str">
        <f aca="false">IF($A1346="","",IFERROR(C1346/B1346,0))</f>
        <v/>
      </c>
      <c r="E1346" s="17" t="str">
        <f aca="false">IF($A1346="","",COUNTIFS(Orders!$C$2:$C$20001,$A1346,Orders!$E$2:$E$20001,"Prepaid",Orders!$F$2:$F$20001,"Delivered")+COUNTIFS(Orders!$C$2:$C$20001,$A1346,Orders!$E$2:$E$20001,"Prepaid",Orders!$F$2:$F$20001,"RTO"))</f>
        <v/>
      </c>
      <c r="F1346" s="17" t="str">
        <f aca="false">IF($A1346="","",COUNTIFS(Orders!$C$2:$C$20001,$A1346,Orders!$E$2:$E$20001,"Prepaid",Orders!$F$2:$F$20001,"RTO"))</f>
        <v/>
      </c>
      <c r="G1346" s="18" t="str">
        <f aca="false">IF($A1346="","",IFERROR(F1346/E1346,0))</f>
        <v/>
      </c>
      <c r="H1346" s="19" t="str">
        <f aca="false">IF($A1346="","",C1346*Settings!$B$11)</f>
        <v/>
      </c>
      <c r="I1346" s="20" t="str">
        <f aca="false">IF($A1346="","",IF(N(H1346)=0,"",RANK(H1346,$H$5:$H$2004)))</f>
        <v/>
      </c>
      <c r="J1346" s="21" t="str">
        <f aca="false">IF($A1346="","",IF(B1346=0,"No COD orders",IF(B1346&lt;Settings!$B$8,"Too few orders",IF(D1346&gt;=Settings!$B$9,"Restrict COD or verify","Keep COD"))))</f>
        <v/>
      </c>
    </row>
    <row r="1347" customFormat="false" ht="15" hidden="false" customHeight="false" outlineLevel="0" collapsed="false">
      <c r="A1347" s="27"/>
      <c r="B1347" s="17" t="str">
        <f aca="false">IF($A1347="","",COUNTIFS(Orders!$C$2:$C$20001,$A1347,Orders!$E$2:$E$20001,"COD",Orders!$F$2:$F$20001,"Delivered")+COUNTIFS(Orders!$C$2:$C$20001,$A1347,Orders!$E$2:$E$20001,"COD",Orders!$F$2:$F$20001,"RTO"))</f>
        <v/>
      </c>
      <c r="C1347" s="17" t="str">
        <f aca="false">IF($A1347="","",COUNTIFS(Orders!$C$2:$C$20001,$A1347,Orders!$E$2:$E$20001,"COD",Orders!$F$2:$F$20001,"RTO"))</f>
        <v/>
      </c>
      <c r="D1347" s="18" t="str">
        <f aca="false">IF($A1347="","",IFERROR(C1347/B1347,0))</f>
        <v/>
      </c>
      <c r="E1347" s="17" t="str">
        <f aca="false">IF($A1347="","",COUNTIFS(Orders!$C$2:$C$20001,$A1347,Orders!$E$2:$E$20001,"Prepaid",Orders!$F$2:$F$20001,"Delivered")+COUNTIFS(Orders!$C$2:$C$20001,$A1347,Orders!$E$2:$E$20001,"Prepaid",Orders!$F$2:$F$20001,"RTO"))</f>
        <v/>
      </c>
      <c r="F1347" s="17" t="str">
        <f aca="false">IF($A1347="","",COUNTIFS(Orders!$C$2:$C$20001,$A1347,Orders!$E$2:$E$20001,"Prepaid",Orders!$F$2:$F$20001,"RTO"))</f>
        <v/>
      </c>
      <c r="G1347" s="18" t="str">
        <f aca="false">IF($A1347="","",IFERROR(F1347/E1347,0))</f>
        <v/>
      </c>
      <c r="H1347" s="19" t="str">
        <f aca="false">IF($A1347="","",C1347*Settings!$B$11)</f>
        <v/>
      </c>
      <c r="I1347" s="20" t="str">
        <f aca="false">IF($A1347="","",IF(N(H1347)=0,"",RANK(H1347,$H$5:$H$2004)))</f>
        <v/>
      </c>
      <c r="J1347" s="21" t="str">
        <f aca="false">IF($A1347="","",IF(B1347=0,"No COD orders",IF(B1347&lt;Settings!$B$8,"Too few orders",IF(D1347&gt;=Settings!$B$9,"Restrict COD or verify","Keep COD"))))</f>
        <v/>
      </c>
    </row>
    <row r="1348" customFormat="false" ht="15" hidden="false" customHeight="false" outlineLevel="0" collapsed="false">
      <c r="A1348" s="27"/>
      <c r="B1348" s="17" t="str">
        <f aca="false">IF($A1348="","",COUNTIFS(Orders!$C$2:$C$20001,$A1348,Orders!$E$2:$E$20001,"COD",Orders!$F$2:$F$20001,"Delivered")+COUNTIFS(Orders!$C$2:$C$20001,$A1348,Orders!$E$2:$E$20001,"COD",Orders!$F$2:$F$20001,"RTO"))</f>
        <v/>
      </c>
      <c r="C1348" s="17" t="str">
        <f aca="false">IF($A1348="","",COUNTIFS(Orders!$C$2:$C$20001,$A1348,Orders!$E$2:$E$20001,"COD",Orders!$F$2:$F$20001,"RTO"))</f>
        <v/>
      </c>
      <c r="D1348" s="18" t="str">
        <f aca="false">IF($A1348="","",IFERROR(C1348/B1348,0))</f>
        <v/>
      </c>
      <c r="E1348" s="17" t="str">
        <f aca="false">IF($A1348="","",COUNTIFS(Orders!$C$2:$C$20001,$A1348,Orders!$E$2:$E$20001,"Prepaid",Orders!$F$2:$F$20001,"Delivered")+COUNTIFS(Orders!$C$2:$C$20001,$A1348,Orders!$E$2:$E$20001,"Prepaid",Orders!$F$2:$F$20001,"RTO"))</f>
        <v/>
      </c>
      <c r="F1348" s="17" t="str">
        <f aca="false">IF($A1348="","",COUNTIFS(Orders!$C$2:$C$20001,$A1348,Orders!$E$2:$E$20001,"Prepaid",Orders!$F$2:$F$20001,"RTO"))</f>
        <v/>
      </c>
      <c r="G1348" s="18" t="str">
        <f aca="false">IF($A1348="","",IFERROR(F1348/E1348,0))</f>
        <v/>
      </c>
      <c r="H1348" s="19" t="str">
        <f aca="false">IF($A1348="","",C1348*Settings!$B$11)</f>
        <v/>
      </c>
      <c r="I1348" s="20" t="str">
        <f aca="false">IF($A1348="","",IF(N(H1348)=0,"",RANK(H1348,$H$5:$H$2004)))</f>
        <v/>
      </c>
      <c r="J1348" s="21" t="str">
        <f aca="false">IF($A1348="","",IF(B1348=0,"No COD orders",IF(B1348&lt;Settings!$B$8,"Too few orders",IF(D1348&gt;=Settings!$B$9,"Restrict COD or verify","Keep COD"))))</f>
        <v/>
      </c>
    </row>
    <row r="1349" customFormat="false" ht="15" hidden="false" customHeight="false" outlineLevel="0" collapsed="false">
      <c r="A1349" s="27"/>
      <c r="B1349" s="17" t="str">
        <f aca="false">IF($A1349="","",COUNTIFS(Orders!$C$2:$C$20001,$A1349,Orders!$E$2:$E$20001,"COD",Orders!$F$2:$F$20001,"Delivered")+COUNTIFS(Orders!$C$2:$C$20001,$A1349,Orders!$E$2:$E$20001,"COD",Orders!$F$2:$F$20001,"RTO"))</f>
        <v/>
      </c>
      <c r="C1349" s="17" t="str">
        <f aca="false">IF($A1349="","",COUNTIFS(Orders!$C$2:$C$20001,$A1349,Orders!$E$2:$E$20001,"COD",Orders!$F$2:$F$20001,"RTO"))</f>
        <v/>
      </c>
      <c r="D1349" s="18" t="str">
        <f aca="false">IF($A1349="","",IFERROR(C1349/B1349,0))</f>
        <v/>
      </c>
      <c r="E1349" s="17" t="str">
        <f aca="false">IF($A1349="","",COUNTIFS(Orders!$C$2:$C$20001,$A1349,Orders!$E$2:$E$20001,"Prepaid",Orders!$F$2:$F$20001,"Delivered")+COUNTIFS(Orders!$C$2:$C$20001,$A1349,Orders!$E$2:$E$20001,"Prepaid",Orders!$F$2:$F$20001,"RTO"))</f>
        <v/>
      </c>
      <c r="F1349" s="17" t="str">
        <f aca="false">IF($A1349="","",COUNTIFS(Orders!$C$2:$C$20001,$A1349,Orders!$E$2:$E$20001,"Prepaid",Orders!$F$2:$F$20001,"RTO"))</f>
        <v/>
      </c>
      <c r="G1349" s="18" t="str">
        <f aca="false">IF($A1349="","",IFERROR(F1349/E1349,0))</f>
        <v/>
      </c>
      <c r="H1349" s="19" t="str">
        <f aca="false">IF($A1349="","",C1349*Settings!$B$11)</f>
        <v/>
      </c>
      <c r="I1349" s="20" t="str">
        <f aca="false">IF($A1349="","",IF(N(H1349)=0,"",RANK(H1349,$H$5:$H$2004)))</f>
        <v/>
      </c>
      <c r="J1349" s="21" t="str">
        <f aca="false">IF($A1349="","",IF(B1349=0,"No COD orders",IF(B1349&lt;Settings!$B$8,"Too few orders",IF(D1349&gt;=Settings!$B$9,"Restrict COD or verify","Keep COD"))))</f>
        <v/>
      </c>
    </row>
    <row r="1350" customFormat="false" ht="15" hidden="false" customHeight="false" outlineLevel="0" collapsed="false">
      <c r="A1350" s="27"/>
      <c r="B1350" s="17" t="str">
        <f aca="false">IF($A1350="","",COUNTIFS(Orders!$C$2:$C$20001,$A1350,Orders!$E$2:$E$20001,"COD",Orders!$F$2:$F$20001,"Delivered")+COUNTIFS(Orders!$C$2:$C$20001,$A1350,Orders!$E$2:$E$20001,"COD",Orders!$F$2:$F$20001,"RTO"))</f>
        <v/>
      </c>
      <c r="C1350" s="17" t="str">
        <f aca="false">IF($A1350="","",COUNTIFS(Orders!$C$2:$C$20001,$A1350,Orders!$E$2:$E$20001,"COD",Orders!$F$2:$F$20001,"RTO"))</f>
        <v/>
      </c>
      <c r="D1350" s="18" t="str">
        <f aca="false">IF($A1350="","",IFERROR(C1350/B1350,0))</f>
        <v/>
      </c>
      <c r="E1350" s="17" t="str">
        <f aca="false">IF($A1350="","",COUNTIFS(Orders!$C$2:$C$20001,$A1350,Orders!$E$2:$E$20001,"Prepaid",Orders!$F$2:$F$20001,"Delivered")+COUNTIFS(Orders!$C$2:$C$20001,$A1350,Orders!$E$2:$E$20001,"Prepaid",Orders!$F$2:$F$20001,"RTO"))</f>
        <v/>
      </c>
      <c r="F1350" s="17" t="str">
        <f aca="false">IF($A1350="","",COUNTIFS(Orders!$C$2:$C$20001,$A1350,Orders!$E$2:$E$20001,"Prepaid",Orders!$F$2:$F$20001,"RTO"))</f>
        <v/>
      </c>
      <c r="G1350" s="18" t="str">
        <f aca="false">IF($A1350="","",IFERROR(F1350/E1350,0))</f>
        <v/>
      </c>
      <c r="H1350" s="19" t="str">
        <f aca="false">IF($A1350="","",C1350*Settings!$B$11)</f>
        <v/>
      </c>
      <c r="I1350" s="20" t="str">
        <f aca="false">IF($A1350="","",IF(N(H1350)=0,"",RANK(H1350,$H$5:$H$2004)))</f>
        <v/>
      </c>
      <c r="J1350" s="21" t="str">
        <f aca="false">IF($A1350="","",IF(B1350=0,"No COD orders",IF(B1350&lt;Settings!$B$8,"Too few orders",IF(D1350&gt;=Settings!$B$9,"Restrict COD or verify","Keep COD"))))</f>
        <v/>
      </c>
    </row>
    <row r="1351" customFormat="false" ht="15" hidden="false" customHeight="false" outlineLevel="0" collapsed="false">
      <c r="A1351" s="27"/>
      <c r="B1351" s="17" t="str">
        <f aca="false">IF($A1351="","",COUNTIFS(Orders!$C$2:$C$20001,$A1351,Orders!$E$2:$E$20001,"COD",Orders!$F$2:$F$20001,"Delivered")+COUNTIFS(Orders!$C$2:$C$20001,$A1351,Orders!$E$2:$E$20001,"COD",Orders!$F$2:$F$20001,"RTO"))</f>
        <v/>
      </c>
      <c r="C1351" s="17" t="str">
        <f aca="false">IF($A1351="","",COUNTIFS(Orders!$C$2:$C$20001,$A1351,Orders!$E$2:$E$20001,"COD",Orders!$F$2:$F$20001,"RTO"))</f>
        <v/>
      </c>
      <c r="D1351" s="18" t="str">
        <f aca="false">IF($A1351="","",IFERROR(C1351/B1351,0))</f>
        <v/>
      </c>
      <c r="E1351" s="17" t="str">
        <f aca="false">IF($A1351="","",COUNTIFS(Orders!$C$2:$C$20001,$A1351,Orders!$E$2:$E$20001,"Prepaid",Orders!$F$2:$F$20001,"Delivered")+COUNTIFS(Orders!$C$2:$C$20001,$A1351,Orders!$E$2:$E$20001,"Prepaid",Orders!$F$2:$F$20001,"RTO"))</f>
        <v/>
      </c>
      <c r="F1351" s="17" t="str">
        <f aca="false">IF($A1351="","",COUNTIFS(Orders!$C$2:$C$20001,$A1351,Orders!$E$2:$E$20001,"Prepaid",Orders!$F$2:$F$20001,"RTO"))</f>
        <v/>
      </c>
      <c r="G1351" s="18" t="str">
        <f aca="false">IF($A1351="","",IFERROR(F1351/E1351,0))</f>
        <v/>
      </c>
      <c r="H1351" s="19" t="str">
        <f aca="false">IF($A1351="","",C1351*Settings!$B$11)</f>
        <v/>
      </c>
      <c r="I1351" s="20" t="str">
        <f aca="false">IF($A1351="","",IF(N(H1351)=0,"",RANK(H1351,$H$5:$H$2004)))</f>
        <v/>
      </c>
      <c r="J1351" s="21" t="str">
        <f aca="false">IF($A1351="","",IF(B1351=0,"No COD orders",IF(B1351&lt;Settings!$B$8,"Too few orders",IF(D1351&gt;=Settings!$B$9,"Restrict COD or verify","Keep COD"))))</f>
        <v/>
      </c>
    </row>
    <row r="1352" customFormat="false" ht="15" hidden="false" customHeight="false" outlineLevel="0" collapsed="false">
      <c r="A1352" s="27"/>
      <c r="B1352" s="17" t="str">
        <f aca="false">IF($A1352="","",COUNTIFS(Orders!$C$2:$C$20001,$A1352,Orders!$E$2:$E$20001,"COD",Orders!$F$2:$F$20001,"Delivered")+COUNTIFS(Orders!$C$2:$C$20001,$A1352,Orders!$E$2:$E$20001,"COD",Orders!$F$2:$F$20001,"RTO"))</f>
        <v/>
      </c>
      <c r="C1352" s="17" t="str">
        <f aca="false">IF($A1352="","",COUNTIFS(Orders!$C$2:$C$20001,$A1352,Orders!$E$2:$E$20001,"COD",Orders!$F$2:$F$20001,"RTO"))</f>
        <v/>
      </c>
      <c r="D1352" s="18" t="str">
        <f aca="false">IF($A1352="","",IFERROR(C1352/B1352,0))</f>
        <v/>
      </c>
      <c r="E1352" s="17" t="str">
        <f aca="false">IF($A1352="","",COUNTIFS(Orders!$C$2:$C$20001,$A1352,Orders!$E$2:$E$20001,"Prepaid",Orders!$F$2:$F$20001,"Delivered")+COUNTIFS(Orders!$C$2:$C$20001,$A1352,Orders!$E$2:$E$20001,"Prepaid",Orders!$F$2:$F$20001,"RTO"))</f>
        <v/>
      </c>
      <c r="F1352" s="17" t="str">
        <f aca="false">IF($A1352="","",COUNTIFS(Orders!$C$2:$C$20001,$A1352,Orders!$E$2:$E$20001,"Prepaid",Orders!$F$2:$F$20001,"RTO"))</f>
        <v/>
      </c>
      <c r="G1352" s="18" t="str">
        <f aca="false">IF($A1352="","",IFERROR(F1352/E1352,0))</f>
        <v/>
      </c>
      <c r="H1352" s="19" t="str">
        <f aca="false">IF($A1352="","",C1352*Settings!$B$11)</f>
        <v/>
      </c>
      <c r="I1352" s="20" t="str">
        <f aca="false">IF($A1352="","",IF(N(H1352)=0,"",RANK(H1352,$H$5:$H$2004)))</f>
        <v/>
      </c>
      <c r="J1352" s="21" t="str">
        <f aca="false">IF($A1352="","",IF(B1352=0,"No COD orders",IF(B1352&lt;Settings!$B$8,"Too few orders",IF(D1352&gt;=Settings!$B$9,"Restrict COD or verify","Keep COD"))))</f>
        <v/>
      </c>
    </row>
    <row r="1353" customFormat="false" ht="15" hidden="false" customHeight="false" outlineLevel="0" collapsed="false">
      <c r="A1353" s="27"/>
      <c r="B1353" s="17" t="str">
        <f aca="false">IF($A1353="","",COUNTIFS(Orders!$C$2:$C$20001,$A1353,Orders!$E$2:$E$20001,"COD",Orders!$F$2:$F$20001,"Delivered")+COUNTIFS(Orders!$C$2:$C$20001,$A1353,Orders!$E$2:$E$20001,"COD",Orders!$F$2:$F$20001,"RTO"))</f>
        <v/>
      </c>
      <c r="C1353" s="17" t="str">
        <f aca="false">IF($A1353="","",COUNTIFS(Orders!$C$2:$C$20001,$A1353,Orders!$E$2:$E$20001,"COD",Orders!$F$2:$F$20001,"RTO"))</f>
        <v/>
      </c>
      <c r="D1353" s="18" t="str">
        <f aca="false">IF($A1353="","",IFERROR(C1353/B1353,0))</f>
        <v/>
      </c>
      <c r="E1353" s="17" t="str">
        <f aca="false">IF($A1353="","",COUNTIFS(Orders!$C$2:$C$20001,$A1353,Orders!$E$2:$E$20001,"Prepaid",Orders!$F$2:$F$20001,"Delivered")+COUNTIFS(Orders!$C$2:$C$20001,$A1353,Orders!$E$2:$E$20001,"Prepaid",Orders!$F$2:$F$20001,"RTO"))</f>
        <v/>
      </c>
      <c r="F1353" s="17" t="str">
        <f aca="false">IF($A1353="","",COUNTIFS(Orders!$C$2:$C$20001,$A1353,Orders!$E$2:$E$20001,"Prepaid",Orders!$F$2:$F$20001,"RTO"))</f>
        <v/>
      </c>
      <c r="G1353" s="18" t="str">
        <f aca="false">IF($A1353="","",IFERROR(F1353/E1353,0))</f>
        <v/>
      </c>
      <c r="H1353" s="19" t="str">
        <f aca="false">IF($A1353="","",C1353*Settings!$B$11)</f>
        <v/>
      </c>
      <c r="I1353" s="20" t="str">
        <f aca="false">IF($A1353="","",IF(N(H1353)=0,"",RANK(H1353,$H$5:$H$2004)))</f>
        <v/>
      </c>
      <c r="J1353" s="21" t="str">
        <f aca="false">IF($A1353="","",IF(B1353=0,"No COD orders",IF(B1353&lt;Settings!$B$8,"Too few orders",IF(D1353&gt;=Settings!$B$9,"Restrict COD or verify","Keep COD"))))</f>
        <v/>
      </c>
    </row>
    <row r="1354" customFormat="false" ht="15" hidden="false" customHeight="false" outlineLevel="0" collapsed="false">
      <c r="A1354" s="27"/>
      <c r="B1354" s="17" t="str">
        <f aca="false">IF($A1354="","",COUNTIFS(Orders!$C$2:$C$20001,$A1354,Orders!$E$2:$E$20001,"COD",Orders!$F$2:$F$20001,"Delivered")+COUNTIFS(Orders!$C$2:$C$20001,$A1354,Orders!$E$2:$E$20001,"COD",Orders!$F$2:$F$20001,"RTO"))</f>
        <v/>
      </c>
      <c r="C1354" s="17" t="str">
        <f aca="false">IF($A1354="","",COUNTIFS(Orders!$C$2:$C$20001,$A1354,Orders!$E$2:$E$20001,"COD",Orders!$F$2:$F$20001,"RTO"))</f>
        <v/>
      </c>
      <c r="D1354" s="18" t="str">
        <f aca="false">IF($A1354="","",IFERROR(C1354/B1354,0))</f>
        <v/>
      </c>
      <c r="E1354" s="17" t="str">
        <f aca="false">IF($A1354="","",COUNTIFS(Orders!$C$2:$C$20001,$A1354,Orders!$E$2:$E$20001,"Prepaid",Orders!$F$2:$F$20001,"Delivered")+COUNTIFS(Orders!$C$2:$C$20001,$A1354,Orders!$E$2:$E$20001,"Prepaid",Orders!$F$2:$F$20001,"RTO"))</f>
        <v/>
      </c>
      <c r="F1354" s="17" t="str">
        <f aca="false">IF($A1354="","",COUNTIFS(Orders!$C$2:$C$20001,$A1354,Orders!$E$2:$E$20001,"Prepaid",Orders!$F$2:$F$20001,"RTO"))</f>
        <v/>
      </c>
      <c r="G1354" s="18" t="str">
        <f aca="false">IF($A1354="","",IFERROR(F1354/E1354,0))</f>
        <v/>
      </c>
      <c r="H1354" s="19" t="str">
        <f aca="false">IF($A1354="","",C1354*Settings!$B$11)</f>
        <v/>
      </c>
      <c r="I1354" s="20" t="str">
        <f aca="false">IF($A1354="","",IF(N(H1354)=0,"",RANK(H1354,$H$5:$H$2004)))</f>
        <v/>
      </c>
      <c r="J1354" s="21" t="str">
        <f aca="false">IF($A1354="","",IF(B1354=0,"No COD orders",IF(B1354&lt;Settings!$B$8,"Too few orders",IF(D1354&gt;=Settings!$B$9,"Restrict COD or verify","Keep COD"))))</f>
        <v/>
      </c>
    </row>
    <row r="1355" customFormat="false" ht="15" hidden="false" customHeight="false" outlineLevel="0" collapsed="false">
      <c r="A1355" s="27"/>
      <c r="B1355" s="17" t="str">
        <f aca="false">IF($A1355="","",COUNTIFS(Orders!$C$2:$C$20001,$A1355,Orders!$E$2:$E$20001,"COD",Orders!$F$2:$F$20001,"Delivered")+COUNTIFS(Orders!$C$2:$C$20001,$A1355,Orders!$E$2:$E$20001,"COD",Orders!$F$2:$F$20001,"RTO"))</f>
        <v/>
      </c>
      <c r="C1355" s="17" t="str">
        <f aca="false">IF($A1355="","",COUNTIFS(Orders!$C$2:$C$20001,$A1355,Orders!$E$2:$E$20001,"COD",Orders!$F$2:$F$20001,"RTO"))</f>
        <v/>
      </c>
      <c r="D1355" s="18" t="str">
        <f aca="false">IF($A1355="","",IFERROR(C1355/B1355,0))</f>
        <v/>
      </c>
      <c r="E1355" s="17" t="str">
        <f aca="false">IF($A1355="","",COUNTIFS(Orders!$C$2:$C$20001,$A1355,Orders!$E$2:$E$20001,"Prepaid",Orders!$F$2:$F$20001,"Delivered")+COUNTIFS(Orders!$C$2:$C$20001,$A1355,Orders!$E$2:$E$20001,"Prepaid",Orders!$F$2:$F$20001,"RTO"))</f>
        <v/>
      </c>
      <c r="F1355" s="17" t="str">
        <f aca="false">IF($A1355="","",COUNTIFS(Orders!$C$2:$C$20001,$A1355,Orders!$E$2:$E$20001,"Prepaid",Orders!$F$2:$F$20001,"RTO"))</f>
        <v/>
      </c>
      <c r="G1355" s="18" t="str">
        <f aca="false">IF($A1355="","",IFERROR(F1355/E1355,0))</f>
        <v/>
      </c>
      <c r="H1355" s="19" t="str">
        <f aca="false">IF($A1355="","",C1355*Settings!$B$11)</f>
        <v/>
      </c>
      <c r="I1355" s="20" t="str">
        <f aca="false">IF($A1355="","",IF(N(H1355)=0,"",RANK(H1355,$H$5:$H$2004)))</f>
        <v/>
      </c>
      <c r="J1355" s="21" t="str">
        <f aca="false">IF($A1355="","",IF(B1355=0,"No COD orders",IF(B1355&lt;Settings!$B$8,"Too few orders",IF(D1355&gt;=Settings!$B$9,"Restrict COD or verify","Keep COD"))))</f>
        <v/>
      </c>
    </row>
    <row r="1356" customFormat="false" ht="15" hidden="false" customHeight="false" outlineLevel="0" collapsed="false">
      <c r="A1356" s="27"/>
      <c r="B1356" s="17" t="str">
        <f aca="false">IF($A1356="","",COUNTIFS(Orders!$C$2:$C$20001,$A1356,Orders!$E$2:$E$20001,"COD",Orders!$F$2:$F$20001,"Delivered")+COUNTIFS(Orders!$C$2:$C$20001,$A1356,Orders!$E$2:$E$20001,"COD",Orders!$F$2:$F$20001,"RTO"))</f>
        <v/>
      </c>
      <c r="C1356" s="17" t="str">
        <f aca="false">IF($A1356="","",COUNTIFS(Orders!$C$2:$C$20001,$A1356,Orders!$E$2:$E$20001,"COD",Orders!$F$2:$F$20001,"RTO"))</f>
        <v/>
      </c>
      <c r="D1356" s="18" t="str">
        <f aca="false">IF($A1356="","",IFERROR(C1356/B1356,0))</f>
        <v/>
      </c>
      <c r="E1356" s="17" t="str">
        <f aca="false">IF($A1356="","",COUNTIFS(Orders!$C$2:$C$20001,$A1356,Orders!$E$2:$E$20001,"Prepaid",Orders!$F$2:$F$20001,"Delivered")+COUNTIFS(Orders!$C$2:$C$20001,$A1356,Orders!$E$2:$E$20001,"Prepaid",Orders!$F$2:$F$20001,"RTO"))</f>
        <v/>
      </c>
      <c r="F1356" s="17" t="str">
        <f aca="false">IF($A1356="","",COUNTIFS(Orders!$C$2:$C$20001,$A1356,Orders!$E$2:$E$20001,"Prepaid",Orders!$F$2:$F$20001,"RTO"))</f>
        <v/>
      </c>
      <c r="G1356" s="18" t="str">
        <f aca="false">IF($A1356="","",IFERROR(F1356/E1356,0))</f>
        <v/>
      </c>
      <c r="H1356" s="19" t="str">
        <f aca="false">IF($A1356="","",C1356*Settings!$B$11)</f>
        <v/>
      </c>
      <c r="I1356" s="20" t="str">
        <f aca="false">IF($A1356="","",IF(N(H1356)=0,"",RANK(H1356,$H$5:$H$2004)))</f>
        <v/>
      </c>
      <c r="J1356" s="21" t="str">
        <f aca="false">IF($A1356="","",IF(B1356=0,"No COD orders",IF(B1356&lt;Settings!$B$8,"Too few orders",IF(D1356&gt;=Settings!$B$9,"Restrict COD or verify","Keep COD"))))</f>
        <v/>
      </c>
    </row>
    <row r="1357" customFormat="false" ht="15" hidden="false" customHeight="false" outlineLevel="0" collapsed="false">
      <c r="A1357" s="27"/>
      <c r="B1357" s="17" t="str">
        <f aca="false">IF($A1357="","",COUNTIFS(Orders!$C$2:$C$20001,$A1357,Orders!$E$2:$E$20001,"COD",Orders!$F$2:$F$20001,"Delivered")+COUNTIFS(Orders!$C$2:$C$20001,$A1357,Orders!$E$2:$E$20001,"COD",Orders!$F$2:$F$20001,"RTO"))</f>
        <v/>
      </c>
      <c r="C1357" s="17" t="str">
        <f aca="false">IF($A1357="","",COUNTIFS(Orders!$C$2:$C$20001,$A1357,Orders!$E$2:$E$20001,"COD",Orders!$F$2:$F$20001,"RTO"))</f>
        <v/>
      </c>
      <c r="D1357" s="18" t="str">
        <f aca="false">IF($A1357="","",IFERROR(C1357/B1357,0))</f>
        <v/>
      </c>
      <c r="E1357" s="17" t="str">
        <f aca="false">IF($A1357="","",COUNTIFS(Orders!$C$2:$C$20001,$A1357,Orders!$E$2:$E$20001,"Prepaid",Orders!$F$2:$F$20001,"Delivered")+COUNTIFS(Orders!$C$2:$C$20001,$A1357,Orders!$E$2:$E$20001,"Prepaid",Orders!$F$2:$F$20001,"RTO"))</f>
        <v/>
      </c>
      <c r="F1357" s="17" t="str">
        <f aca="false">IF($A1357="","",COUNTIFS(Orders!$C$2:$C$20001,$A1357,Orders!$E$2:$E$20001,"Prepaid",Orders!$F$2:$F$20001,"RTO"))</f>
        <v/>
      </c>
      <c r="G1357" s="18" t="str">
        <f aca="false">IF($A1357="","",IFERROR(F1357/E1357,0))</f>
        <v/>
      </c>
      <c r="H1357" s="19" t="str">
        <f aca="false">IF($A1357="","",C1357*Settings!$B$11)</f>
        <v/>
      </c>
      <c r="I1357" s="20" t="str">
        <f aca="false">IF($A1357="","",IF(N(H1357)=0,"",RANK(H1357,$H$5:$H$2004)))</f>
        <v/>
      </c>
      <c r="J1357" s="21" t="str">
        <f aca="false">IF($A1357="","",IF(B1357=0,"No COD orders",IF(B1357&lt;Settings!$B$8,"Too few orders",IF(D1357&gt;=Settings!$B$9,"Restrict COD or verify","Keep COD"))))</f>
        <v/>
      </c>
    </row>
    <row r="1358" customFormat="false" ht="15" hidden="false" customHeight="false" outlineLevel="0" collapsed="false">
      <c r="A1358" s="27"/>
      <c r="B1358" s="17" t="str">
        <f aca="false">IF($A1358="","",COUNTIFS(Orders!$C$2:$C$20001,$A1358,Orders!$E$2:$E$20001,"COD",Orders!$F$2:$F$20001,"Delivered")+COUNTIFS(Orders!$C$2:$C$20001,$A1358,Orders!$E$2:$E$20001,"COD",Orders!$F$2:$F$20001,"RTO"))</f>
        <v/>
      </c>
      <c r="C1358" s="17" t="str">
        <f aca="false">IF($A1358="","",COUNTIFS(Orders!$C$2:$C$20001,$A1358,Orders!$E$2:$E$20001,"COD",Orders!$F$2:$F$20001,"RTO"))</f>
        <v/>
      </c>
      <c r="D1358" s="18" t="str">
        <f aca="false">IF($A1358="","",IFERROR(C1358/B1358,0))</f>
        <v/>
      </c>
      <c r="E1358" s="17" t="str">
        <f aca="false">IF($A1358="","",COUNTIFS(Orders!$C$2:$C$20001,$A1358,Orders!$E$2:$E$20001,"Prepaid",Orders!$F$2:$F$20001,"Delivered")+COUNTIFS(Orders!$C$2:$C$20001,$A1358,Orders!$E$2:$E$20001,"Prepaid",Orders!$F$2:$F$20001,"RTO"))</f>
        <v/>
      </c>
      <c r="F1358" s="17" t="str">
        <f aca="false">IF($A1358="","",COUNTIFS(Orders!$C$2:$C$20001,$A1358,Orders!$E$2:$E$20001,"Prepaid",Orders!$F$2:$F$20001,"RTO"))</f>
        <v/>
      </c>
      <c r="G1358" s="18" t="str">
        <f aca="false">IF($A1358="","",IFERROR(F1358/E1358,0))</f>
        <v/>
      </c>
      <c r="H1358" s="19" t="str">
        <f aca="false">IF($A1358="","",C1358*Settings!$B$11)</f>
        <v/>
      </c>
      <c r="I1358" s="20" t="str">
        <f aca="false">IF($A1358="","",IF(N(H1358)=0,"",RANK(H1358,$H$5:$H$2004)))</f>
        <v/>
      </c>
      <c r="J1358" s="21" t="str">
        <f aca="false">IF($A1358="","",IF(B1358=0,"No COD orders",IF(B1358&lt;Settings!$B$8,"Too few orders",IF(D1358&gt;=Settings!$B$9,"Restrict COD or verify","Keep COD"))))</f>
        <v/>
      </c>
    </row>
    <row r="1359" customFormat="false" ht="15" hidden="false" customHeight="false" outlineLevel="0" collapsed="false">
      <c r="A1359" s="27"/>
      <c r="B1359" s="17" t="str">
        <f aca="false">IF($A1359="","",COUNTIFS(Orders!$C$2:$C$20001,$A1359,Orders!$E$2:$E$20001,"COD",Orders!$F$2:$F$20001,"Delivered")+COUNTIFS(Orders!$C$2:$C$20001,$A1359,Orders!$E$2:$E$20001,"COD",Orders!$F$2:$F$20001,"RTO"))</f>
        <v/>
      </c>
      <c r="C1359" s="17" t="str">
        <f aca="false">IF($A1359="","",COUNTIFS(Orders!$C$2:$C$20001,$A1359,Orders!$E$2:$E$20001,"COD",Orders!$F$2:$F$20001,"RTO"))</f>
        <v/>
      </c>
      <c r="D1359" s="18" t="str">
        <f aca="false">IF($A1359="","",IFERROR(C1359/B1359,0))</f>
        <v/>
      </c>
      <c r="E1359" s="17" t="str">
        <f aca="false">IF($A1359="","",COUNTIFS(Orders!$C$2:$C$20001,$A1359,Orders!$E$2:$E$20001,"Prepaid",Orders!$F$2:$F$20001,"Delivered")+COUNTIFS(Orders!$C$2:$C$20001,$A1359,Orders!$E$2:$E$20001,"Prepaid",Orders!$F$2:$F$20001,"RTO"))</f>
        <v/>
      </c>
      <c r="F1359" s="17" t="str">
        <f aca="false">IF($A1359="","",COUNTIFS(Orders!$C$2:$C$20001,$A1359,Orders!$E$2:$E$20001,"Prepaid",Orders!$F$2:$F$20001,"RTO"))</f>
        <v/>
      </c>
      <c r="G1359" s="18" t="str">
        <f aca="false">IF($A1359="","",IFERROR(F1359/E1359,0))</f>
        <v/>
      </c>
      <c r="H1359" s="19" t="str">
        <f aca="false">IF($A1359="","",C1359*Settings!$B$11)</f>
        <v/>
      </c>
      <c r="I1359" s="20" t="str">
        <f aca="false">IF($A1359="","",IF(N(H1359)=0,"",RANK(H1359,$H$5:$H$2004)))</f>
        <v/>
      </c>
      <c r="J1359" s="21" t="str">
        <f aca="false">IF($A1359="","",IF(B1359=0,"No COD orders",IF(B1359&lt;Settings!$B$8,"Too few orders",IF(D1359&gt;=Settings!$B$9,"Restrict COD or verify","Keep COD"))))</f>
        <v/>
      </c>
    </row>
    <row r="1360" customFormat="false" ht="15" hidden="false" customHeight="false" outlineLevel="0" collapsed="false">
      <c r="A1360" s="27"/>
      <c r="B1360" s="17" t="str">
        <f aca="false">IF($A1360="","",COUNTIFS(Orders!$C$2:$C$20001,$A1360,Orders!$E$2:$E$20001,"COD",Orders!$F$2:$F$20001,"Delivered")+COUNTIFS(Orders!$C$2:$C$20001,$A1360,Orders!$E$2:$E$20001,"COD",Orders!$F$2:$F$20001,"RTO"))</f>
        <v/>
      </c>
      <c r="C1360" s="17" t="str">
        <f aca="false">IF($A1360="","",COUNTIFS(Orders!$C$2:$C$20001,$A1360,Orders!$E$2:$E$20001,"COD",Orders!$F$2:$F$20001,"RTO"))</f>
        <v/>
      </c>
      <c r="D1360" s="18" t="str">
        <f aca="false">IF($A1360="","",IFERROR(C1360/B1360,0))</f>
        <v/>
      </c>
      <c r="E1360" s="17" t="str">
        <f aca="false">IF($A1360="","",COUNTIFS(Orders!$C$2:$C$20001,$A1360,Orders!$E$2:$E$20001,"Prepaid",Orders!$F$2:$F$20001,"Delivered")+COUNTIFS(Orders!$C$2:$C$20001,$A1360,Orders!$E$2:$E$20001,"Prepaid",Orders!$F$2:$F$20001,"RTO"))</f>
        <v/>
      </c>
      <c r="F1360" s="17" t="str">
        <f aca="false">IF($A1360="","",COUNTIFS(Orders!$C$2:$C$20001,$A1360,Orders!$E$2:$E$20001,"Prepaid",Orders!$F$2:$F$20001,"RTO"))</f>
        <v/>
      </c>
      <c r="G1360" s="18" t="str">
        <f aca="false">IF($A1360="","",IFERROR(F1360/E1360,0))</f>
        <v/>
      </c>
      <c r="H1360" s="19" t="str">
        <f aca="false">IF($A1360="","",C1360*Settings!$B$11)</f>
        <v/>
      </c>
      <c r="I1360" s="20" t="str">
        <f aca="false">IF($A1360="","",IF(N(H1360)=0,"",RANK(H1360,$H$5:$H$2004)))</f>
        <v/>
      </c>
      <c r="J1360" s="21" t="str">
        <f aca="false">IF($A1360="","",IF(B1360=0,"No COD orders",IF(B1360&lt;Settings!$B$8,"Too few orders",IF(D1360&gt;=Settings!$B$9,"Restrict COD or verify","Keep COD"))))</f>
        <v/>
      </c>
    </row>
    <row r="1361" customFormat="false" ht="15" hidden="false" customHeight="false" outlineLevel="0" collapsed="false">
      <c r="A1361" s="27"/>
      <c r="B1361" s="17" t="str">
        <f aca="false">IF($A1361="","",COUNTIFS(Orders!$C$2:$C$20001,$A1361,Orders!$E$2:$E$20001,"COD",Orders!$F$2:$F$20001,"Delivered")+COUNTIFS(Orders!$C$2:$C$20001,$A1361,Orders!$E$2:$E$20001,"COD",Orders!$F$2:$F$20001,"RTO"))</f>
        <v/>
      </c>
      <c r="C1361" s="17" t="str">
        <f aca="false">IF($A1361="","",COUNTIFS(Orders!$C$2:$C$20001,$A1361,Orders!$E$2:$E$20001,"COD",Orders!$F$2:$F$20001,"RTO"))</f>
        <v/>
      </c>
      <c r="D1361" s="18" t="str">
        <f aca="false">IF($A1361="","",IFERROR(C1361/B1361,0))</f>
        <v/>
      </c>
      <c r="E1361" s="17" t="str">
        <f aca="false">IF($A1361="","",COUNTIFS(Orders!$C$2:$C$20001,$A1361,Orders!$E$2:$E$20001,"Prepaid",Orders!$F$2:$F$20001,"Delivered")+COUNTIFS(Orders!$C$2:$C$20001,$A1361,Orders!$E$2:$E$20001,"Prepaid",Orders!$F$2:$F$20001,"RTO"))</f>
        <v/>
      </c>
      <c r="F1361" s="17" t="str">
        <f aca="false">IF($A1361="","",COUNTIFS(Orders!$C$2:$C$20001,$A1361,Orders!$E$2:$E$20001,"Prepaid",Orders!$F$2:$F$20001,"RTO"))</f>
        <v/>
      </c>
      <c r="G1361" s="18" t="str">
        <f aca="false">IF($A1361="","",IFERROR(F1361/E1361,0))</f>
        <v/>
      </c>
      <c r="H1361" s="19" t="str">
        <f aca="false">IF($A1361="","",C1361*Settings!$B$11)</f>
        <v/>
      </c>
      <c r="I1361" s="20" t="str">
        <f aca="false">IF($A1361="","",IF(N(H1361)=0,"",RANK(H1361,$H$5:$H$2004)))</f>
        <v/>
      </c>
      <c r="J1361" s="21" t="str">
        <f aca="false">IF($A1361="","",IF(B1361=0,"No COD orders",IF(B1361&lt;Settings!$B$8,"Too few orders",IF(D1361&gt;=Settings!$B$9,"Restrict COD or verify","Keep COD"))))</f>
        <v/>
      </c>
    </row>
    <row r="1362" customFormat="false" ht="15" hidden="false" customHeight="false" outlineLevel="0" collapsed="false">
      <c r="A1362" s="27"/>
      <c r="B1362" s="17" t="str">
        <f aca="false">IF($A1362="","",COUNTIFS(Orders!$C$2:$C$20001,$A1362,Orders!$E$2:$E$20001,"COD",Orders!$F$2:$F$20001,"Delivered")+COUNTIFS(Orders!$C$2:$C$20001,$A1362,Orders!$E$2:$E$20001,"COD",Orders!$F$2:$F$20001,"RTO"))</f>
        <v/>
      </c>
      <c r="C1362" s="17" t="str">
        <f aca="false">IF($A1362="","",COUNTIFS(Orders!$C$2:$C$20001,$A1362,Orders!$E$2:$E$20001,"COD",Orders!$F$2:$F$20001,"RTO"))</f>
        <v/>
      </c>
      <c r="D1362" s="18" t="str">
        <f aca="false">IF($A1362="","",IFERROR(C1362/B1362,0))</f>
        <v/>
      </c>
      <c r="E1362" s="17" t="str">
        <f aca="false">IF($A1362="","",COUNTIFS(Orders!$C$2:$C$20001,$A1362,Orders!$E$2:$E$20001,"Prepaid",Orders!$F$2:$F$20001,"Delivered")+COUNTIFS(Orders!$C$2:$C$20001,$A1362,Orders!$E$2:$E$20001,"Prepaid",Orders!$F$2:$F$20001,"RTO"))</f>
        <v/>
      </c>
      <c r="F1362" s="17" t="str">
        <f aca="false">IF($A1362="","",COUNTIFS(Orders!$C$2:$C$20001,$A1362,Orders!$E$2:$E$20001,"Prepaid",Orders!$F$2:$F$20001,"RTO"))</f>
        <v/>
      </c>
      <c r="G1362" s="18" t="str">
        <f aca="false">IF($A1362="","",IFERROR(F1362/E1362,0))</f>
        <v/>
      </c>
      <c r="H1362" s="19" t="str">
        <f aca="false">IF($A1362="","",C1362*Settings!$B$11)</f>
        <v/>
      </c>
      <c r="I1362" s="20" t="str">
        <f aca="false">IF($A1362="","",IF(N(H1362)=0,"",RANK(H1362,$H$5:$H$2004)))</f>
        <v/>
      </c>
      <c r="J1362" s="21" t="str">
        <f aca="false">IF($A1362="","",IF(B1362=0,"No COD orders",IF(B1362&lt;Settings!$B$8,"Too few orders",IF(D1362&gt;=Settings!$B$9,"Restrict COD or verify","Keep COD"))))</f>
        <v/>
      </c>
    </row>
    <row r="1363" customFormat="false" ht="15" hidden="false" customHeight="false" outlineLevel="0" collapsed="false">
      <c r="A1363" s="27"/>
      <c r="B1363" s="17" t="str">
        <f aca="false">IF($A1363="","",COUNTIFS(Orders!$C$2:$C$20001,$A1363,Orders!$E$2:$E$20001,"COD",Orders!$F$2:$F$20001,"Delivered")+COUNTIFS(Orders!$C$2:$C$20001,$A1363,Orders!$E$2:$E$20001,"COD",Orders!$F$2:$F$20001,"RTO"))</f>
        <v/>
      </c>
      <c r="C1363" s="17" t="str">
        <f aca="false">IF($A1363="","",COUNTIFS(Orders!$C$2:$C$20001,$A1363,Orders!$E$2:$E$20001,"COD",Orders!$F$2:$F$20001,"RTO"))</f>
        <v/>
      </c>
      <c r="D1363" s="18" t="str">
        <f aca="false">IF($A1363="","",IFERROR(C1363/B1363,0))</f>
        <v/>
      </c>
      <c r="E1363" s="17" t="str">
        <f aca="false">IF($A1363="","",COUNTIFS(Orders!$C$2:$C$20001,$A1363,Orders!$E$2:$E$20001,"Prepaid",Orders!$F$2:$F$20001,"Delivered")+COUNTIFS(Orders!$C$2:$C$20001,$A1363,Orders!$E$2:$E$20001,"Prepaid",Orders!$F$2:$F$20001,"RTO"))</f>
        <v/>
      </c>
      <c r="F1363" s="17" t="str">
        <f aca="false">IF($A1363="","",COUNTIFS(Orders!$C$2:$C$20001,$A1363,Orders!$E$2:$E$20001,"Prepaid",Orders!$F$2:$F$20001,"RTO"))</f>
        <v/>
      </c>
      <c r="G1363" s="18" t="str">
        <f aca="false">IF($A1363="","",IFERROR(F1363/E1363,0))</f>
        <v/>
      </c>
      <c r="H1363" s="19" t="str">
        <f aca="false">IF($A1363="","",C1363*Settings!$B$11)</f>
        <v/>
      </c>
      <c r="I1363" s="20" t="str">
        <f aca="false">IF($A1363="","",IF(N(H1363)=0,"",RANK(H1363,$H$5:$H$2004)))</f>
        <v/>
      </c>
      <c r="J1363" s="21" t="str">
        <f aca="false">IF($A1363="","",IF(B1363=0,"No COD orders",IF(B1363&lt;Settings!$B$8,"Too few orders",IF(D1363&gt;=Settings!$B$9,"Restrict COD or verify","Keep COD"))))</f>
        <v/>
      </c>
    </row>
    <row r="1364" customFormat="false" ht="15" hidden="false" customHeight="false" outlineLevel="0" collapsed="false">
      <c r="A1364" s="27"/>
      <c r="B1364" s="17" t="str">
        <f aca="false">IF($A1364="","",COUNTIFS(Orders!$C$2:$C$20001,$A1364,Orders!$E$2:$E$20001,"COD",Orders!$F$2:$F$20001,"Delivered")+COUNTIFS(Orders!$C$2:$C$20001,$A1364,Orders!$E$2:$E$20001,"COD",Orders!$F$2:$F$20001,"RTO"))</f>
        <v/>
      </c>
      <c r="C1364" s="17" t="str">
        <f aca="false">IF($A1364="","",COUNTIFS(Orders!$C$2:$C$20001,$A1364,Orders!$E$2:$E$20001,"COD",Orders!$F$2:$F$20001,"RTO"))</f>
        <v/>
      </c>
      <c r="D1364" s="18" t="str">
        <f aca="false">IF($A1364="","",IFERROR(C1364/B1364,0))</f>
        <v/>
      </c>
      <c r="E1364" s="17" t="str">
        <f aca="false">IF($A1364="","",COUNTIFS(Orders!$C$2:$C$20001,$A1364,Orders!$E$2:$E$20001,"Prepaid",Orders!$F$2:$F$20001,"Delivered")+COUNTIFS(Orders!$C$2:$C$20001,$A1364,Orders!$E$2:$E$20001,"Prepaid",Orders!$F$2:$F$20001,"RTO"))</f>
        <v/>
      </c>
      <c r="F1364" s="17" t="str">
        <f aca="false">IF($A1364="","",COUNTIFS(Orders!$C$2:$C$20001,$A1364,Orders!$E$2:$E$20001,"Prepaid",Orders!$F$2:$F$20001,"RTO"))</f>
        <v/>
      </c>
      <c r="G1364" s="18" t="str">
        <f aca="false">IF($A1364="","",IFERROR(F1364/E1364,0))</f>
        <v/>
      </c>
      <c r="H1364" s="19" t="str">
        <f aca="false">IF($A1364="","",C1364*Settings!$B$11)</f>
        <v/>
      </c>
      <c r="I1364" s="20" t="str">
        <f aca="false">IF($A1364="","",IF(N(H1364)=0,"",RANK(H1364,$H$5:$H$2004)))</f>
        <v/>
      </c>
      <c r="J1364" s="21" t="str">
        <f aca="false">IF($A1364="","",IF(B1364=0,"No COD orders",IF(B1364&lt;Settings!$B$8,"Too few orders",IF(D1364&gt;=Settings!$B$9,"Restrict COD or verify","Keep COD"))))</f>
        <v/>
      </c>
    </row>
    <row r="1365" customFormat="false" ht="15" hidden="false" customHeight="false" outlineLevel="0" collapsed="false">
      <c r="A1365" s="27"/>
      <c r="B1365" s="17" t="str">
        <f aca="false">IF($A1365="","",COUNTIFS(Orders!$C$2:$C$20001,$A1365,Orders!$E$2:$E$20001,"COD",Orders!$F$2:$F$20001,"Delivered")+COUNTIFS(Orders!$C$2:$C$20001,$A1365,Orders!$E$2:$E$20001,"COD",Orders!$F$2:$F$20001,"RTO"))</f>
        <v/>
      </c>
      <c r="C1365" s="17" t="str">
        <f aca="false">IF($A1365="","",COUNTIFS(Orders!$C$2:$C$20001,$A1365,Orders!$E$2:$E$20001,"COD",Orders!$F$2:$F$20001,"RTO"))</f>
        <v/>
      </c>
      <c r="D1365" s="18" t="str">
        <f aca="false">IF($A1365="","",IFERROR(C1365/B1365,0))</f>
        <v/>
      </c>
      <c r="E1365" s="17" t="str">
        <f aca="false">IF($A1365="","",COUNTIFS(Orders!$C$2:$C$20001,$A1365,Orders!$E$2:$E$20001,"Prepaid",Orders!$F$2:$F$20001,"Delivered")+COUNTIFS(Orders!$C$2:$C$20001,$A1365,Orders!$E$2:$E$20001,"Prepaid",Orders!$F$2:$F$20001,"RTO"))</f>
        <v/>
      </c>
      <c r="F1365" s="17" t="str">
        <f aca="false">IF($A1365="","",COUNTIFS(Orders!$C$2:$C$20001,$A1365,Orders!$E$2:$E$20001,"Prepaid",Orders!$F$2:$F$20001,"RTO"))</f>
        <v/>
      </c>
      <c r="G1365" s="18" t="str">
        <f aca="false">IF($A1365="","",IFERROR(F1365/E1365,0))</f>
        <v/>
      </c>
      <c r="H1365" s="19" t="str">
        <f aca="false">IF($A1365="","",C1365*Settings!$B$11)</f>
        <v/>
      </c>
      <c r="I1365" s="20" t="str">
        <f aca="false">IF($A1365="","",IF(N(H1365)=0,"",RANK(H1365,$H$5:$H$2004)))</f>
        <v/>
      </c>
      <c r="J1365" s="21" t="str">
        <f aca="false">IF($A1365="","",IF(B1365=0,"No COD orders",IF(B1365&lt;Settings!$B$8,"Too few orders",IF(D1365&gt;=Settings!$B$9,"Restrict COD or verify","Keep COD"))))</f>
        <v/>
      </c>
    </row>
    <row r="1366" customFormat="false" ht="15" hidden="false" customHeight="false" outlineLevel="0" collapsed="false">
      <c r="A1366" s="27"/>
      <c r="B1366" s="17" t="str">
        <f aca="false">IF($A1366="","",COUNTIFS(Orders!$C$2:$C$20001,$A1366,Orders!$E$2:$E$20001,"COD",Orders!$F$2:$F$20001,"Delivered")+COUNTIFS(Orders!$C$2:$C$20001,$A1366,Orders!$E$2:$E$20001,"COD",Orders!$F$2:$F$20001,"RTO"))</f>
        <v/>
      </c>
      <c r="C1366" s="17" t="str">
        <f aca="false">IF($A1366="","",COUNTIFS(Orders!$C$2:$C$20001,$A1366,Orders!$E$2:$E$20001,"COD",Orders!$F$2:$F$20001,"RTO"))</f>
        <v/>
      </c>
      <c r="D1366" s="18" t="str">
        <f aca="false">IF($A1366="","",IFERROR(C1366/B1366,0))</f>
        <v/>
      </c>
      <c r="E1366" s="17" t="str">
        <f aca="false">IF($A1366="","",COUNTIFS(Orders!$C$2:$C$20001,$A1366,Orders!$E$2:$E$20001,"Prepaid",Orders!$F$2:$F$20001,"Delivered")+COUNTIFS(Orders!$C$2:$C$20001,$A1366,Orders!$E$2:$E$20001,"Prepaid",Orders!$F$2:$F$20001,"RTO"))</f>
        <v/>
      </c>
      <c r="F1366" s="17" t="str">
        <f aca="false">IF($A1366="","",COUNTIFS(Orders!$C$2:$C$20001,$A1366,Orders!$E$2:$E$20001,"Prepaid",Orders!$F$2:$F$20001,"RTO"))</f>
        <v/>
      </c>
      <c r="G1366" s="18" t="str">
        <f aca="false">IF($A1366="","",IFERROR(F1366/E1366,0))</f>
        <v/>
      </c>
      <c r="H1366" s="19" t="str">
        <f aca="false">IF($A1366="","",C1366*Settings!$B$11)</f>
        <v/>
      </c>
      <c r="I1366" s="20" t="str">
        <f aca="false">IF($A1366="","",IF(N(H1366)=0,"",RANK(H1366,$H$5:$H$2004)))</f>
        <v/>
      </c>
      <c r="J1366" s="21" t="str">
        <f aca="false">IF($A1366="","",IF(B1366=0,"No COD orders",IF(B1366&lt;Settings!$B$8,"Too few orders",IF(D1366&gt;=Settings!$B$9,"Restrict COD or verify","Keep COD"))))</f>
        <v/>
      </c>
    </row>
    <row r="1367" customFormat="false" ht="15" hidden="false" customHeight="false" outlineLevel="0" collapsed="false">
      <c r="A1367" s="27"/>
      <c r="B1367" s="17" t="str">
        <f aca="false">IF($A1367="","",COUNTIFS(Orders!$C$2:$C$20001,$A1367,Orders!$E$2:$E$20001,"COD",Orders!$F$2:$F$20001,"Delivered")+COUNTIFS(Orders!$C$2:$C$20001,$A1367,Orders!$E$2:$E$20001,"COD",Orders!$F$2:$F$20001,"RTO"))</f>
        <v/>
      </c>
      <c r="C1367" s="17" t="str">
        <f aca="false">IF($A1367="","",COUNTIFS(Orders!$C$2:$C$20001,$A1367,Orders!$E$2:$E$20001,"COD",Orders!$F$2:$F$20001,"RTO"))</f>
        <v/>
      </c>
      <c r="D1367" s="18" t="str">
        <f aca="false">IF($A1367="","",IFERROR(C1367/B1367,0))</f>
        <v/>
      </c>
      <c r="E1367" s="17" t="str">
        <f aca="false">IF($A1367="","",COUNTIFS(Orders!$C$2:$C$20001,$A1367,Orders!$E$2:$E$20001,"Prepaid",Orders!$F$2:$F$20001,"Delivered")+COUNTIFS(Orders!$C$2:$C$20001,$A1367,Orders!$E$2:$E$20001,"Prepaid",Orders!$F$2:$F$20001,"RTO"))</f>
        <v/>
      </c>
      <c r="F1367" s="17" t="str">
        <f aca="false">IF($A1367="","",COUNTIFS(Orders!$C$2:$C$20001,$A1367,Orders!$E$2:$E$20001,"Prepaid",Orders!$F$2:$F$20001,"RTO"))</f>
        <v/>
      </c>
      <c r="G1367" s="18" t="str">
        <f aca="false">IF($A1367="","",IFERROR(F1367/E1367,0))</f>
        <v/>
      </c>
      <c r="H1367" s="19" t="str">
        <f aca="false">IF($A1367="","",C1367*Settings!$B$11)</f>
        <v/>
      </c>
      <c r="I1367" s="20" t="str">
        <f aca="false">IF($A1367="","",IF(N(H1367)=0,"",RANK(H1367,$H$5:$H$2004)))</f>
        <v/>
      </c>
      <c r="J1367" s="21" t="str">
        <f aca="false">IF($A1367="","",IF(B1367=0,"No COD orders",IF(B1367&lt;Settings!$B$8,"Too few orders",IF(D1367&gt;=Settings!$B$9,"Restrict COD or verify","Keep COD"))))</f>
        <v/>
      </c>
    </row>
    <row r="1368" customFormat="false" ht="15" hidden="false" customHeight="false" outlineLevel="0" collapsed="false">
      <c r="A1368" s="27"/>
      <c r="B1368" s="17" t="str">
        <f aca="false">IF($A1368="","",COUNTIFS(Orders!$C$2:$C$20001,$A1368,Orders!$E$2:$E$20001,"COD",Orders!$F$2:$F$20001,"Delivered")+COUNTIFS(Orders!$C$2:$C$20001,$A1368,Orders!$E$2:$E$20001,"COD",Orders!$F$2:$F$20001,"RTO"))</f>
        <v/>
      </c>
      <c r="C1368" s="17" t="str">
        <f aca="false">IF($A1368="","",COUNTIFS(Orders!$C$2:$C$20001,$A1368,Orders!$E$2:$E$20001,"COD",Orders!$F$2:$F$20001,"RTO"))</f>
        <v/>
      </c>
      <c r="D1368" s="18" t="str">
        <f aca="false">IF($A1368="","",IFERROR(C1368/B1368,0))</f>
        <v/>
      </c>
      <c r="E1368" s="17" t="str">
        <f aca="false">IF($A1368="","",COUNTIFS(Orders!$C$2:$C$20001,$A1368,Orders!$E$2:$E$20001,"Prepaid",Orders!$F$2:$F$20001,"Delivered")+COUNTIFS(Orders!$C$2:$C$20001,$A1368,Orders!$E$2:$E$20001,"Prepaid",Orders!$F$2:$F$20001,"RTO"))</f>
        <v/>
      </c>
      <c r="F1368" s="17" t="str">
        <f aca="false">IF($A1368="","",COUNTIFS(Orders!$C$2:$C$20001,$A1368,Orders!$E$2:$E$20001,"Prepaid",Orders!$F$2:$F$20001,"RTO"))</f>
        <v/>
      </c>
      <c r="G1368" s="18" t="str">
        <f aca="false">IF($A1368="","",IFERROR(F1368/E1368,0))</f>
        <v/>
      </c>
      <c r="H1368" s="19" t="str">
        <f aca="false">IF($A1368="","",C1368*Settings!$B$11)</f>
        <v/>
      </c>
      <c r="I1368" s="20" t="str">
        <f aca="false">IF($A1368="","",IF(N(H1368)=0,"",RANK(H1368,$H$5:$H$2004)))</f>
        <v/>
      </c>
      <c r="J1368" s="21" t="str">
        <f aca="false">IF($A1368="","",IF(B1368=0,"No COD orders",IF(B1368&lt;Settings!$B$8,"Too few orders",IF(D1368&gt;=Settings!$B$9,"Restrict COD or verify","Keep COD"))))</f>
        <v/>
      </c>
    </row>
    <row r="1369" customFormat="false" ht="15" hidden="false" customHeight="false" outlineLevel="0" collapsed="false">
      <c r="A1369" s="27"/>
      <c r="B1369" s="17" t="str">
        <f aca="false">IF($A1369="","",COUNTIFS(Orders!$C$2:$C$20001,$A1369,Orders!$E$2:$E$20001,"COD",Orders!$F$2:$F$20001,"Delivered")+COUNTIFS(Orders!$C$2:$C$20001,$A1369,Orders!$E$2:$E$20001,"COD",Orders!$F$2:$F$20001,"RTO"))</f>
        <v/>
      </c>
      <c r="C1369" s="17" t="str">
        <f aca="false">IF($A1369="","",COUNTIFS(Orders!$C$2:$C$20001,$A1369,Orders!$E$2:$E$20001,"COD",Orders!$F$2:$F$20001,"RTO"))</f>
        <v/>
      </c>
      <c r="D1369" s="18" t="str">
        <f aca="false">IF($A1369="","",IFERROR(C1369/B1369,0))</f>
        <v/>
      </c>
      <c r="E1369" s="17" t="str">
        <f aca="false">IF($A1369="","",COUNTIFS(Orders!$C$2:$C$20001,$A1369,Orders!$E$2:$E$20001,"Prepaid",Orders!$F$2:$F$20001,"Delivered")+COUNTIFS(Orders!$C$2:$C$20001,$A1369,Orders!$E$2:$E$20001,"Prepaid",Orders!$F$2:$F$20001,"RTO"))</f>
        <v/>
      </c>
      <c r="F1369" s="17" t="str">
        <f aca="false">IF($A1369="","",COUNTIFS(Orders!$C$2:$C$20001,$A1369,Orders!$E$2:$E$20001,"Prepaid",Orders!$F$2:$F$20001,"RTO"))</f>
        <v/>
      </c>
      <c r="G1369" s="18" t="str">
        <f aca="false">IF($A1369="","",IFERROR(F1369/E1369,0))</f>
        <v/>
      </c>
      <c r="H1369" s="19" t="str">
        <f aca="false">IF($A1369="","",C1369*Settings!$B$11)</f>
        <v/>
      </c>
      <c r="I1369" s="20" t="str">
        <f aca="false">IF($A1369="","",IF(N(H1369)=0,"",RANK(H1369,$H$5:$H$2004)))</f>
        <v/>
      </c>
      <c r="J1369" s="21" t="str">
        <f aca="false">IF($A1369="","",IF(B1369=0,"No COD orders",IF(B1369&lt;Settings!$B$8,"Too few orders",IF(D1369&gt;=Settings!$B$9,"Restrict COD or verify","Keep COD"))))</f>
        <v/>
      </c>
    </row>
    <row r="1370" customFormat="false" ht="15" hidden="false" customHeight="false" outlineLevel="0" collapsed="false">
      <c r="A1370" s="27"/>
      <c r="B1370" s="17" t="str">
        <f aca="false">IF($A1370="","",COUNTIFS(Orders!$C$2:$C$20001,$A1370,Orders!$E$2:$E$20001,"COD",Orders!$F$2:$F$20001,"Delivered")+COUNTIFS(Orders!$C$2:$C$20001,$A1370,Orders!$E$2:$E$20001,"COD",Orders!$F$2:$F$20001,"RTO"))</f>
        <v/>
      </c>
      <c r="C1370" s="17" t="str">
        <f aca="false">IF($A1370="","",COUNTIFS(Orders!$C$2:$C$20001,$A1370,Orders!$E$2:$E$20001,"COD",Orders!$F$2:$F$20001,"RTO"))</f>
        <v/>
      </c>
      <c r="D1370" s="18" t="str">
        <f aca="false">IF($A1370="","",IFERROR(C1370/B1370,0))</f>
        <v/>
      </c>
      <c r="E1370" s="17" t="str">
        <f aca="false">IF($A1370="","",COUNTIFS(Orders!$C$2:$C$20001,$A1370,Orders!$E$2:$E$20001,"Prepaid",Orders!$F$2:$F$20001,"Delivered")+COUNTIFS(Orders!$C$2:$C$20001,$A1370,Orders!$E$2:$E$20001,"Prepaid",Orders!$F$2:$F$20001,"RTO"))</f>
        <v/>
      </c>
      <c r="F1370" s="17" t="str">
        <f aca="false">IF($A1370="","",COUNTIFS(Orders!$C$2:$C$20001,$A1370,Orders!$E$2:$E$20001,"Prepaid",Orders!$F$2:$F$20001,"RTO"))</f>
        <v/>
      </c>
      <c r="G1370" s="18" t="str">
        <f aca="false">IF($A1370="","",IFERROR(F1370/E1370,0))</f>
        <v/>
      </c>
      <c r="H1370" s="19" t="str">
        <f aca="false">IF($A1370="","",C1370*Settings!$B$11)</f>
        <v/>
      </c>
      <c r="I1370" s="20" t="str">
        <f aca="false">IF($A1370="","",IF(N(H1370)=0,"",RANK(H1370,$H$5:$H$2004)))</f>
        <v/>
      </c>
      <c r="J1370" s="21" t="str">
        <f aca="false">IF($A1370="","",IF(B1370=0,"No COD orders",IF(B1370&lt;Settings!$B$8,"Too few orders",IF(D1370&gt;=Settings!$B$9,"Restrict COD or verify","Keep COD"))))</f>
        <v/>
      </c>
    </row>
    <row r="1371" customFormat="false" ht="15" hidden="false" customHeight="false" outlineLevel="0" collapsed="false">
      <c r="A1371" s="27"/>
      <c r="B1371" s="17" t="str">
        <f aca="false">IF($A1371="","",COUNTIFS(Orders!$C$2:$C$20001,$A1371,Orders!$E$2:$E$20001,"COD",Orders!$F$2:$F$20001,"Delivered")+COUNTIFS(Orders!$C$2:$C$20001,$A1371,Orders!$E$2:$E$20001,"COD",Orders!$F$2:$F$20001,"RTO"))</f>
        <v/>
      </c>
      <c r="C1371" s="17" t="str">
        <f aca="false">IF($A1371="","",COUNTIFS(Orders!$C$2:$C$20001,$A1371,Orders!$E$2:$E$20001,"COD",Orders!$F$2:$F$20001,"RTO"))</f>
        <v/>
      </c>
      <c r="D1371" s="18" t="str">
        <f aca="false">IF($A1371="","",IFERROR(C1371/B1371,0))</f>
        <v/>
      </c>
      <c r="E1371" s="17" t="str">
        <f aca="false">IF($A1371="","",COUNTIFS(Orders!$C$2:$C$20001,$A1371,Orders!$E$2:$E$20001,"Prepaid",Orders!$F$2:$F$20001,"Delivered")+COUNTIFS(Orders!$C$2:$C$20001,$A1371,Orders!$E$2:$E$20001,"Prepaid",Orders!$F$2:$F$20001,"RTO"))</f>
        <v/>
      </c>
      <c r="F1371" s="17" t="str">
        <f aca="false">IF($A1371="","",COUNTIFS(Orders!$C$2:$C$20001,$A1371,Orders!$E$2:$E$20001,"Prepaid",Orders!$F$2:$F$20001,"RTO"))</f>
        <v/>
      </c>
      <c r="G1371" s="18" t="str">
        <f aca="false">IF($A1371="","",IFERROR(F1371/E1371,0))</f>
        <v/>
      </c>
      <c r="H1371" s="19" t="str">
        <f aca="false">IF($A1371="","",C1371*Settings!$B$11)</f>
        <v/>
      </c>
      <c r="I1371" s="20" t="str">
        <f aca="false">IF($A1371="","",IF(N(H1371)=0,"",RANK(H1371,$H$5:$H$2004)))</f>
        <v/>
      </c>
      <c r="J1371" s="21" t="str">
        <f aca="false">IF($A1371="","",IF(B1371=0,"No COD orders",IF(B1371&lt;Settings!$B$8,"Too few orders",IF(D1371&gt;=Settings!$B$9,"Restrict COD or verify","Keep COD"))))</f>
        <v/>
      </c>
    </row>
    <row r="1372" customFormat="false" ht="15" hidden="false" customHeight="false" outlineLevel="0" collapsed="false">
      <c r="A1372" s="27"/>
      <c r="B1372" s="17" t="str">
        <f aca="false">IF($A1372="","",COUNTIFS(Orders!$C$2:$C$20001,$A1372,Orders!$E$2:$E$20001,"COD",Orders!$F$2:$F$20001,"Delivered")+COUNTIFS(Orders!$C$2:$C$20001,$A1372,Orders!$E$2:$E$20001,"COD",Orders!$F$2:$F$20001,"RTO"))</f>
        <v/>
      </c>
      <c r="C1372" s="17" t="str">
        <f aca="false">IF($A1372="","",COUNTIFS(Orders!$C$2:$C$20001,$A1372,Orders!$E$2:$E$20001,"COD",Orders!$F$2:$F$20001,"RTO"))</f>
        <v/>
      </c>
      <c r="D1372" s="18" t="str">
        <f aca="false">IF($A1372="","",IFERROR(C1372/B1372,0))</f>
        <v/>
      </c>
      <c r="E1372" s="17" t="str">
        <f aca="false">IF($A1372="","",COUNTIFS(Orders!$C$2:$C$20001,$A1372,Orders!$E$2:$E$20001,"Prepaid",Orders!$F$2:$F$20001,"Delivered")+COUNTIFS(Orders!$C$2:$C$20001,$A1372,Orders!$E$2:$E$20001,"Prepaid",Orders!$F$2:$F$20001,"RTO"))</f>
        <v/>
      </c>
      <c r="F1372" s="17" t="str">
        <f aca="false">IF($A1372="","",COUNTIFS(Orders!$C$2:$C$20001,$A1372,Orders!$E$2:$E$20001,"Prepaid",Orders!$F$2:$F$20001,"RTO"))</f>
        <v/>
      </c>
      <c r="G1372" s="18" t="str">
        <f aca="false">IF($A1372="","",IFERROR(F1372/E1372,0))</f>
        <v/>
      </c>
      <c r="H1372" s="19" t="str">
        <f aca="false">IF($A1372="","",C1372*Settings!$B$11)</f>
        <v/>
      </c>
      <c r="I1372" s="20" t="str">
        <f aca="false">IF($A1372="","",IF(N(H1372)=0,"",RANK(H1372,$H$5:$H$2004)))</f>
        <v/>
      </c>
      <c r="J1372" s="21" t="str">
        <f aca="false">IF($A1372="","",IF(B1372=0,"No COD orders",IF(B1372&lt;Settings!$B$8,"Too few orders",IF(D1372&gt;=Settings!$B$9,"Restrict COD or verify","Keep COD"))))</f>
        <v/>
      </c>
    </row>
    <row r="1373" customFormat="false" ht="15" hidden="false" customHeight="false" outlineLevel="0" collapsed="false">
      <c r="A1373" s="27"/>
      <c r="B1373" s="17" t="str">
        <f aca="false">IF($A1373="","",COUNTIFS(Orders!$C$2:$C$20001,$A1373,Orders!$E$2:$E$20001,"COD",Orders!$F$2:$F$20001,"Delivered")+COUNTIFS(Orders!$C$2:$C$20001,$A1373,Orders!$E$2:$E$20001,"COD",Orders!$F$2:$F$20001,"RTO"))</f>
        <v/>
      </c>
      <c r="C1373" s="17" t="str">
        <f aca="false">IF($A1373="","",COUNTIFS(Orders!$C$2:$C$20001,$A1373,Orders!$E$2:$E$20001,"COD",Orders!$F$2:$F$20001,"RTO"))</f>
        <v/>
      </c>
      <c r="D1373" s="18" t="str">
        <f aca="false">IF($A1373="","",IFERROR(C1373/B1373,0))</f>
        <v/>
      </c>
      <c r="E1373" s="17" t="str">
        <f aca="false">IF($A1373="","",COUNTIFS(Orders!$C$2:$C$20001,$A1373,Orders!$E$2:$E$20001,"Prepaid",Orders!$F$2:$F$20001,"Delivered")+COUNTIFS(Orders!$C$2:$C$20001,$A1373,Orders!$E$2:$E$20001,"Prepaid",Orders!$F$2:$F$20001,"RTO"))</f>
        <v/>
      </c>
      <c r="F1373" s="17" t="str">
        <f aca="false">IF($A1373="","",COUNTIFS(Orders!$C$2:$C$20001,$A1373,Orders!$E$2:$E$20001,"Prepaid",Orders!$F$2:$F$20001,"RTO"))</f>
        <v/>
      </c>
      <c r="G1373" s="18" t="str">
        <f aca="false">IF($A1373="","",IFERROR(F1373/E1373,0))</f>
        <v/>
      </c>
      <c r="H1373" s="19" t="str">
        <f aca="false">IF($A1373="","",C1373*Settings!$B$11)</f>
        <v/>
      </c>
      <c r="I1373" s="20" t="str">
        <f aca="false">IF($A1373="","",IF(N(H1373)=0,"",RANK(H1373,$H$5:$H$2004)))</f>
        <v/>
      </c>
      <c r="J1373" s="21" t="str">
        <f aca="false">IF($A1373="","",IF(B1373=0,"No COD orders",IF(B1373&lt;Settings!$B$8,"Too few orders",IF(D1373&gt;=Settings!$B$9,"Restrict COD or verify","Keep COD"))))</f>
        <v/>
      </c>
    </row>
    <row r="1374" customFormat="false" ht="15" hidden="false" customHeight="false" outlineLevel="0" collapsed="false">
      <c r="A1374" s="27"/>
      <c r="B1374" s="17" t="str">
        <f aca="false">IF($A1374="","",COUNTIFS(Orders!$C$2:$C$20001,$A1374,Orders!$E$2:$E$20001,"COD",Orders!$F$2:$F$20001,"Delivered")+COUNTIFS(Orders!$C$2:$C$20001,$A1374,Orders!$E$2:$E$20001,"COD",Orders!$F$2:$F$20001,"RTO"))</f>
        <v/>
      </c>
      <c r="C1374" s="17" t="str">
        <f aca="false">IF($A1374="","",COUNTIFS(Orders!$C$2:$C$20001,$A1374,Orders!$E$2:$E$20001,"COD",Orders!$F$2:$F$20001,"RTO"))</f>
        <v/>
      </c>
      <c r="D1374" s="18" t="str">
        <f aca="false">IF($A1374="","",IFERROR(C1374/B1374,0))</f>
        <v/>
      </c>
      <c r="E1374" s="17" t="str">
        <f aca="false">IF($A1374="","",COUNTIFS(Orders!$C$2:$C$20001,$A1374,Orders!$E$2:$E$20001,"Prepaid",Orders!$F$2:$F$20001,"Delivered")+COUNTIFS(Orders!$C$2:$C$20001,$A1374,Orders!$E$2:$E$20001,"Prepaid",Orders!$F$2:$F$20001,"RTO"))</f>
        <v/>
      </c>
      <c r="F1374" s="17" t="str">
        <f aca="false">IF($A1374="","",COUNTIFS(Orders!$C$2:$C$20001,$A1374,Orders!$E$2:$E$20001,"Prepaid",Orders!$F$2:$F$20001,"RTO"))</f>
        <v/>
      </c>
      <c r="G1374" s="18" t="str">
        <f aca="false">IF($A1374="","",IFERROR(F1374/E1374,0))</f>
        <v/>
      </c>
      <c r="H1374" s="19" t="str">
        <f aca="false">IF($A1374="","",C1374*Settings!$B$11)</f>
        <v/>
      </c>
      <c r="I1374" s="20" t="str">
        <f aca="false">IF($A1374="","",IF(N(H1374)=0,"",RANK(H1374,$H$5:$H$2004)))</f>
        <v/>
      </c>
      <c r="J1374" s="21" t="str">
        <f aca="false">IF($A1374="","",IF(B1374=0,"No COD orders",IF(B1374&lt;Settings!$B$8,"Too few orders",IF(D1374&gt;=Settings!$B$9,"Restrict COD or verify","Keep COD"))))</f>
        <v/>
      </c>
    </row>
    <row r="1375" customFormat="false" ht="15" hidden="false" customHeight="false" outlineLevel="0" collapsed="false">
      <c r="A1375" s="27"/>
      <c r="B1375" s="17" t="str">
        <f aca="false">IF($A1375="","",COUNTIFS(Orders!$C$2:$C$20001,$A1375,Orders!$E$2:$E$20001,"COD",Orders!$F$2:$F$20001,"Delivered")+COUNTIFS(Orders!$C$2:$C$20001,$A1375,Orders!$E$2:$E$20001,"COD",Orders!$F$2:$F$20001,"RTO"))</f>
        <v/>
      </c>
      <c r="C1375" s="17" t="str">
        <f aca="false">IF($A1375="","",COUNTIFS(Orders!$C$2:$C$20001,$A1375,Orders!$E$2:$E$20001,"COD",Orders!$F$2:$F$20001,"RTO"))</f>
        <v/>
      </c>
      <c r="D1375" s="18" t="str">
        <f aca="false">IF($A1375="","",IFERROR(C1375/B1375,0))</f>
        <v/>
      </c>
      <c r="E1375" s="17" t="str">
        <f aca="false">IF($A1375="","",COUNTIFS(Orders!$C$2:$C$20001,$A1375,Orders!$E$2:$E$20001,"Prepaid",Orders!$F$2:$F$20001,"Delivered")+COUNTIFS(Orders!$C$2:$C$20001,$A1375,Orders!$E$2:$E$20001,"Prepaid",Orders!$F$2:$F$20001,"RTO"))</f>
        <v/>
      </c>
      <c r="F1375" s="17" t="str">
        <f aca="false">IF($A1375="","",COUNTIFS(Orders!$C$2:$C$20001,$A1375,Orders!$E$2:$E$20001,"Prepaid",Orders!$F$2:$F$20001,"RTO"))</f>
        <v/>
      </c>
      <c r="G1375" s="18" t="str">
        <f aca="false">IF($A1375="","",IFERROR(F1375/E1375,0))</f>
        <v/>
      </c>
      <c r="H1375" s="19" t="str">
        <f aca="false">IF($A1375="","",C1375*Settings!$B$11)</f>
        <v/>
      </c>
      <c r="I1375" s="20" t="str">
        <f aca="false">IF($A1375="","",IF(N(H1375)=0,"",RANK(H1375,$H$5:$H$2004)))</f>
        <v/>
      </c>
      <c r="J1375" s="21" t="str">
        <f aca="false">IF($A1375="","",IF(B1375=0,"No COD orders",IF(B1375&lt;Settings!$B$8,"Too few orders",IF(D1375&gt;=Settings!$B$9,"Restrict COD or verify","Keep COD"))))</f>
        <v/>
      </c>
    </row>
    <row r="1376" customFormat="false" ht="15" hidden="false" customHeight="false" outlineLevel="0" collapsed="false">
      <c r="A1376" s="27"/>
      <c r="B1376" s="17" t="str">
        <f aca="false">IF($A1376="","",COUNTIFS(Orders!$C$2:$C$20001,$A1376,Orders!$E$2:$E$20001,"COD",Orders!$F$2:$F$20001,"Delivered")+COUNTIFS(Orders!$C$2:$C$20001,$A1376,Orders!$E$2:$E$20001,"COD",Orders!$F$2:$F$20001,"RTO"))</f>
        <v/>
      </c>
      <c r="C1376" s="17" t="str">
        <f aca="false">IF($A1376="","",COUNTIFS(Orders!$C$2:$C$20001,$A1376,Orders!$E$2:$E$20001,"COD",Orders!$F$2:$F$20001,"RTO"))</f>
        <v/>
      </c>
      <c r="D1376" s="18" t="str">
        <f aca="false">IF($A1376="","",IFERROR(C1376/B1376,0))</f>
        <v/>
      </c>
      <c r="E1376" s="17" t="str">
        <f aca="false">IF($A1376="","",COUNTIFS(Orders!$C$2:$C$20001,$A1376,Orders!$E$2:$E$20001,"Prepaid",Orders!$F$2:$F$20001,"Delivered")+COUNTIFS(Orders!$C$2:$C$20001,$A1376,Orders!$E$2:$E$20001,"Prepaid",Orders!$F$2:$F$20001,"RTO"))</f>
        <v/>
      </c>
      <c r="F1376" s="17" t="str">
        <f aca="false">IF($A1376="","",COUNTIFS(Orders!$C$2:$C$20001,$A1376,Orders!$E$2:$E$20001,"Prepaid",Orders!$F$2:$F$20001,"RTO"))</f>
        <v/>
      </c>
      <c r="G1376" s="18" t="str">
        <f aca="false">IF($A1376="","",IFERROR(F1376/E1376,0))</f>
        <v/>
      </c>
      <c r="H1376" s="19" t="str">
        <f aca="false">IF($A1376="","",C1376*Settings!$B$11)</f>
        <v/>
      </c>
      <c r="I1376" s="20" t="str">
        <f aca="false">IF($A1376="","",IF(N(H1376)=0,"",RANK(H1376,$H$5:$H$2004)))</f>
        <v/>
      </c>
      <c r="J1376" s="21" t="str">
        <f aca="false">IF($A1376="","",IF(B1376=0,"No COD orders",IF(B1376&lt;Settings!$B$8,"Too few orders",IF(D1376&gt;=Settings!$B$9,"Restrict COD or verify","Keep COD"))))</f>
        <v/>
      </c>
    </row>
    <row r="1377" customFormat="false" ht="15" hidden="false" customHeight="false" outlineLevel="0" collapsed="false">
      <c r="A1377" s="27"/>
      <c r="B1377" s="17" t="str">
        <f aca="false">IF($A1377="","",COUNTIFS(Orders!$C$2:$C$20001,$A1377,Orders!$E$2:$E$20001,"COD",Orders!$F$2:$F$20001,"Delivered")+COUNTIFS(Orders!$C$2:$C$20001,$A1377,Orders!$E$2:$E$20001,"COD",Orders!$F$2:$F$20001,"RTO"))</f>
        <v/>
      </c>
      <c r="C1377" s="17" t="str">
        <f aca="false">IF($A1377="","",COUNTIFS(Orders!$C$2:$C$20001,$A1377,Orders!$E$2:$E$20001,"COD",Orders!$F$2:$F$20001,"RTO"))</f>
        <v/>
      </c>
      <c r="D1377" s="18" t="str">
        <f aca="false">IF($A1377="","",IFERROR(C1377/B1377,0))</f>
        <v/>
      </c>
      <c r="E1377" s="17" t="str">
        <f aca="false">IF($A1377="","",COUNTIFS(Orders!$C$2:$C$20001,$A1377,Orders!$E$2:$E$20001,"Prepaid",Orders!$F$2:$F$20001,"Delivered")+COUNTIFS(Orders!$C$2:$C$20001,$A1377,Orders!$E$2:$E$20001,"Prepaid",Orders!$F$2:$F$20001,"RTO"))</f>
        <v/>
      </c>
      <c r="F1377" s="17" t="str">
        <f aca="false">IF($A1377="","",COUNTIFS(Orders!$C$2:$C$20001,$A1377,Orders!$E$2:$E$20001,"Prepaid",Orders!$F$2:$F$20001,"RTO"))</f>
        <v/>
      </c>
      <c r="G1377" s="18" t="str">
        <f aca="false">IF($A1377="","",IFERROR(F1377/E1377,0))</f>
        <v/>
      </c>
      <c r="H1377" s="19" t="str">
        <f aca="false">IF($A1377="","",C1377*Settings!$B$11)</f>
        <v/>
      </c>
      <c r="I1377" s="20" t="str">
        <f aca="false">IF($A1377="","",IF(N(H1377)=0,"",RANK(H1377,$H$5:$H$2004)))</f>
        <v/>
      </c>
      <c r="J1377" s="21" t="str">
        <f aca="false">IF($A1377="","",IF(B1377=0,"No COD orders",IF(B1377&lt;Settings!$B$8,"Too few orders",IF(D1377&gt;=Settings!$B$9,"Restrict COD or verify","Keep COD"))))</f>
        <v/>
      </c>
    </row>
    <row r="1378" customFormat="false" ht="15" hidden="false" customHeight="false" outlineLevel="0" collapsed="false">
      <c r="A1378" s="27"/>
      <c r="B1378" s="17" t="str">
        <f aca="false">IF($A1378="","",COUNTIFS(Orders!$C$2:$C$20001,$A1378,Orders!$E$2:$E$20001,"COD",Orders!$F$2:$F$20001,"Delivered")+COUNTIFS(Orders!$C$2:$C$20001,$A1378,Orders!$E$2:$E$20001,"COD",Orders!$F$2:$F$20001,"RTO"))</f>
        <v/>
      </c>
      <c r="C1378" s="17" t="str">
        <f aca="false">IF($A1378="","",COUNTIFS(Orders!$C$2:$C$20001,$A1378,Orders!$E$2:$E$20001,"COD",Orders!$F$2:$F$20001,"RTO"))</f>
        <v/>
      </c>
      <c r="D1378" s="18" t="str">
        <f aca="false">IF($A1378="","",IFERROR(C1378/B1378,0))</f>
        <v/>
      </c>
      <c r="E1378" s="17" t="str">
        <f aca="false">IF($A1378="","",COUNTIFS(Orders!$C$2:$C$20001,$A1378,Orders!$E$2:$E$20001,"Prepaid",Orders!$F$2:$F$20001,"Delivered")+COUNTIFS(Orders!$C$2:$C$20001,$A1378,Orders!$E$2:$E$20001,"Prepaid",Orders!$F$2:$F$20001,"RTO"))</f>
        <v/>
      </c>
      <c r="F1378" s="17" t="str">
        <f aca="false">IF($A1378="","",COUNTIFS(Orders!$C$2:$C$20001,$A1378,Orders!$E$2:$E$20001,"Prepaid",Orders!$F$2:$F$20001,"RTO"))</f>
        <v/>
      </c>
      <c r="G1378" s="18" t="str">
        <f aca="false">IF($A1378="","",IFERROR(F1378/E1378,0))</f>
        <v/>
      </c>
      <c r="H1378" s="19" t="str">
        <f aca="false">IF($A1378="","",C1378*Settings!$B$11)</f>
        <v/>
      </c>
      <c r="I1378" s="20" t="str">
        <f aca="false">IF($A1378="","",IF(N(H1378)=0,"",RANK(H1378,$H$5:$H$2004)))</f>
        <v/>
      </c>
      <c r="J1378" s="21" t="str">
        <f aca="false">IF($A1378="","",IF(B1378=0,"No COD orders",IF(B1378&lt;Settings!$B$8,"Too few orders",IF(D1378&gt;=Settings!$B$9,"Restrict COD or verify","Keep COD"))))</f>
        <v/>
      </c>
    </row>
    <row r="1379" customFormat="false" ht="15" hidden="false" customHeight="false" outlineLevel="0" collapsed="false">
      <c r="A1379" s="27"/>
      <c r="B1379" s="17" t="str">
        <f aca="false">IF($A1379="","",COUNTIFS(Orders!$C$2:$C$20001,$A1379,Orders!$E$2:$E$20001,"COD",Orders!$F$2:$F$20001,"Delivered")+COUNTIFS(Orders!$C$2:$C$20001,$A1379,Orders!$E$2:$E$20001,"COD",Orders!$F$2:$F$20001,"RTO"))</f>
        <v/>
      </c>
      <c r="C1379" s="17" t="str">
        <f aca="false">IF($A1379="","",COUNTIFS(Orders!$C$2:$C$20001,$A1379,Orders!$E$2:$E$20001,"COD",Orders!$F$2:$F$20001,"RTO"))</f>
        <v/>
      </c>
      <c r="D1379" s="18" t="str">
        <f aca="false">IF($A1379="","",IFERROR(C1379/B1379,0))</f>
        <v/>
      </c>
      <c r="E1379" s="17" t="str">
        <f aca="false">IF($A1379="","",COUNTIFS(Orders!$C$2:$C$20001,$A1379,Orders!$E$2:$E$20001,"Prepaid",Orders!$F$2:$F$20001,"Delivered")+COUNTIFS(Orders!$C$2:$C$20001,$A1379,Orders!$E$2:$E$20001,"Prepaid",Orders!$F$2:$F$20001,"RTO"))</f>
        <v/>
      </c>
      <c r="F1379" s="17" t="str">
        <f aca="false">IF($A1379="","",COUNTIFS(Orders!$C$2:$C$20001,$A1379,Orders!$E$2:$E$20001,"Prepaid",Orders!$F$2:$F$20001,"RTO"))</f>
        <v/>
      </c>
      <c r="G1379" s="18" t="str">
        <f aca="false">IF($A1379="","",IFERROR(F1379/E1379,0))</f>
        <v/>
      </c>
      <c r="H1379" s="19" t="str">
        <f aca="false">IF($A1379="","",C1379*Settings!$B$11)</f>
        <v/>
      </c>
      <c r="I1379" s="20" t="str">
        <f aca="false">IF($A1379="","",IF(N(H1379)=0,"",RANK(H1379,$H$5:$H$2004)))</f>
        <v/>
      </c>
      <c r="J1379" s="21" t="str">
        <f aca="false">IF($A1379="","",IF(B1379=0,"No COD orders",IF(B1379&lt;Settings!$B$8,"Too few orders",IF(D1379&gt;=Settings!$B$9,"Restrict COD or verify","Keep COD"))))</f>
        <v/>
      </c>
    </row>
    <row r="1380" customFormat="false" ht="15" hidden="false" customHeight="false" outlineLevel="0" collapsed="false">
      <c r="A1380" s="27"/>
      <c r="B1380" s="17" t="str">
        <f aca="false">IF($A1380="","",COUNTIFS(Orders!$C$2:$C$20001,$A1380,Orders!$E$2:$E$20001,"COD",Orders!$F$2:$F$20001,"Delivered")+COUNTIFS(Orders!$C$2:$C$20001,$A1380,Orders!$E$2:$E$20001,"COD",Orders!$F$2:$F$20001,"RTO"))</f>
        <v/>
      </c>
      <c r="C1380" s="17" t="str">
        <f aca="false">IF($A1380="","",COUNTIFS(Orders!$C$2:$C$20001,$A1380,Orders!$E$2:$E$20001,"COD",Orders!$F$2:$F$20001,"RTO"))</f>
        <v/>
      </c>
      <c r="D1380" s="18" t="str">
        <f aca="false">IF($A1380="","",IFERROR(C1380/B1380,0))</f>
        <v/>
      </c>
      <c r="E1380" s="17" t="str">
        <f aca="false">IF($A1380="","",COUNTIFS(Orders!$C$2:$C$20001,$A1380,Orders!$E$2:$E$20001,"Prepaid",Orders!$F$2:$F$20001,"Delivered")+COUNTIFS(Orders!$C$2:$C$20001,$A1380,Orders!$E$2:$E$20001,"Prepaid",Orders!$F$2:$F$20001,"RTO"))</f>
        <v/>
      </c>
      <c r="F1380" s="17" t="str">
        <f aca="false">IF($A1380="","",COUNTIFS(Orders!$C$2:$C$20001,$A1380,Orders!$E$2:$E$20001,"Prepaid",Orders!$F$2:$F$20001,"RTO"))</f>
        <v/>
      </c>
      <c r="G1380" s="18" t="str">
        <f aca="false">IF($A1380="","",IFERROR(F1380/E1380,0))</f>
        <v/>
      </c>
      <c r="H1380" s="19" t="str">
        <f aca="false">IF($A1380="","",C1380*Settings!$B$11)</f>
        <v/>
      </c>
      <c r="I1380" s="20" t="str">
        <f aca="false">IF($A1380="","",IF(N(H1380)=0,"",RANK(H1380,$H$5:$H$2004)))</f>
        <v/>
      </c>
      <c r="J1380" s="21" t="str">
        <f aca="false">IF($A1380="","",IF(B1380=0,"No COD orders",IF(B1380&lt;Settings!$B$8,"Too few orders",IF(D1380&gt;=Settings!$B$9,"Restrict COD or verify","Keep COD"))))</f>
        <v/>
      </c>
    </row>
    <row r="1381" customFormat="false" ht="15" hidden="false" customHeight="false" outlineLevel="0" collapsed="false">
      <c r="A1381" s="27"/>
      <c r="B1381" s="17" t="str">
        <f aca="false">IF($A1381="","",COUNTIFS(Orders!$C$2:$C$20001,$A1381,Orders!$E$2:$E$20001,"COD",Orders!$F$2:$F$20001,"Delivered")+COUNTIFS(Orders!$C$2:$C$20001,$A1381,Orders!$E$2:$E$20001,"COD",Orders!$F$2:$F$20001,"RTO"))</f>
        <v/>
      </c>
      <c r="C1381" s="17" t="str">
        <f aca="false">IF($A1381="","",COUNTIFS(Orders!$C$2:$C$20001,$A1381,Orders!$E$2:$E$20001,"COD",Orders!$F$2:$F$20001,"RTO"))</f>
        <v/>
      </c>
      <c r="D1381" s="18" t="str">
        <f aca="false">IF($A1381="","",IFERROR(C1381/B1381,0))</f>
        <v/>
      </c>
      <c r="E1381" s="17" t="str">
        <f aca="false">IF($A1381="","",COUNTIFS(Orders!$C$2:$C$20001,$A1381,Orders!$E$2:$E$20001,"Prepaid",Orders!$F$2:$F$20001,"Delivered")+COUNTIFS(Orders!$C$2:$C$20001,$A1381,Orders!$E$2:$E$20001,"Prepaid",Orders!$F$2:$F$20001,"RTO"))</f>
        <v/>
      </c>
      <c r="F1381" s="17" t="str">
        <f aca="false">IF($A1381="","",COUNTIFS(Orders!$C$2:$C$20001,$A1381,Orders!$E$2:$E$20001,"Prepaid",Orders!$F$2:$F$20001,"RTO"))</f>
        <v/>
      </c>
      <c r="G1381" s="18" t="str">
        <f aca="false">IF($A1381="","",IFERROR(F1381/E1381,0))</f>
        <v/>
      </c>
      <c r="H1381" s="19" t="str">
        <f aca="false">IF($A1381="","",C1381*Settings!$B$11)</f>
        <v/>
      </c>
      <c r="I1381" s="20" t="str">
        <f aca="false">IF($A1381="","",IF(N(H1381)=0,"",RANK(H1381,$H$5:$H$2004)))</f>
        <v/>
      </c>
      <c r="J1381" s="21" t="str">
        <f aca="false">IF($A1381="","",IF(B1381=0,"No COD orders",IF(B1381&lt;Settings!$B$8,"Too few orders",IF(D1381&gt;=Settings!$B$9,"Restrict COD or verify","Keep COD"))))</f>
        <v/>
      </c>
    </row>
    <row r="1382" customFormat="false" ht="15" hidden="false" customHeight="false" outlineLevel="0" collapsed="false">
      <c r="A1382" s="27"/>
      <c r="B1382" s="17" t="str">
        <f aca="false">IF($A1382="","",COUNTIFS(Orders!$C$2:$C$20001,$A1382,Orders!$E$2:$E$20001,"COD",Orders!$F$2:$F$20001,"Delivered")+COUNTIFS(Orders!$C$2:$C$20001,$A1382,Orders!$E$2:$E$20001,"COD",Orders!$F$2:$F$20001,"RTO"))</f>
        <v/>
      </c>
      <c r="C1382" s="17" t="str">
        <f aca="false">IF($A1382="","",COUNTIFS(Orders!$C$2:$C$20001,$A1382,Orders!$E$2:$E$20001,"COD",Orders!$F$2:$F$20001,"RTO"))</f>
        <v/>
      </c>
      <c r="D1382" s="18" t="str">
        <f aca="false">IF($A1382="","",IFERROR(C1382/B1382,0))</f>
        <v/>
      </c>
      <c r="E1382" s="17" t="str">
        <f aca="false">IF($A1382="","",COUNTIFS(Orders!$C$2:$C$20001,$A1382,Orders!$E$2:$E$20001,"Prepaid",Orders!$F$2:$F$20001,"Delivered")+COUNTIFS(Orders!$C$2:$C$20001,$A1382,Orders!$E$2:$E$20001,"Prepaid",Orders!$F$2:$F$20001,"RTO"))</f>
        <v/>
      </c>
      <c r="F1382" s="17" t="str">
        <f aca="false">IF($A1382="","",COUNTIFS(Orders!$C$2:$C$20001,$A1382,Orders!$E$2:$E$20001,"Prepaid",Orders!$F$2:$F$20001,"RTO"))</f>
        <v/>
      </c>
      <c r="G1382" s="18" t="str">
        <f aca="false">IF($A1382="","",IFERROR(F1382/E1382,0))</f>
        <v/>
      </c>
      <c r="H1382" s="19" t="str">
        <f aca="false">IF($A1382="","",C1382*Settings!$B$11)</f>
        <v/>
      </c>
      <c r="I1382" s="20" t="str">
        <f aca="false">IF($A1382="","",IF(N(H1382)=0,"",RANK(H1382,$H$5:$H$2004)))</f>
        <v/>
      </c>
      <c r="J1382" s="21" t="str">
        <f aca="false">IF($A1382="","",IF(B1382=0,"No COD orders",IF(B1382&lt;Settings!$B$8,"Too few orders",IF(D1382&gt;=Settings!$B$9,"Restrict COD or verify","Keep COD"))))</f>
        <v/>
      </c>
    </row>
    <row r="1383" customFormat="false" ht="15" hidden="false" customHeight="false" outlineLevel="0" collapsed="false">
      <c r="A1383" s="27"/>
      <c r="B1383" s="17" t="str">
        <f aca="false">IF($A1383="","",COUNTIFS(Orders!$C$2:$C$20001,$A1383,Orders!$E$2:$E$20001,"COD",Orders!$F$2:$F$20001,"Delivered")+COUNTIFS(Orders!$C$2:$C$20001,$A1383,Orders!$E$2:$E$20001,"COD",Orders!$F$2:$F$20001,"RTO"))</f>
        <v/>
      </c>
      <c r="C1383" s="17" t="str">
        <f aca="false">IF($A1383="","",COUNTIFS(Orders!$C$2:$C$20001,$A1383,Orders!$E$2:$E$20001,"COD",Orders!$F$2:$F$20001,"RTO"))</f>
        <v/>
      </c>
      <c r="D1383" s="18" t="str">
        <f aca="false">IF($A1383="","",IFERROR(C1383/B1383,0))</f>
        <v/>
      </c>
      <c r="E1383" s="17" t="str">
        <f aca="false">IF($A1383="","",COUNTIFS(Orders!$C$2:$C$20001,$A1383,Orders!$E$2:$E$20001,"Prepaid",Orders!$F$2:$F$20001,"Delivered")+COUNTIFS(Orders!$C$2:$C$20001,$A1383,Orders!$E$2:$E$20001,"Prepaid",Orders!$F$2:$F$20001,"RTO"))</f>
        <v/>
      </c>
      <c r="F1383" s="17" t="str">
        <f aca="false">IF($A1383="","",COUNTIFS(Orders!$C$2:$C$20001,$A1383,Orders!$E$2:$E$20001,"Prepaid",Orders!$F$2:$F$20001,"RTO"))</f>
        <v/>
      </c>
      <c r="G1383" s="18" t="str">
        <f aca="false">IF($A1383="","",IFERROR(F1383/E1383,0))</f>
        <v/>
      </c>
      <c r="H1383" s="19" t="str">
        <f aca="false">IF($A1383="","",C1383*Settings!$B$11)</f>
        <v/>
      </c>
      <c r="I1383" s="20" t="str">
        <f aca="false">IF($A1383="","",IF(N(H1383)=0,"",RANK(H1383,$H$5:$H$2004)))</f>
        <v/>
      </c>
      <c r="J1383" s="21" t="str">
        <f aca="false">IF($A1383="","",IF(B1383=0,"No COD orders",IF(B1383&lt;Settings!$B$8,"Too few orders",IF(D1383&gt;=Settings!$B$9,"Restrict COD or verify","Keep COD"))))</f>
        <v/>
      </c>
    </row>
    <row r="1384" customFormat="false" ht="15" hidden="false" customHeight="false" outlineLevel="0" collapsed="false">
      <c r="A1384" s="27"/>
      <c r="B1384" s="17" t="str">
        <f aca="false">IF($A1384="","",COUNTIFS(Orders!$C$2:$C$20001,$A1384,Orders!$E$2:$E$20001,"COD",Orders!$F$2:$F$20001,"Delivered")+COUNTIFS(Orders!$C$2:$C$20001,$A1384,Orders!$E$2:$E$20001,"COD",Orders!$F$2:$F$20001,"RTO"))</f>
        <v/>
      </c>
      <c r="C1384" s="17" t="str">
        <f aca="false">IF($A1384="","",COUNTIFS(Orders!$C$2:$C$20001,$A1384,Orders!$E$2:$E$20001,"COD",Orders!$F$2:$F$20001,"RTO"))</f>
        <v/>
      </c>
      <c r="D1384" s="18" t="str">
        <f aca="false">IF($A1384="","",IFERROR(C1384/B1384,0))</f>
        <v/>
      </c>
      <c r="E1384" s="17" t="str">
        <f aca="false">IF($A1384="","",COUNTIFS(Orders!$C$2:$C$20001,$A1384,Orders!$E$2:$E$20001,"Prepaid",Orders!$F$2:$F$20001,"Delivered")+COUNTIFS(Orders!$C$2:$C$20001,$A1384,Orders!$E$2:$E$20001,"Prepaid",Orders!$F$2:$F$20001,"RTO"))</f>
        <v/>
      </c>
      <c r="F1384" s="17" t="str">
        <f aca="false">IF($A1384="","",COUNTIFS(Orders!$C$2:$C$20001,$A1384,Orders!$E$2:$E$20001,"Prepaid",Orders!$F$2:$F$20001,"RTO"))</f>
        <v/>
      </c>
      <c r="G1384" s="18" t="str">
        <f aca="false">IF($A1384="","",IFERROR(F1384/E1384,0))</f>
        <v/>
      </c>
      <c r="H1384" s="19" t="str">
        <f aca="false">IF($A1384="","",C1384*Settings!$B$11)</f>
        <v/>
      </c>
      <c r="I1384" s="20" t="str">
        <f aca="false">IF($A1384="","",IF(N(H1384)=0,"",RANK(H1384,$H$5:$H$2004)))</f>
        <v/>
      </c>
      <c r="J1384" s="21" t="str">
        <f aca="false">IF($A1384="","",IF(B1384=0,"No COD orders",IF(B1384&lt;Settings!$B$8,"Too few orders",IF(D1384&gt;=Settings!$B$9,"Restrict COD or verify","Keep COD"))))</f>
        <v/>
      </c>
    </row>
    <row r="1385" customFormat="false" ht="15" hidden="false" customHeight="false" outlineLevel="0" collapsed="false">
      <c r="A1385" s="27"/>
      <c r="B1385" s="17" t="str">
        <f aca="false">IF($A1385="","",COUNTIFS(Orders!$C$2:$C$20001,$A1385,Orders!$E$2:$E$20001,"COD",Orders!$F$2:$F$20001,"Delivered")+COUNTIFS(Orders!$C$2:$C$20001,$A1385,Orders!$E$2:$E$20001,"COD",Orders!$F$2:$F$20001,"RTO"))</f>
        <v/>
      </c>
      <c r="C1385" s="17" t="str">
        <f aca="false">IF($A1385="","",COUNTIFS(Orders!$C$2:$C$20001,$A1385,Orders!$E$2:$E$20001,"COD",Orders!$F$2:$F$20001,"RTO"))</f>
        <v/>
      </c>
      <c r="D1385" s="18" t="str">
        <f aca="false">IF($A1385="","",IFERROR(C1385/B1385,0))</f>
        <v/>
      </c>
      <c r="E1385" s="17" t="str">
        <f aca="false">IF($A1385="","",COUNTIFS(Orders!$C$2:$C$20001,$A1385,Orders!$E$2:$E$20001,"Prepaid",Orders!$F$2:$F$20001,"Delivered")+COUNTIFS(Orders!$C$2:$C$20001,$A1385,Orders!$E$2:$E$20001,"Prepaid",Orders!$F$2:$F$20001,"RTO"))</f>
        <v/>
      </c>
      <c r="F1385" s="17" t="str">
        <f aca="false">IF($A1385="","",COUNTIFS(Orders!$C$2:$C$20001,$A1385,Orders!$E$2:$E$20001,"Prepaid",Orders!$F$2:$F$20001,"RTO"))</f>
        <v/>
      </c>
      <c r="G1385" s="18" t="str">
        <f aca="false">IF($A1385="","",IFERROR(F1385/E1385,0))</f>
        <v/>
      </c>
      <c r="H1385" s="19" t="str">
        <f aca="false">IF($A1385="","",C1385*Settings!$B$11)</f>
        <v/>
      </c>
      <c r="I1385" s="20" t="str">
        <f aca="false">IF($A1385="","",IF(N(H1385)=0,"",RANK(H1385,$H$5:$H$2004)))</f>
        <v/>
      </c>
      <c r="J1385" s="21" t="str">
        <f aca="false">IF($A1385="","",IF(B1385=0,"No COD orders",IF(B1385&lt;Settings!$B$8,"Too few orders",IF(D1385&gt;=Settings!$B$9,"Restrict COD or verify","Keep COD"))))</f>
        <v/>
      </c>
    </row>
    <row r="1386" customFormat="false" ht="15" hidden="false" customHeight="false" outlineLevel="0" collapsed="false">
      <c r="A1386" s="27"/>
      <c r="B1386" s="17" t="str">
        <f aca="false">IF($A1386="","",COUNTIFS(Orders!$C$2:$C$20001,$A1386,Orders!$E$2:$E$20001,"COD",Orders!$F$2:$F$20001,"Delivered")+COUNTIFS(Orders!$C$2:$C$20001,$A1386,Orders!$E$2:$E$20001,"COD",Orders!$F$2:$F$20001,"RTO"))</f>
        <v/>
      </c>
      <c r="C1386" s="17" t="str">
        <f aca="false">IF($A1386="","",COUNTIFS(Orders!$C$2:$C$20001,$A1386,Orders!$E$2:$E$20001,"COD",Orders!$F$2:$F$20001,"RTO"))</f>
        <v/>
      </c>
      <c r="D1386" s="18" t="str">
        <f aca="false">IF($A1386="","",IFERROR(C1386/B1386,0))</f>
        <v/>
      </c>
      <c r="E1386" s="17" t="str">
        <f aca="false">IF($A1386="","",COUNTIFS(Orders!$C$2:$C$20001,$A1386,Orders!$E$2:$E$20001,"Prepaid",Orders!$F$2:$F$20001,"Delivered")+COUNTIFS(Orders!$C$2:$C$20001,$A1386,Orders!$E$2:$E$20001,"Prepaid",Orders!$F$2:$F$20001,"RTO"))</f>
        <v/>
      </c>
      <c r="F1386" s="17" t="str">
        <f aca="false">IF($A1386="","",COUNTIFS(Orders!$C$2:$C$20001,$A1386,Orders!$E$2:$E$20001,"Prepaid",Orders!$F$2:$F$20001,"RTO"))</f>
        <v/>
      </c>
      <c r="G1386" s="18" t="str">
        <f aca="false">IF($A1386="","",IFERROR(F1386/E1386,0))</f>
        <v/>
      </c>
      <c r="H1386" s="19" t="str">
        <f aca="false">IF($A1386="","",C1386*Settings!$B$11)</f>
        <v/>
      </c>
      <c r="I1386" s="20" t="str">
        <f aca="false">IF($A1386="","",IF(N(H1386)=0,"",RANK(H1386,$H$5:$H$2004)))</f>
        <v/>
      </c>
      <c r="J1386" s="21" t="str">
        <f aca="false">IF($A1386="","",IF(B1386=0,"No COD orders",IF(B1386&lt;Settings!$B$8,"Too few orders",IF(D1386&gt;=Settings!$B$9,"Restrict COD or verify","Keep COD"))))</f>
        <v/>
      </c>
    </row>
    <row r="1387" customFormat="false" ht="15" hidden="false" customHeight="false" outlineLevel="0" collapsed="false">
      <c r="A1387" s="27"/>
      <c r="B1387" s="17" t="str">
        <f aca="false">IF($A1387="","",COUNTIFS(Orders!$C$2:$C$20001,$A1387,Orders!$E$2:$E$20001,"COD",Orders!$F$2:$F$20001,"Delivered")+COUNTIFS(Orders!$C$2:$C$20001,$A1387,Orders!$E$2:$E$20001,"COD",Orders!$F$2:$F$20001,"RTO"))</f>
        <v/>
      </c>
      <c r="C1387" s="17" t="str">
        <f aca="false">IF($A1387="","",COUNTIFS(Orders!$C$2:$C$20001,$A1387,Orders!$E$2:$E$20001,"COD",Orders!$F$2:$F$20001,"RTO"))</f>
        <v/>
      </c>
      <c r="D1387" s="18" t="str">
        <f aca="false">IF($A1387="","",IFERROR(C1387/B1387,0))</f>
        <v/>
      </c>
      <c r="E1387" s="17" t="str">
        <f aca="false">IF($A1387="","",COUNTIFS(Orders!$C$2:$C$20001,$A1387,Orders!$E$2:$E$20001,"Prepaid",Orders!$F$2:$F$20001,"Delivered")+COUNTIFS(Orders!$C$2:$C$20001,$A1387,Orders!$E$2:$E$20001,"Prepaid",Orders!$F$2:$F$20001,"RTO"))</f>
        <v/>
      </c>
      <c r="F1387" s="17" t="str">
        <f aca="false">IF($A1387="","",COUNTIFS(Orders!$C$2:$C$20001,$A1387,Orders!$E$2:$E$20001,"Prepaid",Orders!$F$2:$F$20001,"RTO"))</f>
        <v/>
      </c>
      <c r="G1387" s="18" t="str">
        <f aca="false">IF($A1387="","",IFERROR(F1387/E1387,0))</f>
        <v/>
      </c>
      <c r="H1387" s="19" t="str">
        <f aca="false">IF($A1387="","",C1387*Settings!$B$11)</f>
        <v/>
      </c>
      <c r="I1387" s="20" t="str">
        <f aca="false">IF($A1387="","",IF(N(H1387)=0,"",RANK(H1387,$H$5:$H$2004)))</f>
        <v/>
      </c>
      <c r="J1387" s="21" t="str">
        <f aca="false">IF($A1387="","",IF(B1387=0,"No COD orders",IF(B1387&lt;Settings!$B$8,"Too few orders",IF(D1387&gt;=Settings!$B$9,"Restrict COD or verify","Keep COD"))))</f>
        <v/>
      </c>
    </row>
    <row r="1388" customFormat="false" ht="15" hidden="false" customHeight="false" outlineLevel="0" collapsed="false">
      <c r="A1388" s="27"/>
      <c r="B1388" s="17" t="str">
        <f aca="false">IF($A1388="","",COUNTIFS(Orders!$C$2:$C$20001,$A1388,Orders!$E$2:$E$20001,"COD",Orders!$F$2:$F$20001,"Delivered")+COUNTIFS(Orders!$C$2:$C$20001,$A1388,Orders!$E$2:$E$20001,"COD",Orders!$F$2:$F$20001,"RTO"))</f>
        <v/>
      </c>
      <c r="C1388" s="17" t="str">
        <f aca="false">IF($A1388="","",COUNTIFS(Orders!$C$2:$C$20001,$A1388,Orders!$E$2:$E$20001,"COD",Orders!$F$2:$F$20001,"RTO"))</f>
        <v/>
      </c>
      <c r="D1388" s="18" t="str">
        <f aca="false">IF($A1388="","",IFERROR(C1388/B1388,0))</f>
        <v/>
      </c>
      <c r="E1388" s="17" t="str">
        <f aca="false">IF($A1388="","",COUNTIFS(Orders!$C$2:$C$20001,$A1388,Orders!$E$2:$E$20001,"Prepaid",Orders!$F$2:$F$20001,"Delivered")+COUNTIFS(Orders!$C$2:$C$20001,$A1388,Orders!$E$2:$E$20001,"Prepaid",Orders!$F$2:$F$20001,"RTO"))</f>
        <v/>
      </c>
      <c r="F1388" s="17" t="str">
        <f aca="false">IF($A1388="","",COUNTIFS(Orders!$C$2:$C$20001,$A1388,Orders!$E$2:$E$20001,"Prepaid",Orders!$F$2:$F$20001,"RTO"))</f>
        <v/>
      </c>
      <c r="G1388" s="18" t="str">
        <f aca="false">IF($A1388="","",IFERROR(F1388/E1388,0))</f>
        <v/>
      </c>
      <c r="H1388" s="19" t="str">
        <f aca="false">IF($A1388="","",C1388*Settings!$B$11)</f>
        <v/>
      </c>
      <c r="I1388" s="20" t="str">
        <f aca="false">IF($A1388="","",IF(N(H1388)=0,"",RANK(H1388,$H$5:$H$2004)))</f>
        <v/>
      </c>
      <c r="J1388" s="21" t="str">
        <f aca="false">IF($A1388="","",IF(B1388=0,"No COD orders",IF(B1388&lt;Settings!$B$8,"Too few orders",IF(D1388&gt;=Settings!$B$9,"Restrict COD or verify","Keep COD"))))</f>
        <v/>
      </c>
    </row>
    <row r="1389" customFormat="false" ht="15" hidden="false" customHeight="false" outlineLevel="0" collapsed="false">
      <c r="A1389" s="27"/>
      <c r="B1389" s="17" t="str">
        <f aca="false">IF($A1389="","",COUNTIFS(Orders!$C$2:$C$20001,$A1389,Orders!$E$2:$E$20001,"COD",Orders!$F$2:$F$20001,"Delivered")+COUNTIFS(Orders!$C$2:$C$20001,$A1389,Orders!$E$2:$E$20001,"COD",Orders!$F$2:$F$20001,"RTO"))</f>
        <v/>
      </c>
      <c r="C1389" s="17" t="str">
        <f aca="false">IF($A1389="","",COUNTIFS(Orders!$C$2:$C$20001,$A1389,Orders!$E$2:$E$20001,"COD",Orders!$F$2:$F$20001,"RTO"))</f>
        <v/>
      </c>
      <c r="D1389" s="18" t="str">
        <f aca="false">IF($A1389="","",IFERROR(C1389/B1389,0))</f>
        <v/>
      </c>
      <c r="E1389" s="17" t="str">
        <f aca="false">IF($A1389="","",COUNTIFS(Orders!$C$2:$C$20001,$A1389,Orders!$E$2:$E$20001,"Prepaid",Orders!$F$2:$F$20001,"Delivered")+COUNTIFS(Orders!$C$2:$C$20001,$A1389,Orders!$E$2:$E$20001,"Prepaid",Orders!$F$2:$F$20001,"RTO"))</f>
        <v/>
      </c>
      <c r="F1389" s="17" t="str">
        <f aca="false">IF($A1389="","",COUNTIFS(Orders!$C$2:$C$20001,$A1389,Orders!$E$2:$E$20001,"Prepaid",Orders!$F$2:$F$20001,"RTO"))</f>
        <v/>
      </c>
      <c r="G1389" s="18" t="str">
        <f aca="false">IF($A1389="","",IFERROR(F1389/E1389,0))</f>
        <v/>
      </c>
      <c r="H1389" s="19" t="str">
        <f aca="false">IF($A1389="","",C1389*Settings!$B$11)</f>
        <v/>
      </c>
      <c r="I1389" s="20" t="str">
        <f aca="false">IF($A1389="","",IF(N(H1389)=0,"",RANK(H1389,$H$5:$H$2004)))</f>
        <v/>
      </c>
      <c r="J1389" s="21" t="str">
        <f aca="false">IF($A1389="","",IF(B1389=0,"No COD orders",IF(B1389&lt;Settings!$B$8,"Too few orders",IF(D1389&gt;=Settings!$B$9,"Restrict COD or verify","Keep COD"))))</f>
        <v/>
      </c>
    </row>
    <row r="1390" customFormat="false" ht="15" hidden="false" customHeight="false" outlineLevel="0" collapsed="false">
      <c r="A1390" s="27"/>
      <c r="B1390" s="17" t="str">
        <f aca="false">IF($A1390="","",COUNTIFS(Orders!$C$2:$C$20001,$A1390,Orders!$E$2:$E$20001,"COD",Orders!$F$2:$F$20001,"Delivered")+COUNTIFS(Orders!$C$2:$C$20001,$A1390,Orders!$E$2:$E$20001,"COD",Orders!$F$2:$F$20001,"RTO"))</f>
        <v/>
      </c>
      <c r="C1390" s="17" t="str">
        <f aca="false">IF($A1390="","",COUNTIFS(Orders!$C$2:$C$20001,$A1390,Orders!$E$2:$E$20001,"COD",Orders!$F$2:$F$20001,"RTO"))</f>
        <v/>
      </c>
      <c r="D1390" s="18" t="str">
        <f aca="false">IF($A1390="","",IFERROR(C1390/B1390,0))</f>
        <v/>
      </c>
      <c r="E1390" s="17" t="str">
        <f aca="false">IF($A1390="","",COUNTIFS(Orders!$C$2:$C$20001,$A1390,Orders!$E$2:$E$20001,"Prepaid",Orders!$F$2:$F$20001,"Delivered")+COUNTIFS(Orders!$C$2:$C$20001,$A1390,Orders!$E$2:$E$20001,"Prepaid",Orders!$F$2:$F$20001,"RTO"))</f>
        <v/>
      </c>
      <c r="F1390" s="17" t="str">
        <f aca="false">IF($A1390="","",COUNTIFS(Orders!$C$2:$C$20001,$A1390,Orders!$E$2:$E$20001,"Prepaid",Orders!$F$2:$F$20001,"RTO"))</f>
        <v/>
      </c>
      <c r="G1390" s="18" t="str">
        <f aca="false">IF($A1390="","",IFERROR(F1390/E1390,0))</f>
        <v/>
      </c>
      <c r="H1390" s="19" t="str">
        <f aca="false">IF($A1390="","",C1390*Settings!$B$11)</f>
        <v/>
      </c>
      <c r="I1390" s="20" t="str">
        <f aca="false">IF($A1390="","",IF(N(H1390)=0,"",RANK(H1390,$H$5:$H$2004)))</f>
        <v/>
      </c>
      <c r="J1390" s="21" t="str">
        <f aca="false">IF($A1390="","",IF(B1390=0,"No COD orders",IF(B1390&lt;Settings!$B$8,"Too few orders",IF(D1390&gt;=Settings!$B$9,"Restrict COD or verify","Keep COD"))))</f>
        <v/>
      </c>
    </row>
    <row r="1391" customFormat="false" ht="15" hidden="false" customHeight="false" outlineLevel="0" collapsed="false">
      <c r="A1391" s="27"/>
      <c r="B1391" s="17" t="str">
        <f aca="false">IF($A1391="","",COUNTIFS(Orders!$C$2:$C$20001,$A1391,Orders!$E$2:$E$20001,"COD",Orders!$F$2:$F$20001,"Delivered")+COUNTIFS(Orders!$C$2:$C$20001,$A1391,Orders!$E$2:$E$20001,"COD",Orders!$F$2:$F$20001,"RTO"))</f>
        <v/>
      </c>
      <c r="C1391" s="17" t="str">
        <f aca="false">IF($A1391="","",COUNTIFS(Orders!$C$2:$C$20001,$A1391,Orders!$E$2:$E$20001,"COD",Orders!$F$2:$F$20001,"RTO"))</f>
        <v/>
      </c>
      <c r="D1391" s="18" t="str">
        <f aca="false">IF($A1391="","",IFERROR(C1391/B1391,0))</f>
        <v/>
      </c>
      <c r="E1391" s="17" t="str">
        <f aca="false">IF($A1391="","",COUNTIFS(Orders!$C$2:$C$20001,$A1391,Orders!$E$2:$E$20001,"Prepaid",Orders!$F$2:$F$20001,"Delivered")+COUNTIFS(Orders!$C$2:$C$20001,$A1391,Orders!$E$2:$E$20001,"Prepaid",Orders!$F$2:$F$20001,"RTO"))</f>
        <v/>
      </c>
      <c r="F1391" s="17" t="str">
        <f aca="false">IF($A1391="","",COUNTIFS(Orders!$C$2:$C$20001,$A1391,Orders!$E$2:$E$20001,"Prepaid",Orders!$F$2:$F$20001,"RTO"))</f>
        <v/>
      </c>
      <c r="G1391" s="18" t="str">
        <f aca="false">IF($A1391="","",IFERROR(F1391/E1391,0))</f>
        <v/>
      </c>
      <c r="H1391" s="19" t="str">
        <f aca="false">IF($A1391="","",C1391*Settings!$B$11)</f>
        <v/>
      </c>
      <c r="I1391" s="20" t="str">
        <f aca="false">IF($A1391="","",IF(N(H1391)=0,"",RANK(H1391,$H$5:$H$2004)))</f>
        <v/>
      </c>
      <c r="J1391" s="21" t="str">
        <f aca="false">IF($A1391="","",IF(B1391=0,"No COD orders",IF(B1391&lt;Settings!$B$8,"Too few orders",IF(D1391&gt;=Settings!$B$9,"Restrict COD or verify","Keep COD"))))</f>
        <v/>
      </c>
    </row>
    <row r="1392" customFormat="false" ht="15" hidden="false" customHeight="false" outlineLevel="0" collapsed="false">
      <c r="A1392" s="27"/>
      <c r="B1392" s="17" t="str">
        <f aca="false">IF($A1392="","",COUNTIFS(Orders!$C$2:$C$20001,$A1392,Orders!$E$2:$E$20001,"COD",Orders!$F$2:$F$20001,"Delivered")+COUNTIFS(Orders!$C$2:$C$20001,$A1392,Orders!$E$2:$E$20001,"COD",Orders!$F$2:$F$20001,"RTO"))</f>
        <v/>
      </c>
      <c r="C1392" s="17" t="str">
        <f aca="false">IF($A1392="","",COUNTIFS(Orders!$C$2:$C$20001,$A1392,Orders!$E$2:$E$20001,"COD",Orders!$F$2:$F$20001,"RTO"))</f>
        <v/>
      </c>
      <c r="D1392" s="18" t="str">
        <f aca="false">IF($A1392="","",IFERROR(C1392/B1392,0))</f>
        <v/>
      </c>
      <c r="E1392" s="17" t="str">
        <f aca="false">IF($A1392="","",COUNTIFS(Orders!$C$2:$C$20001,$A1392,Orders!$E$2:$E$20001,"Prepaid",Orders!$F$2:$F$20001,"Delivered")+COUNTIFS(Orders!$C$2:$C$20001,$A1392,Orders!$E$2:$E$20001,"Prepaid",Orders!$F$2:$F$20001,"RTO"))</f>
        <v/>
      </c>
      <c r="F1392" s="17" t="str">
        <f aca="false">IF($A1392="","",COUNTIFS(Orders!$C$2:$C$20001,$A1392,Orders!$E$2:$E$20001,"Prepaid",Orders!$F$2:$F$20001,"RTO"))</f>
        <v/>
      </c>
      <c r="G1392" s="18" t="str">
        <f aca="false">IF($A1392="","",IFERROR(F1392/E1392,0))</f>
        <v/>
      </c>
      <c r="H1392" s="19" t="str">
        <f aca="false">IF($A1392="","",C1392*Settings!$B$11)</f>
        <v/>
      </c>
      <c r="I1392" s="20" t="str">
        <f aca="false">IF($A1392="","",IF(N(H1392)=0,"",RANK(H1392,$H$5:$H$2004)))</f>
        <v/>
      </c>
      <c r="J1392" s="21" t="str">
        <f aca="false">IF($A1392="","",IF(B1392=0,"No COD orders",IF(B1392&lt;Settings!$B$8,"Too few orders",IF(D1392&gt;=Settings!$B$9,"Restrict COD or verify","Keep COD"))))</f>
        <v/>
      </c>
    </row>
    <row r="1393" customFormat="false" ht="15" hidden="false" customHeight="false" outlineLevel="0" collapsed="false">
      <c r="A1393" s="27"/>
      <c r="B1393" s="17" t="str">
        <f aca="false">IF($A1393="","",COUNTIFS(Orders!$C$2:$C$20001,$A1393,Orders!$E$2:$E$20001,"COD",Orders!$F$2:$F$20001,"Delivered")+COUNTIFS(Orders!$C$2:$C$20001,$A1393,Orders!$E$2:$E$20001,"COD",Orders!$F$2:$F$20001,"RTO"))</f>
        <v/>
      </c>
      <c r="C1393" s="17" t="str">
        <f aca="false">IF($A1393="","",COUNTIFS(Orders!$C$2:$C$20001,$A1393,Orders!$E$2:$E$20001,"COD",Orders!$F$2:$F$20001,"RTO"))</f>
        <v/>
      </c>
      <c r="D1393" s="18" t="str">
        <f aca="false">IF($A1393="","",IFERROR(C1393/B1393,0))</f>
        <v/>
      </c>
      <c r="E1393" s="17" t="str">
        <f aca="false">IF($A1393="","",COUNTIFS(Orders!$C$2:$C$20001,$A1393,Orders!$E$2:$E$20001,"Prepaid",Orders!$F$2:$F$20001,"Delivered")+COUNTIFS(Orders!$C$2:$C$20001,$A1393,Orders!$E$2:$E$20001,"Prepaid",Orders!$F$2:$F$20001,"RTO"))</f>
        <v/>
      </c>
      <c r="F1393" s="17" t="str">
        <f aca="false">IF($A1393="","",COUNTIFS(Orders!$C$2:$C$20001,$A1393,Orders!$E$2:$E$20001,"Prepaid",Orders!$F$2:$F$20001,"RTO"))</f>
        <v/>
      </c>
      <c r="G1393" s="18" t="str">
        <f aca="false">IF($A1393="","",IFERROR(F1393/E1393,0))</f>
        <v/>
      </c>
      <c r="H1393" s="19" t="str">
        <f aca="false">IF($A1393="","",C1393*Settings!$B$11)</f>
        <v/>
      </c>
      <c r="I1393" s="20" t="str">
        <f aca="false">IF($A1393="","",IF(N(H1393)=0,"",RANK(H1393,$H$5:$H$2004)))</f>
        <v/>
      </c>
      <c r="J1393" s="21" t="str">
        <f aca="false">IF($A1393="","",IF(B1393=0,"No COD orders",IF(B1393&lt;Settings!$B$8,"Too few orders",IF(D1393&gt;=Settings!$B$9,"Restrict COD or verify","Keep COD"))))</f>
        <v/>
      </c>
    </row>
    <row r="1394" customFormat="false" ht="15" hidden="false" customHeight="false" outlineLevel="0" collapsed="false">
      <c r="A1394" s="27"/>
      <c r="B1394" s="17" t="str">
        <f aca="false">IF($A1394="","",COUNTIFS(Orders!$C$2:$C$20001,$A1394,Orders!$E$2:$E$20001,"COD",Orders!$F$2:$F$20001,"Delivered")+COUNTIFS(Orders!$C$2:$C$20001,$A1394,Orders!$E$2:$E$20001,"COD",Orders!$F$2:$F$20001,"RTO"))</f>
        <v/>
      </c>
      <c r="C1394" s="17" t="str">
        <f aca="false">IF($A1394="","",COUNTIFS(Orders!$C$2:$C$20001,$A1394,Orders!$E$2:$E$20001,"COD",Orders!$F$2:$F$20001,"RTO"))</f>
        <v/>
      </c>
      <c r="D1394" s="18" t="str">
        <f aca="false">IF($A1394="","",IFERROR(C1394/B1394,0))</f>
        <v/>
      </c>
      <c r="E1394" s="17" t="str">
        <f aca="false">IF($A1394="","",COUNTIFS(Orders!$C$2:$C$20001,$A1394,Orders!$E$2:$E$20001,"Prepaid",Orders!$F$2:$F$20001,"Delivered")+COUNTIFS(Orders!$C$2:$C$20001,$A1394,Orders!$E$2:$E$20001,"Prepaid",Orders!$F$2:$F$20001,"RTO"))</f>
        <v/>
      </c>
      <c r="F1394" s="17" t="str">
        <f aca="false">IF($A1394="","",COUNTIFS(Orders!$C$2:$C$20001,$A1394,Orders!$E$2:$E$20001,"Prepaid",Orders!$F$2:$F$20001,"RTO"))</f>
        <v/>
      </c>
      <c r="G1394" s="18" t="str">
        <f aca="false">IF($A1394="","",IFERROR(F1394/E1394,0))</f>
        <v/>
      </c>
      <c r="H1394" s="19" t="str">
        <f aca="false">IF($A1394="","",C1394*Settings!$B$11)</f>
        <v/>
      </c>
      <c r="I1394" s="20" t="str">
        <f aca="false">IF($A1394="","",IF(N(H1394)=0,"",RANK(H1394,$H$5:$H$2004)))</f>
        <v/>
      </c>
      <c r="J1394" s="21" t="str">
        <f aca="false">IF($A1394="","",IF(B1394=0,"No COD orders",IF(B1394&lt;Settings!$B$8,"Too few orders",IF(D1394&gt;=Settings!$B$9,"Restrict COD or verify","Keep COD"))))</f>
        <v/>
      </c>
    </row>
    <row r="1395" customFormat="false" ht="15" hidden="false" customHeight="false" outlineLevel="0" collapsed="false">
      <c r="A1395" s="27"/>
      <c r="B1395" s="17" t="str">
        <f aca="false">IF($A1395="","",COUNTIFS(Orders!$C$2:$C$20001,$A1395,Orders!$E$2:$E$20001,"COD",Orders!$F$2:$F$20001,"Delivered")+COUNTIFS(Orders!$C$2:$C$20001,$A1395,Orders!$E$2:$E$20001,"COD",Orders!$F$2:$F$20001,"RTO"))</f>
        <v/>
      </c>
      <c r="C1395" s="17" t="str">
        <f aca="false">IF($A1395="","",COUNTIFS(Orders!$C$2:$C$20001,$A1395,Orders!$E$2:$E$20001,"COD",Orders!$F$2:$F$20001,"RTO"))</f>
        <v/>
      </c>
      <c r="D1395" s="18" t="str">
        <f aca="false">IF($A1395="","",IFERROR(C1395/B1395,0))</f>
        <v/>
      </c>
      <c r="E1395" s="17" t="str">
        <f aca="false">IF($A1395="","",COUNTIFS(Orders!$C$2:$C$20001,$A1395,Orders!$E$2:$E$20001,"Prepaid",Orders!$F$2:$F$20001,"Delivered")+COUNTIFS(Orders!$C$2:$C$20001,$A1395,Orders!$E$2:$E$20001,"Prepaid",Orders!$F$2:$F$20001,"RTO"))</f>
        <v/>
      </c>
      <c r="F1395" s="17" t="str">
        <f aca="false">IF($A1395="","",COUNTIFS(Orders!$C$2:$C$20001,$A1395,Orders!$E$2:$E$20001,"Prepaid",Orders!$F$2:$F$20001,"RTO"))</f>
        <v/>
      </c>
      <c r="G1395" s="18" t="str">
        <f aca="false">IF($A1395="","",IFERROR(F1395/E1395,0))</f>
        <v/>
      </c>
      <c r="H1395" s="19" t="str">
        <f aca="false">IF($A1395="","",C1395*Settings!$B$11)</f>
        <v/>
      </c>
      <c r="I1395" s="20" t="str">
        <f aca="false">IF($A1395="","",IF(N(H1395)=0,"",RANK(H1395,$H$5:$H$2004)))</f>
        <v/>
      </c>
      <c r="J1395" s="21" t="str">
        <f aca="false">IF($A1395="","",IF(B1395=0,"No COD orders",IF(B1395&lt;Settings!$B$8,"Too few orders",IF(D1395&gt;=Settings!$B$9,"Restrict COD or verify","Keep COD"))))</f>
        <v/>
      </c>
    </row>
    <row r="1396" customFormat="false" ht="15" hidden="false" customHeight="false" outlineLevel="0" collapsed="false">
      <c r="A1396" s="27"/>
      <c r="B1396" s="17" t="str">
        <f aca="false">IF($A1396="","",COUNTIFS(Orders!$C$2:$C$20001,$A1396,Orders!$E$2:$E$20001,"COD",Orders!$F$2:$F$20001,"Delivered")+COUNTIFS(Orders!$C$2:$C$20001,$A1396,Orders!$E$2:$E$20001,"COD",Orders!$F$2:$F$20001,"RTO"))</f>
        <v/>
      </c>
      <c r="C1396" s="17" t="str">
        <f aca="false">IF($A1396="","",COUNTIFS(Orders!$C$2:$C$20001,$A1396,Orders!$E$2:$E$20001,"COD",Orders!$F$2:$F$20001,"RTO"))</f>
        <v/>
      </c>
      <c r="D1396" s="18" t="str">
        <f aca="false">IF($A1396="","",IFERROR(C1396/B1396,0))</f>
        <v/>
      </c>
      <c r="E1396" s="17" t="str">
        <f aca="false">IF($A1396="","",COUNTIFS(Orders!$C$2:$C$20001,$A1396,Orders!$E$2:$E$20001,"Prepaid",Orders!$F$2:$F$20001,"Delivered")+COUNTIFS(Orders!$C$2:$C$20001,$A1396,Orders!$E$2:$E$20001,"Prepaid",Orders!$F$2:$F$20001,"RTO"))</f>
        <v/>
      </c>
      <c r="F1396" s="17" t="str">
        <f aca="false">IF($A1396="","",COUNTIFS(Orders!$C$2:$C$20001,$A1396,Orders!$E$2:$E$20001,"Prepaid",Orders!$F$2:$F$20001,"RTO"))</f>
        <v/>
      </c>
      <c r="G1396" s="18" t="str">
        <f aca="false">IF($A1396="","",IFERROR(F1396/E1396,0))</f>
        <v/>
      </c>
      <c r="H1396" s="19" t="str">
        <f aca="false">IF($A1396="","",C1396*Settings!$B$11)</f>
        <v/>
      </c>
      <c r="I1396" s="20" t="str">
        <f aca="false">IF($A1396="","",IF(N(H1396)=0,"",RANK(H1396,$H$5:$H$2004)))</f>
        <v/>
      </c>
      <c r="J1396" s="21" t="str">
        <f aca="false">IF($A1396="","",IF(B1396=0,"No COD orders",IF(B1396&lt;Settings!$B$8,"Too few orders",IF(D1396&gt;=Settings!$B$9,"Restrict COD or verify","Keep COD"))))</f>
        <v/>
      </c>
    </row>
    <row r="1397" customFormat="false" ht="15" hidden="false" customHeight="false" outlineLevel="0" collapsed="false">
      <c r="A1397" s="27"/>
      <c r="B1397" s="17" t="str">
        <f aca="false">IF($A1397="","",COUNTIFS(Orders!$C$2:$C$20001,$A1397,Orders!$E$2:$E$20001,"COD",Orders!$F$2:$F$20001,"Delivered")+COUNTIFS(Orders!$C$2:$C$20001,$A1397,Orders!$E$2:$E$20001,"COD",Orders!$F$2:$F$20001,"RTO"))</f>
        <v/>
      </c>
      <c r="C1397" s="17" t="str">
        <f aca="false">IF($A1397="","",COUNTIFS(Orders!$C$2:$C$20001,$A1397,Orders!$E$2:$E$20001,"COD",Orders!$F$2:$F$20001,"RTO"))</f>
        <v/>
      </c>
      <c r="D1397" s="18" t="str">
        <f aca="false">IF($A1397="","",IFERROR(C1397/B1397,0))</f>
        <v/>
      </c>
      <c r="E1397" s="17" t="str">
        <f aca="false">IF($A1397="","",COUNTIFS(Orders!$C$2:$C$20001,$A1397,Orders!$E$2:$E$20001,"Prepaid",Orders!$F$2:$F$20001,"Delivered")+COUNTIFS(Orders!$C$2:$C$20001,$A1397,Orders!$E$2:$E$20001,"Prepaid",Orders!$F$2:$F$20001,"RTO"))</f>
        <v/>
      </c>
      <c r="F1397" s="17" t="str">
        <f aca="false">IF($A1397="","",COUNTIFS(Orders!$C$2:$C$20001,$A1397,Orders!$E$2:$E$20001,"Prepaid",Orders!$F$2:$F$20001,"RTO"))</f>
        <v/>
      </c>
      <c r="G1397" s="18" t="str">
        <f aca="false">IF($A1397="","",IFERROR(F1397/E1397,0))</f>
        <v/>
      </c>
      <c r="H1397" s="19" t="str">
        <f aca="false">IF($A1397="","",C1397*Settings!$B$11)</f>
        <v/>
      </c>
      <c r="I1397" s="20" t="str">
        <f aca="false">IF($A1397="","",IF(N(H1397)=0,"",RANK(H1397,$H$5:$H$2004)))</f>
        <v/>
      </c>
      <c r="J1397" s="21" t="str">
        <f aca="false">IF($A1397="","",IF(B1397=0,"No COD orders",IF(B1397&lt;Settings!$B$8,"Too few orders",IF(D1397&gt;=Settings!$B$9,"Restrict COD or verify","Keep COD"))))</f>
        <v/>
      </c>
    </row>
    <row r="1398" customFormat="false" ht="15" hidden="false" customHeight="false" outlineLevel="0" collapsed="false">
      <c r="A1398" s="27"/>
      <c r="B1398" s="17" t="str">
        <f aca="false">IF($A1398="","",COUNTIFS(Orders!$C$2:$C$20001,$A1398,Orders!$E$2:$E$20001,"COD",Orders!$F$2:$F$20001,"Delivered")+COUNTIFS(Orders!$C$2:$C$20001,$A1398,Orders!$E$2:$E$20001,"COD",Orders!$F$2:$F$20001,"RTO"))</f>
        <v/>
      </c>
      <c r="C1398" s="17" t="str">
        <f aca="false">IF($A1398="","",COUNTIFS(Orders!$C$2:$C$20001,$A1398,Orders!$E$2:$E$20001,"COD",Orders!$F$2:$F$20001,"RTO"))</f>
        <v/>
      </c>
      <c r="D1398" s="18" t="str">
        <f aca="false">IF($A1398="","",IFERROR(C1398/B1398,0))</f>
        <v/>
      </c>
      <c r="E1398" s="17" t="str">
        <f aca="false">IF($A1398="","",COUNTIFS(Orders!$C$2:$C$20001,$A1398,Orders!$E$2:$E$20001,"Prepaid",Orders!$F$2:$F$20001,"Delivered")+COUNTIFS(Orders!$C$2:$C$20001,$A1398,Orders!$E$2:$E$20001,"Prepaid",Orders!$F$2:$F$20001,"RTO"))</f>
        <v/>
      </c>
      <c r="F1398" s="17" t="str">
        <f aca="false">IF($A1398="","",COUNTIFS(Orders!$C$2:$C$20001,$A1398,Orders!$E$2:$E$20001,"Prepaid",Orders!$F$2:$F$20001,"RTO"))</f>
        <v/>
      </c>
      <c r="G1398" s="18" t="str">
        <f aca="false">IF($A1398="","",IFERROR(F1398/E1398,0))</f>
        <v/>
      </c>
      <c r="H1398" s="19" t="str">
        <f aca="false">IF($A1398="","",C1398*Settings!$B$11)</f>
        <v/>
      </c>
      <c r="I1398" s="20" t="str">
        <f aca="false">IF($A1398="","",IF(N(H1398)=0,"",RANK(H1398,$H$5:$H$2004)))</f>
        <v/>
      </c>
      <c r="J1398" s="21" t="str">
        <f aca="false">IF($A1398="","",IF(B1398=0,"No COD orders",IF(B1398&lt;Settings!$B$8,"Too few orders",IF(D1398&gt;=Settings!$B$9,"Restrict COD or verify","Keep COD"))))</f>
        <v/>
      </c>
    </row>
    <row r="1399" customFormat="false" ht="15" hidden="false" customHeight="false" outlineLevel="0" collapsed="false">
      <c r="A1399" s="27"/>
      <c r="B1399" s="17" t="str">
        <f aca="false">IF($A1399="","",COUNTIFS(Orders!$C$2:$C$20001,$A1399,Orders!$E$2:$E$20001,"COD",Orders!$F$2:$F$20001,"Delivered")+COUNTIFS(Orders!$C$2:$C$20001,$A1399,Orders!$E$2:$E$20001,"COD",Orders!$F$2:$F$20001,"RTO"))</f>
        <v/>
      </c>
      <c r="C1399" s="17" t="str">
        <f aca="false">IF($A1399="","",COUNTIFS(Orders!$C$2:$C$20001,$A1399,Orders!$E$2:$E$20001,"COD",Orders!$F$2:$F$20001,"RTO"))</f>
        <v/>
      </c>
      <c r="D1399" s="18" t="str">
        <f aca="false">IF($A1399="","",IFERROR(C1399/B1399,0))</f>
        <v/>
      </c>
      <c r="E1399" s="17" t="str">
        <f aca="false">IF($A1399="","",COUNTIFS(Orders!$C$2:$C$20001,$A1399,Orders!$E$2:$E$20001,"Prepaid",Orders!$F$2:$F$20001,"Delivered")+COUNTIFS(Orders!$C$2:$C$20001,$A1399,Orders!$E$2:$E$20001,"Prepaid",Orders!$F$2:$F$20001,"RTO"))</f>
        <v/>
      </c>
      <c r="F1399" s="17" t="str">
        <f aca="false">IF($A1399="","",COUNTIFS(Orders!$C$2:$C$20001,$A1399,Orders!$E$2:$E$20001,"Prepaid",Orders!$F$2:$F$20001,"RTO"))</f>
        <v/>
      </c>
      <c r="G1399" s="18" t="str">
        <f aca="false">IF($A1399="","",IFERROR(F1399/E1399,0))</f>
        <v/>
      </c>
      <c r="H1399" s="19" t="str">
        <f aca="false">IF($A1399="","",C1399*Settings!$B$11)</f>
        <v/>
      </c>
      <c r="I1399" s="20" t="str">
        <f aca="false">IF($A1399="","",IF(N(H1399)=0,"",RANK(H1399,$H$5:$H$2004)))</f>
        <v/>
      </c>
      <c r="J1399" s="21" t="str">
        <f aca="false">IF($A1399="","",IF(B1399=0,"No COD orders",IF(B1399&lt;Settings!$B$8,"Too few orders",IF(D1399&gt;=Settings!$B$9,"Restrict COD or verify","Keep COD"))))</f>
        <v/>
      </c>
    </row>
    <row r="1400" customFormat="false" ht="15" hidden="false" customHeight="false" outlineLevel="0" collapsed="false">
      <c r="A1400" s="27"/>
      <c r="B1400" s="17" t="str">
        <f aca="false">IF($A1400="","",COUNTIFS(Orders!$C$2:$C$20001,$A1400,Orders!$E$2:$E$20001,"COD",Orders!$F$2:$F$20001,"Delivered")+COUNTIFS(Orders!$C$2:$C$20001,$A1400,Orders!$E$2:$E$20001,"COD",Orders!$F$2:$F$20001,"RTO"))</f>
        <v/>
      </c>
      <c r="C1400" s="17" t="str">
        <f aca="false">IF($A1400="","",COUNTIFS(Orders!$C$2:$C$20001,$A1400,Orders!$E$2:$E$20001,"COD",Orders!$F$2:$F$20001,"RTO"))</f>
        <v/>
      </c>
      <c r="D1400" s="18" t="str">
        <f aca="false">IF($A1400="","",IFERROR(C1400/B1400,0))</f>
        <v/>
      </c>
      <c r="E1400" s="17" t="str">
        <f aca="false">IF($A1400="","",COUNTIFS(Orders!$C$2:$C$20001,$A1400,Orders!$E$2:$E$20001,"Prepaid",Orders!$F$2:$F$20001,"Delivered")+COUNTIFS(Orders!$C$2:$C$20001,$A1400,Orders!$E$2:$E$20001,"Prepaid",Orders!$F$2:$F$20001,"RTO"))</f>
        <v/>
      </c>
      <c r="F1400" s="17" t="str">
        <f aca="false">IF($A1400="","",COUNTIFS(Orders!$C$2:$C$20001,$A1400,Orders!$E$2:$E$20001,"Prepaid",Orders!$F$2:$F$20001,"RTO"))</f>
        <v/>
      </c>
      <c r="G1400" s="18" t="str">
        <f aca="false">IF($A1400="","",IFERROR(F1400/E1400,0))</f>
        <v/>
      </c>
      <c r="H1400" s="19" t="str">
        <f aca="false">IF($A1400="","",C1400*Settings!$B$11)</f>
        <v/>
      </c>
      <c r="I1400" s="20" t="str">
        <f aca="false">IF($A1400="","",IF(N(H1400)=0,"",RANK(H1400,$H$5:$H$2004)))</f>
        <v/>
      </c>
      <c r="J1400" s="21" t="str">
        <f aca="false">IF($A1400="","",IF(B1400=0,"No COD orders",IF(B1400&lt;Settings!$B$8,"Too few orders",IF(D1400&gt;=Settings!$B$9,"Restrict COD or verify","Keep COD"))))</f>
        <v/>
      </c>
    </row>
    <row r="1401" customFormat="false" ht="15" hidden="false" customHeight="false" outlineLevel="0" collapsed="false">
      <c r="A1401" s="27"/>
      <c r="B1401" s="17" t="str">
        <f aca="false">IF($A1401="","",COUNTIFS(Orders!$C$2:$C$20001,$A1401,Orders!$E$2:$E$20001,"COD",Orders!$F$2:$F$20001,"Delivered")+COUNTIFS(Orders!$C$2:$C$20001,$A1401,Orders!$E$2:$E$20001,"COD",Orders!$F$2:$F$20001,"RTO"))</f>
        <v/>
      </c>
      <c r="C1401" s="17" t="str">
        <f aca="false">IF($A1401="","",COUNTIFS(Orders!$C$2:$C$20001,$A1401,Orders!$E$2:$E$20001,"COD",Orders!$F$2:$F$20001,"RTO"))</f>
        <v/>
      </c>
      <c r="D1401" s="18" t="str">
        <f aca="false">IF($A1401="","",IFERROR(C1401/B1401,0))</f>
        <v/>
      </c>
      <c r="E1401" s="17" t="str">
        <f aca="false">IF($A1401="","",COUNTIFS(Orders!$C$2:$C$20001,$A1401,Orders!$E$2:$E$20001,"Prepaid",Orders!$F$2:$F$20001,"Delivered")+COUNTIFS(Orders!$C$2:$C$20001,$A1401,Orders!$E$2:$E$20001,"Prepaid",Orders!$F$2:$F$20001,"RTO"))</f>
        <v/>
      </c>
      <c r="F1401" s="17" t="str">
        <f aca="false">IF($A1401="","",COUNTIFS(Orders!$C$2:$C$20001,$A1401,Orders!$E$2:$E$20001,"Prepaid",Orders!$F$2:$F$20001,"RTO"))</f>
        <v/>
      </c>
      <c r="G1401" s="18" t="str">
        <f aca="false">IF($A1401="","",IFERROR(F1401/E1401,0))</f>
        <v/>
      </c>
      <c r="H1401" s="19" t="str">
        <f aca="false">IF($A1401="","",C1401*Settings!$B$11)</f>
        <v/>
      </c>
      <c r="I1401" s="20" t="str">
        <f aca="false">IF($A1401="","",IF(N(H1401)=0,"",RANK(H1401,$H$5:$H$2004)))</f>
        <v/>
      </c>
      <c r="J1401" s="21" t="str">
        <f aca="false">IF($A1401="","",IF(B1401=0,"No COD orders",IF(B1401&lt;Settings!$B$8,"Too few orders",IF(D1401&gt;=Settings!$B$9,"Restrict COD or verify","Keep COD"))))</f>
        <v/>
      </c>
    </row>
    <row r="1402" customFormat="false" ht="15" hidden="false" customHeight="false" outlineLevel="0" collapsed="false">
      <c r="A1402" s="27"/>
      <c r="B1402" s="17" t="str">
        <f aca="false">IF($A1402="","",COUNTIFS(Orders!$C$2:$C$20001,$A1402,Orders!$E$2:$E$20001,"COD",Orders!$F$2:$F$20001,"Delivered")+COUNTIFS(Orders!$C$2:$C$20001,$A1402,Orders!$E$2:$E$20001,"COD",Orders!$F$2:$F$20001,"RTO"))</f>
        <v/>
      </c>
      <c r="C1402" s="17" t="str">
        <f aca="false">IF($A1402="","",COUNTIFS(Orders!$C$2:$C$20001,$A1402,Orders!$E$2:$E$20001,"COD",Orders!$F$2:$F$20001,"RTO"))</f>
        <v/>
      </c>
      <c r="D1402" s="18" t="str">
        <f aca="false">IF($A1402="","",IFERROR(C1402/B1402,0))</f>
        <v/>
      </c>
      <c r="E1402" s="17" t="str">
        <f aca="false">IF($A1402="","",COUNTIFS(Orders!$C$2:$C$20001,$A1402,Orders!$E$2:$E$20001,"Prepaid",Orders!$F$2:$F$20001,"Delivered")+COUNTIFS(Orders!$C$2:$C$20001,$A1402,Orders!$E$2:$E$20001,"Prepaid",Orders!$F$2:$F$20001,"RTO"))</f>
        <v/>
      </c>
      <c r="F1402" s="17" t="str">
        <f aca="false">IF($A1402="","",COUNTIFS(Orders!$C$2:$C$20001,$A1402,Orders!$E$2:$E$20001,"Prepaid",Orders!$F$2:$F$20001,"RTO"))</f>
        <v/>
      </c>
      <c r="G1402" s="18" t="str">
        <f aca="false">IF($A1402="","",IFERROR(F1402/E1402,0))</f>
        <v/>
      </c>
      <c r="H1402" s="19" t="str">
        <f aca="false">IF($A1402="","",C1402*Settings!$B$11)</f>
        <v/>
      </c>
      <c r="I1402" s="20" t="str">
        <f aca="false">IF($A1402="","",IF(N(H1402)=0,"",RANK(H1402,$H$5:$H$2004)))</f>
        <v/>
      </c>
      <c r="J1402" s="21" t="str">
        <f aca="false">IF($A1402="","",IF(B1402=0,"No COD orders",IF(B1402&lt;Settings!$B$8,"Too few orders",IF(D1402&gt;=Settings!$B$9,"Restrict COD or verify","Keep COD"))))</f>
        <v/>
      </c>
    </row>
    <row r="1403" customFormat="false" ht="15" hidden="false" customHeight="false" outlineLevel="0" collapsed="false">
      <c r="A1403" s="27"/>
      <c r="B1403" s="17" t="str">
        <f aca="false">IF($A1403="","",COUNTIFS(Orders!$C$2:$C$20001,$A1403,Orders!$E$2:$E$20001,"COD",Orders!$F$2:$F$20001,"Delivered")+COUNTIFS(Orders!$C$2:$C$20001,$A1403,Orders!$E$2:$E$20001,"COD",Orders!$F$2:$F$20001,"RTO"))</f>
        <v/>
      </c>
      <c r="C1403" s="17" t="str">
        <f aca="false">IF($A1403="","",COUNTIFS(Orders!$C$2:$C$20001,$A1403,Orders!$E$2:$E$20001,"COD",Orders!$F$2:$F$20001,"RTO"))</f>
        <v/>
      </c>
      <c r="D1403" s="18" t="str">
        <f aca="false">IF($A1403="","",IFERROR(C1403/B1403,0))</f>
        <v/>
      </c>
      <c r="E1403" s="17" t="str">
        <f aca="false">IF($A1403="","",COUNTIFS(Orders!$C$2:$C$20001,$A1403,Orders!$E$2:$E$20001,"Prepaid",Orders!$F$2:$F$20001,"Delivered")+COUNTIFS(Orders!$C$2:$C$20001,$A1403,Orders!$E$2:$E$20001,"Prepaid",Orders!$F$2:$F$20001,"RTO"))</f>
        <v/>
      </c>
      <c r="F1403" s="17" t="str">
        <f aca="false">IF($A1403="","",COUNTIFS(Orders!$C$2:$C$20001,$A1403,Orders!$E$2:$E$20001,"Prepaid",Orders!$F$2:$F$20001,"RTO"))</f>
        <v/>
      </c>
      <c r="G1403" s="18" t="str">
        <f aca="false">IF($A1403="","",IFERROR(F1403/E1403,0))</f>
        <v/>
      </c>
      <c r="H1403" s="19" t="str">
        <f aca="false">IF($A1403="","",C1403*Settings!$B$11)</f>
        <v/>
      </c>
      <c r="I1403" s="20" t="str">
        <f aca="false">IF($A1403="","",IF(N(H1403)=0,"",RANK(H1403,$H$5:$H$2004)))</f>
        <v/>
      </c>
      <c r="J1403" s="21" t="str">
        <f aca="false">IF($A1403="","",IF(B1403=0,"No COD orders",IF(B1403&lt;Settings!$B$8,"Too few orders",IF(D1403&gt;=Settings!$B$9,"Restrict COD or verify","Keep COD"))))</f>
        <v/>
      </c>
    </row>
    <row r="1404" customFormat="false" ht="15" hidden="false" customHeight="false" outlineLevel="0" collapsed="false">
      <c r="A1404" s="27"/>
      <c r="B1404" s="17" t="str">
        <f aca="false">IF($A1404="","",COUNTIFS(Orders!$C$2:$C$20001,$A1404,Orders!$E$2:$E$20001,"COD",Orders!$F$2:$F$20001,"Delivered")+COUNTIFS(Orders!$C$2:$C$20001,$A1404,Orders!$E$2:$E$20001,"COD",Orders!$F$2:$F$20001,"RTO"))</f>
        <v/>
      </c>
      <c r="C1404" s="17" t="str">
        <f aca="false">IF($A1404="","",COUNTIFS(Orders!$C$2:$C$20001,$A1404,Orders!$E$2:$E$20001,"COD",Orders!$F$2:$F$20001,"RTO"))</f>
        <v/>
      </c>
      <c r="D1404" s="18" t="str">
        <f aca="false">IF($A1404="","",IFERROR(C1404/B1404,0))</f>
        <v/>
      </c>
      <c r="E1404" s="17" t="str">
        <f aca="false">IF($A1404="","",COUNTIFS(Orders!$C$2:$C$20001,$A1404,Orders!$E$2:$E$20001,"Prepaid",Orders!$F$2:$F$20001,"Delivered")+COUNTIFS(Orders!$C$2:$C$20001,$A1404,Orders!$E$2:$E$20001,"Prepaid",Orders!$F$2:$F$20001,"RTO"))</f>
        <v/>
      </c>
      <c r="F1404" s="17" t="str">
        <f aca="false">IF($A1404="","",COUNTIFS(Orders!$C$2:$C$20001,$A1404,Orders!$E$2:$E$20001,"Prepaid",Orders!$F$2:$F$20001,"RTO"))</f>
        <v/>
      </c>
      <c r="G1404" s="18" t="str">
        <f aca="false">IF($A1404="","",IFERROR(F1404/E1404,0))</f>
        <v/>
      </c>
      <c r="H1404" s="19" t="str">
        <f aca="false">IF($A1404="","",C1404*Settings!$B$11)</f>
        <v/>
      </c>
      <c r="I1404" s="20" t="str">
        <f aca="false">IF($A1404="","",IF(N(H1404)=0,"",RANK(H1404,$H$5:$H$2004)))</f>
        <v/>
      </c>
      <c r="J1404" s="21" t="str">
        <f aca="false">IF($A1404="","",IF(B1404=0,"No COD orders",IF(B1404&lt;Settings!$B$8,"Too few orders",IF(D1404&gt;=Settings!$B$9,"Restrict COD or verify","Keep COD"))))</f>
        <v/>
      </c>
    </row>
    <row r="1405" customFormat="false" ht="15" hidden="false" customHeight="false" outlineLevel="0" collapsed="false">
      <c r="A1405" s="27"/>
      <c r="B1405" s="17" t="str">
        <f aca="false">IF($A1405="","",COUNTIFS(Orders!$C$2:$C$20001,$A1405,Orders!$E$2:$E$20001,"COD",Orders!$F$2:$F$20001,"Delivered")+COUNTIFS(Orders!$C$2:$C$20001,$A1405,Orders!$E$2:$E$20001,"COD",Orders!$F$2:$F$20001,"RTO"))</f>
        <v/>
      </c>
      <c r="C1405" s="17" t="str">
        <f aca="false">IF($A1405="","",COUNTIFS(Orders!$C$2:$C$20001,$A1405,Orders!$E$2:$E$20001,"COD",Orders!$F$2:$F$20001,"RTO"))</f>
        <v/>
      </c>
      <c r="D1405" s="18" t="str">
        <f aca="false">IF($A1405="","",IFERROR(C1405/B1405,0))</f>
        <v/>
      </c>
      <c r="E1405" s="17" t="str">
        <f aca="false">IF($A1405="","",COUNTIFS(Orders!$C$2:$C$20001,$A1405,Orders!$E$2:$E$20001,"Prepaid",Orders!$F$2:$F$20001,"Delivered")+COUNTIFS(Orders!$C$2:$C$20001,$A1405,Orders!$E$2:$E$20001,"Prepaid",Orders!$F$2:$F$20001,"RTO"))</f>
        <v/>
      </c>
      <c r="F1405" s="17" t="str">
        <f aca="false">IF($A1405="","",COUNTIFS(Orders!$C$2:$C$20001,$A1405,Orders!$E$2:$E$20001,"Prepaid",Orders!$F$2:$F$20001,"RTO"))</f>
        <v/>
      </c>
      <c r="G1405" s="18" t="str">
        <f aca="false">IF($A1405="","",IFERROR(F1405/E1405,0))</f>
        <v/>
      </c>
      <c r="H1405" s="19" t="str">
        <f aca="false">IF($A1405="","",C1405*Settings!$B$11)</f>
        <v/>
      </c>
      <c r="I1405" s="20" t="str">
        <f aca="false">IF($A1405="","",IF(N(H1405)=0,"",RANK(H1405,$H$5:$H$2004)))</f>
        <v/>
      </c>
      <c r="J1405" s="21" t="str">
        <f aca="false">IF($A1405="","",IF(B1405=0,"No COD orders",IF(B1405&lt;Settings!$B$8,"Too few orders",IF(D1405&gt;=Settings!$B$9,"Restrict COD or verify","Keep COD"))))</f>
        <v/>
      </c>
    </row>
    <row r="1406" customFormat="false" ht="15" hidden="false" customHeight="false" outlineLevel="0" collapsed="false">
      <c r="A1406" s="27"/>
      <c r="B1406" s="17" t="str">
        <f aca="false">IF($A1406="","",COUNTIFS(Orders!$C$2:$C$20001,$A1406,Orders!$E$2:$E$20001,"COD",Orders!$F$2:$F$20001,"Delivered")+COUNTIFS(Orders!$C$2:$C$20001,$A1406,Orders!$E$2:$E$20001,"COD",Orders!$F$2:$F$20001,"RTO"))</f>
        <v/>
      </c>
      <c r="C1406" s="17" t="str">
        <f aca="false">IF($A1406="","",COUNTIFS(Orders!$C$2:$C$20001,$A1406,Orders!$E$2:$E$20001,"COD",Orders!$F$2:$F$20001,"RTO"))</f>
        <v/>
      </c>
      <c r="D1406" s="18" t="str">
        <f aca="false">IF($A1406="","",IFERROR(C1406/B1406,0))</f>
        <v/>
      </c>
      <c r="E1406" s="17" t="str">
        <f aca="false">IF($A1406="","",COUNTIFS(Orders!$C$2:$C$20001,$A1406,Orders!$E$2:$E$20001,"Prepaid",Orders!$F$2:$F$20001,"Delivered")+COUNTIFS(Orders!$C$2:$C$20001,$A1406,Orders!$E$2:$E$20001,"Prepaid",Orders!$F$2:$F$20001,"RTO"))</f>
        <v/>
      </c>
      <c r="F1406" s="17" t="str">
        <f aca="false">IF($A1406="","",COUNTIFS(Orders!$C$2:$C$20001,$A1406,Orders!$E$2:$E$20001,"Prepaid",Orders!$F$2:$F$20001,"RTO"))</f>
        <v/>
      </c>
      <c r="G1406" s="18" t="str">
        <f aca="false">IF($A1406="","",IFERROR(F1406/E1406,0))</f>
        <v/>
      </c>
      <c r="H1406" s="19" t="str">
        <f aca="false">IF($A1406="","",C1406*Settings!$B$11)</f>
        <v/>
      </c>
      <c r="I1406" s="20" t="str">
        <f aca="false">IF($A1406="","",IF(N(H1406)=0,"",RANK(H1406,$H$5:$H$2004)))</f>
        <v/>
      </c>
      <c r="J1406" s="21" t="str">
        <f aca="false">IF($A1406="","",IF(B1406=0,"No COD orders",IF(B1406&lt;Settings!$B$8,"Too few orders",IF(D1406&gt;=Settings!$B$9,"Restrict COD or verify","Keep COD"))))</f>
        <v/>
      </c>
    </row>
    <row r="1407" customFormat="false" ht="15" hidden="false" customHeight="false" outlineLevel="0" collapsed="false">
      <c r="A1407" s="27"/>
      <c r="B1407" s="17" t="str">
        <f aca="false">IF($A1407="","",COUNTIFS(Orders!$C$2:$C$20001,$A1407,Orders!$E$2:$E$20001,"COD",Orders!$F$2:$F$20001,"Delivered")+COUNTIFS(Orders!$C$2:$C$20001,$A1407,Orders!$E$2:$E$20001,"COD",Orders!$F$2:$F$20001,"RTO"))</f>
        <v/>
      </c>
      <c r="C1407" s="17" t="str">
        <f aca="false">IF($A1407="","",COUNTIFS(Orders!$C$2:$C$20001,$A1407,Orders!$E$2:$E$20001,"COD",Orders!$F$2:$F$20001,"RTO"))</f>
        <v/>
      </c>
      <c r="D1407" s="18" t="str">
        <f aca="false">IF($A1407="","",IFERROR(C1407/B1407,0))</f>
        <v/>
      </c>
      <c r="E1407" s="17" t="str">
        <f aca="false">IF($A1407="","",COUNTIFS(Orders!$C$2:$C$20001,$A1407,Orders!$E$2:$E$20001,"Prepaid",Orders!$F$2:$F$20001,"Delivered")+COUNTIFS(Orders!$C$2:$C$20001,$A1407,Orders!$E$2:$E$20001,"Prepaid",Orders!$F$2:$F$20001,"RTO"))</f>
        <v/>
      </c>
      <c r="F1407" s="17" t="str">
        <f aca="false">IF($A1407="","",COUNTIFS(Orders!$C$2:$C$20001,$A1407,Orders!$E$2:$E$20001,"Prepaid",Orders!$F$2:$F$20001,"RTO"))</f>
        <v/>
      </c>
      <c r="G1407" s="18" t="str">
        <f aca="false">IF($A1407="","",IFERROR(F1407/E1407,0))</f>
        <v/>
      </c>
      <c r="H1407" s="19" t="str">
        <f aca="false">IF($A1407="","",C1407*Settings!$B$11)</f>
        <v/>
      </c>
      <c r="I1407" s="20" t="str">
        <f aca="false">IF($A1407="","",IF(N(H1407)=0,"",RANK(H1407,$H$5:$H$2004)))</f>
        <v/>
      </c>
      <c r="J1407" s="21" t="str">
        <f aca="false">IF($A1407="","",IF(B1407=0,"No COD orders",IF(B1407&lt;Settings!$B$8,"Too few orders",IF(D1407&gt;=Settings!$B$9,"Restrict COD or verify","Keep COD"))))</f>
        <v/>
      </c>
    </row>
    <row r="1408" customFormat="false" ht="15" hidden="false" customHeight="false" outlineLevel="0" collapsed="false">
      <c r="A1408" s="27"/>
      <c r="B1408" s="17" t="str">
        <f aca="false">IF($A1408="","",COUNTIFS(Orders!$C$2:$C$20001,$A1408,Orders!$E$2:$E$20001,"COD",Orders!$F$2:$F$20001,"Delivered")+COUNTIFS(Orders!$C$2:$C$20001,$A1408,Orders!$E$2:$E$20001,"COD",Orders!$F$2:$F$20001,"RTO"))</f>
        <v/>
      </c>
      <c r="C1408" s="17" t="str">
        <f aca="false">IF($A1408="","",COUNTIFS(Orders!$C$2:$C$20001,$A1408,Orders!$E$2:$E$20001,"COD",Orders!$F$2:$F$20001,"RTO"))</f>
        <v/>
      </c>
      <c r="D1408" s="18" t="str">
        <f aca="false">IF($A1408="","",IFERROR(C1408/B1408,0))</f>
        <v/>
      </c>
      <c r="E1408" s="17" t="str">
        <f aca="false">IF($A1408="","",COUNTIFS(Orders!$C$2:$C$20001,$A1408,Orders!$E$2:$E$20001,"Prepaid",Orders!$F$2:$F$20001,"Delivered")+COUNTIFS(Orders!$C$2:$C$20001,$A1408,Orders!$E$2:$E$20001,"Prepaid",Orders!$F$2:$F$20001,"RTO"))</f>
        <v/>
      </c>
      <c r="F1408" s="17" t="str">
        <f aca="false">IF($A1408="","",COUNTIFS(Orders!$C$2:$C$20001,$A1408,Orders!$E$2:$E$20001,"Prepaid",Orders!$F$2:$F$20001,"RTO"))</f>
        <v/>
      </c>
      <c r="G1408" s="18" t="str">
        <f aca="false">IF($A1408="","",IFERROR(F1408/E1408,0))</f>
        <v/>
      </c>
      <c r="H1408" s="19" t="str">
        <f aca="false">IF($A1408="","",C1408*Settings!$B$11)</f>
        <v/>
      </c>
      <c r="I1408" s="20" t="str">
        <f aca="false">IF($A1408="","",IF(N(H1408)=0,"",RANK(H1408,$H$5:$H$2004)))</f>
        <v/>
      </c>
      <c r="J1408" s="21" t="str">
        <f aca="false">IF($A1408="","",IF(B1408=0,"No COD orders",IF(B1408&lt;Settings!$B$8,"Too few orders",IF(D1408&gt;=Settings!$B$9,"Restrict COD or verify","Keep COD"))))</f>
        <v/>
      </c>
    </row>
    <row r="1409" customFormat="false" ht="15" hidden="false" customHeight="false" outlineLevel="0" collapsed="false">
      <c r="A1409" s="27"/>
      <c r="B1409" s="17" t="str">
        <f aca="false">IF($A1409="","",COUNTIFS(Orders!$C$2:$C$20001,$A1409,Orders!$E$2:$E$20001,"COD",Orders!$F$2:$F$20001,"Delivered")+COUNTIFS(Orders!$C$2:$C$20001,$A1409,Orders!$E$2:$E$20001,"COD",Orders!$F$2:$F$20001,"RTO"))</f>
        <v/>
      </c>
      <c r="C1409" s="17" t="str">
        <f aca="false">IF($A1409="","",COUNTIFS(Orders!$C$2:$C$20001,$A1409,Orders!$E$2:$E$20001,"COD",Orders!$F$2:$F$20001,"RTO"))</f>
        <v/>
      </c>
      <c r="D1409" s="18" t="str">
        <f aca="false">IF($A1409="","",IFERROR(C1409/B1409,0))</f>
        <v/>
      </c>
      <c r="E1409" s="17" t="str">
        <f aca="false">IF($A1409="","",COUNTIFS(Orders!$C$2:$C$20001,$A1409,Orders!$E$2:$E$20001,"Prepaid",Orders!$F$2:$F$20001,"Delivered")+COUNTIFS(Orders!$C$2:$C$20001,$A1409,Orders!$E$2:$E$20001,"Prepaid",Orders!$F$2:$F$20001,"RTO"))</f>
        <v/>
      </c>
      <c r="F1409" s="17" t="str">
        <f aca="false">IF($A1409="","",COUNTIFS(Orders!$C$2:$C$20001,$A1409,Orders!$E$2:$E$20001,"Prepaid",Orders!$F$2:$F$20001,"RTO"))</f>
        <v/>
      </c>
      <c r="G1409" s="18" t="str">
        <f aca="false">IF($A1409="","",IFERROR(F1409/E1409,0))</f>
        <v/>
      </c>
      <c r="H1409" s="19" t="str">
        <f aca="false">IF($A1409="","",C1409*Settings!$B$11)</f>
        <v/>
      </c>
      <c r="I1409" s="20" t="str">
        <f aca="false">IF($A1409="","",IF(N(H1409)=0,"",RANK(H1409,$H$5:$H$2004)))</f>
        <v/>
      </c>
      <c r="J1409" s="21" t="str">
        <f aca="false">IF($A1409="","",IF(B1409=0,"No COD orders",IF(B1409&lt;Settings!$B$8,"Too few orders",IF(D1409&gt;=Settings!$B$9,"Restrict COD or verify","Keep COD"))))</f>
        <v/>
      </c>
    </row>
    <row r="1410" customFormat="false" ht="15" hidden="false" customHeight="false" outlineLevel="0" collapsed="false">
      <c r="A1410" s="27"/>
      <c r="B1410" s="17" t="str">
        <f aca="false">IF($A1410="","",COUNTIFS(Orders!$C$2:$C$20001,$A1410,Orders!$E$2:$E$20001,"COD",Orders!$F$2:$F$20001,"Delivered")+COUNTIFS(Orders!$C$2:$C$20001,$A1410,Orders!$E$2:$E$20001,"COD",Orders!$F$2:$F$20001,"RTO"))</f>
        <v/>
      </c>
      <c r="C1410" s="17" t="str">
        <f aca="false">IF($A1410="","",COUNTIFS(Orders!$C$2:$C$20001,$A1410,Orders!$E$2:$E$20001,"COD",Orders!$F$2:$F$20001,"RTO"))</f>
        <v/>
      </c>
      <c r="D1410" s="18" t="str">
        <f aca="false">IF($A1410="","",IFERROR(C1410/B1410,0))</f>
        <v/>
      </c>
      <c r="E1410" s="17" t="str">
        <f aca="false">IF($A1410="","",COUNTIFS(Orders!$C$2:$C$20001,$A1410,Orders!$E$2:$E$20001,"Prepaid",Orders!$F$2:$F$20001,"Delivered")+COUNTIFS(Orders!$C$2:$C$20001,$A1410,Orders!$E$2:$E$20001,"Prepaid",Orders!$F$2:$F$20001,"RTO"))</f>
        <v/>
      </c>
      <c r="F1410" s="17" t="str">
        <f aca="false">IF($A1410="","",COUNTIFS(Orders!$C$2:$C$20001,$A1410,Orders!$E$2:$E$20001,"Prepaid",Orders!$F$2:$F$20001,"RTO"))</f>
        <v/>
      </c>
      <c r="G1410" s="18" t="str">
        <f aca="false">IF($A1410="","",IFERROR(F1410/E1410,0))</f>
        <v/>
      </c>
      <c r="H1410" s="19" t="str">
        <f aca="false">IF($A1410="","",C1410*Settings!$B$11)</f>
        <v/>
      </c>
      <c r="I1410" s="20" t="str">
        <f aca="false">IF($A1410="","",IF(N(H1410)=0,"",RANK(H1410,$H$5:$H$2004)))</f>
        <v/>
      </c>
      <c r="J1410" s="21" t="str">
        <f aca="false">IF($A1410="","",IF(B1410=0,"No COD orders",IF(B1410&lt;Settings!$B$8,"Too few orders",IF(D1410&gt;=Settings!$B$9,"Restrict COD or verify","Keep COD"))))</f>
        <v/>
      </c>
    </row>
    <row r="1411" customFormat="false" ht="15" hidden="false" customHeight="false" outlineLevel="0" collapsed="false">
      <c r="A1411" s="27"/>
      <c r="B1411" s="17" t="str">
        <f aca="false">IF($A1411="","",COUNTIFS(Orders!$C$2:$C$20001,$A1411,Orders!$E$2:$E$20001,"COD",Orders!$F$2:$F$20001,"Delivered")+COUNTIFS(Orders!$C$2:$C$20001,$A1411,Orders!$E$2:$E$20001,"COD",Orders!$F$2:$F$20001,"RTO"))</f>
        <v/>
      </c>
      <c r="C1411" s="17" t="str">
        <f aca="false">IF($A1411="","",COUNTIFS(Orders!$C$2:$C$20001,$A1411,Orders!$E$2:$E$20001,"COD",Orders!$F$2:$F$20001,"RTO"))</f>
        <v/>
      </c>
      <c r="D1411" s="18" t="str">
        <f aca="false">IF($A1411="","",IFERROR(C1411/B1411,0))</f>
        <v/>
      </c>
      <c r="E1411" s="17" t="str">
        <f aca="false">IF($A1411="","",COUNTIFS(Orders!$C$2:$C$20001,$A1411,Orders!$E$2:$E$20001,"Prepaid",Orders!$F$2:$F$20001,"Delivered")+COUNTIFS(Orders!$C$2:$C$20001,$A1411,Orders!$E$2:$E$20001,"Prepaid",Orders!$F$2:$F$20001,"RTO"))</f>
        <v/>
      </c>
      <c r="F1411" s="17" t="str">
        <f aca="false">IF($A1411="","",COUNTIFS(Orders!$C$2:$C$20001,$A1411,Orders!$E$2:$E$20001,"Prepaid",Orders!$F$2:$F$20001,"RTO"))</f>
        <v/>
      </c>
      <c r="G1411" s="18" t="str">
        <f aca="false">IF($A1411="","",IFERROR(F1411/E1411,0))</f>
        <v/>
      </c>
      <c r="H1411" s="19" t="str">
        <f aca="false">IF($A1411="","",C1411*Settings!$B$11)</f>
        <v/>
      </c>
      <c r="I1411" s="20" t="str">
        <f aca="false">IF($A1411="","",IF(N(H1411)=0,"",RANK(H1411,$H$5:$H$2004)))</f>
        <v/>
      </c>
      <c r="J1411" s="21" t="str">
        <f aca="false">IF($A1411="","",IF(B1411=0,"No COD orders",IF(B1411&lt;Settings!$B$8,"Too few orders",IF(D1411&gt;=Settings!$B$9,"Restrict COD or verify","Keep COD"))))</f>
        <v/>
      </c>
    </row>
    <row r="1412" customFormat="false" ht="15" hidden="false" customHeight="false" outlineLevel="0" collapsed="false">
      <c r="A1412" s="27"/>
      <c r="B1412" s="17" t="str">
        <f aca="false">IF($A1412="","",COUNTIFS(Orders!$C$2:$C$20001,$A1412,Orders!$E$2:$E$20001,"COD",Orders!$F$2:$F$20001,"Delivered")+COUNTIFS(Orders!$C$2:$C$20001,$A1412,Orders!$E$2:$E$20001,"COD",Orders!$F$2:$F$20001,"RTO"))</f>
        <v/>
      </c>
      <c r="C1412" s="17" t="str">
        <f aca="false">IF($A1412="","",COUNTIFS(Orders!$C$2:$C$20001,$A1412,Orders!$E$2:$E$20001,"COD",Orders!$F$2:$F$20001,"RTO"))</f>
        <v/>
      </c>
      <c r="D1412" s="18" t="str">
        <f aca="false">IF($A1412="","",IFERROR(C1412/B1412,0))</f>
        <v/>
      </c>
      <c r="E1412" s="17" t="str">
        <f aca="false">IF($A1412="","",COUNTIFS(Orders!$C$2:$C$20001,$A1412,Orders!$E$2:$E$20001,"Prepaid",Orders!$F$2:$F$20001,"Delivered")+COUNTIFS(Orders!$C$2:$C$20001,$A1412,Orders!$E$2:$E$20001,"Prepaid",Orders!$F$2:$F$20001,"RTO"))</f>
        <v/>
      </c>
      <c r="F1412" s="17" t="str">
        <f aca="false">IF($A1412="","",COUNTIFS(Orders!$C$2:$C$20001,$A1412,Orders!$E$2:$E$20001,"Prepaid",Orders!$F$2:$F$20001,"RTO"))</f>
        <v/>
      </c>
      <c r="G1412" s="18" t="str">
        <f aca="false">IF($A1412="","",IFERROR(F1412/E1412,0))</f>
        <v/>
      </c>
      <c r="H1412" s="19" t="str">
        <f aca="false">IF($A1412="","",C1412*Settings!$B$11)</f>
        <v/>
      </c>
      <c r="I1412" s="20" t="str">
        <f aca="false">IF($A1412="","",IF(N(H1412)=0,"",RANK(H1412,$H$5:$H$2004)))</f>
        <v/>
      </c>
      <c r="J1412" s="21" t="str">
        <f aca="false">IF($A1412="","",IF(B1412=0,"No COD orders",IF(B1412&lt;Settings!$B$8,"Too few orders",IF(D1412&gt;=Settings!$B$9,"Restrict COD or verify","Keep COD"))))</f>
        <v/>
      </c>
    </row>
    <row r="1413" customFormat="false" ht="15" hidden="false" customHeight="false" outlineLevel="0" collapsed="false">
      <c r="A1413" s="27"/>
      <c r="B1413" s="17" t="str">
        <f aca="false">IF($A1413="","",COUNTIFS(Orders!$C$2:$C$20001,$A1413,Orders!$E$2:$E$20001,"COD",Orders!$F$2:$F$20001,"Delivered")+COUNTIFS(Orders!$C$2:$C$20001,$A1413,Orders!$E$2:$E$20001,"COD",Orders!$F$2:$F$20001,"RTO"))</f>
        <v/>
      </c>
      <c r="C1413" s="17" t="str">
        <f aca="false">IF($A1413="","",COUNTIFS(Orders!$C$2:$C$20001,$A1413,Orders!$E$2:$E$20001,"COD",Orders!$F$2:$F$20001,"RTO"))</f>
        <v/>
      </c>
      <c r="D1413" s="18" t="str">
        <f aca="false">IF($A1413="","",IFERROR(C1413/B1413,0))</f>
        <v/>
      </c>
      <c r="E1413" s="17" t="str">
        <f aca="false">IF($A1413="","",COUNTIFS(Orders!$C$2:$C$20001,$A1413,Orders!$E$2:$E$20001,"Prepaid",Orders!$F$2:$F$20001,"Delivered")+COUNTIFS(Orders!$C$2:$C$20001,$A1413,Orders!$E$2:$E$20001,"Prepaid",Orders!$F$2:$F$20001,"RTO"))</f>
        <v/>
      </c>
      <c r="F1413" s="17" t="str">
        <f aca="false">IF($A1413="","",COUNTIFS(Orders!$C$2:$C$20001,$A1413,Orders!$E$2:$E$20001,"Prepaid",Orders!$F$2:$F$20001,"RTO"))</f>
        <v/>
      </c>
      <c r="G1413" s="18" t="str">
        <f aca="false">IF($A1413="","",IFERROR(F1413/E1413,0))</f>
        <v/>
      </c>
      <c r="H1413" s="19" t="str">
        <f aca="false">IF($A1413="","",C1413*Settings!$B$11)</f>
        <v/>
      </c>
      <c r="I1413" s="20" t="str">
        <f aca="false">IF($A1413="","",IF(N(H1413)=0,"",RANK(H1413,$H$5:$H$2004)))</f>
        <v/>
      </c>
      <c r="J1413" s="21" t="str">
        <f aca="false">IF($A1413="","",IF(B1413=0,"No COD orders",IF(B1413&lt;Settings!$B$8,"Too few orders",IF(D1413&gt;=Settings!$B$9,"Restrict COD or verify","Keep COD"))))</f>
        <v/>
      </c>
    </row>
    <row r="1414" customFormat="false" ht="15" hidden="false" customHeight="false" outlineLevel="0" collapsed="false">
      <c r="A1414" s="27"/>
      <c r="B1414" s="17" t="str">
        <f aca="false">IF($A1414="","",COUNTIFS(Orders!$C$2:$C$20001,$A1414,Orders!$E$2:$E$20001,"COD",Orders!$F$2:$F$20001,"Delivered")+COUNTIFS(Orders!$C$2:$C$20001,$A1414,Orders!$E$2:$E$20001,"COD",Orders!$F$2:$F$20001,"RTO"))</f>
        <v/>
      </c>
      <c r="C1414" s="17" t="str">
        <f aca="false">IF($A1414="","",COUNTIFS(Orders!$C$2:$C$20001,$A1414,Orders!$E$2:$E$20001,"COD",Orders!$F$2:$F$20001,"RTO"))</f>
        <v/>
      </c>
      <c r="D1414" s="18" t="str">
        <f aca="false">IF($A1414="","",IFERROR(C1414/B1414,0))</f>
        <v/>
      </c>
      <c r="E1414" s="17" t="str">
        <f aca="false">IF($A1414="","",COUNTIFS(Orders!$C$2:$C$20001,$A1414,Orders!$E$2:$E$20001,"Prepaid",Orders!$F$2:$F$20001,"Delivered")+COUNTIFS(Orders!$C$2:$C$20001,$A1414,Orders!$E$2:$E$20001,"Prepaid",Orders!$F$2:$F$20001,"RTO"))</f>
        <v/>
      </c>
      <c r="F1414" s="17" t="str">
        <f aca="false">IF($A1414="","",COUNTIFS(Orders!$C$2:$C$20001,$A1414,Orders!$E$2:$E$20001,"Prepaid",Orders!$F$2:$F$20001,"RTO"))</f>
        <v/>
      </c>
      <c r="G1414" s="18" t="str">
        <f aca="false">IF($A1414="","",IFERROR(F1414/E1414,0))</f>
        <v/>
      </c>
      <c r="H1414" s="19" t="str">
        <f aca="false">IF($A1414="","",C1414*Settings!$B$11)</f>
        <v/>
      </c>
      <c r="I1414" s="20" t="str">
        <f aca="false">IF($A1414="","",IF(N(H1414)=0,"",RANK(H1414,$H$5:$H$2004)))</f>
        <v/>
      </c>
      <c r="J1414" s="21" t="str">
        <f aca="false">IF($A1414="","",IF(B1414=0,"No COD orders",IF(B1414&lt;Settings!$B$8,"Too few orders",IF(D1414&gt;=Settings!$B$9,"Restrict COD or verify","Keep COD"))))</f>
        <v/>
      </c>
    </row>
    <row r="1415" customFormat="false" ht="15" hidden="false" customHeight="false" outlineLevel="0" collapsed="false">
      <c r="A1415" s="27"/>
      <c r="B1415" s="17" t="str">
        <f aca="false">IF($A1415="","",COUNTIFS(Orders!$C$2:$C$20001,$A1415,Orders!$E$2:$E$20001,"COD",Orders!$F$2:$F$20001,"Delivered")+COUNTIFS(Orders!$C$2:$C$20001,$A1415,Orders!$E$2:$E$20001,"COD",Orders!$F$2:$F$20001,"RTO"))</f>
        <v/>
      </c>
      <c r="C1415" s="17" t="str">
        <f aca="false">IF($A1415="","",COUNTIFS(Orders!$C$2:$C$20001,$A1415,Orders!$E$2:$E$20001,"COD",Orders!$F$2:$F$20001,"RTO"))</f>
        <v/>
      </c>
      <c r="D1415" s="18" t="str">
        <f aca="false">IF($A1415="","",IFERROR(C1415/B1415,0))</f>
        <v/>
      </c>
      <c r="E1415" s="17" t="str">
        <f aca="false">IF($A1415="","",COUNTIFS(Orders!$C$2:$C$20001,$A1415,Orders!$E$2:$E$20001,"Prepaid",Orders!$F$2:$F$20001,"Delivered")+COUNTIFS(Orders!$C$2:$C$20001,$A1415,Orders!$E$2:$E$20001,"Prepaid",Orders!$F$2:$F$20001,"RTO"))</f>
        <v/>
      </c>
      <c r="F1415" s="17" t="str">
        <f aca="false">IF($A1415="","",COUNTIFS(Orders!$C$2:$C$20001,$A1415,Orders!$E$2:$E$20001,"Prepaid",Orders!$F$2:$F$20001,"RTO"))</f>
        <v/>
      </c>
      <c r="G1415" s="18" t="str">
        <f aca="false">IF($A1415="","",IFERROR(F1415/E1415,0))</f>
        <v/>
      </c>
      <c r="H1415" s="19" t="str">
        <f aca="false">IF($A1415="","",C1415*Settings!$B$11)</f>
        <v/>
      </c>
      <c r="I1415" s="20" t="str">
        <f aca="false">IF($A1415="","",IF(N(H1415)=0,"",RANK(H1415,$H$5:$H$2004)))</f>
        <v/>
      </c>
      <c r="J1415" s="21" t="str">
        <f aca="false">IF($A1415="","",IF(B1415=0,"No COD orders",IF(B1415&lt;Settings!$B$8,"Too few orders",IF(D1415&gt;=Settings!$B$9,"Restrict COD or verify","Keep COD"))))</f>
        <v/>
      </c>
    </row>
    <row r="1416" customFormat="false" ht="15" hidden="false" customHeight="false" outlineLevel="0" collapsed="false">
      <c r="A1416" s="27"/>
      <c r="B1416" s="17" t="str">
        <f aca="false">IF($A1416="","",COUNTIFS(Orders!$C$2:$C$20001,$A1416,Orders!$E$2:$E$20001,"COD",Orders!$F$2:$F$20001,"Delivered")+COUNTIFS(Orders!$C$2:$C$20001,$A1416,Orders!$E$2:$E$20001,"COD",Orders!$F$2:$F$20001,"RTO"))</f>
        <v/>
      </c>
      <c r="C1416" s="17" t="str">
        <f aca="false">IF($A1416="","",COUNTIFS(Orders!$C$2:$C$20001,$A1416,Orders!$E$2:$E$20001,"COD",Orders!$F$2:$F$20001,"RTO"))</f>
        <v/>
      </c>
      <c r="D1416" s="18" t="str">
        <f aca="false">IF($A1416="","",IFERROR(C1416/B1416,0))</f>
        <v/>
      </c>
      <c r="E1416" s="17" t="str">
        <f aca="false">IF($A1416="","",COUNTIFS(Orders!$C$2:$C$20001,$A1416,Orders!$E$2:$E$20001,"Prepaid",Orders!$F$2:$F$20001,"Delivered")+COUNTIFS(Orders!$C$2:$C$20001,$A1416,Orders!$E$2:$E$20001,"Prepaid",Orders!$F$2:$F$20001,"RTO"))</f>
        <v/>
      </c>
      <c r="F1416" s="17" t="str">
        <f aca="false">IF($A1416="","",COUNTIFS(Orders!$C$2:$C$20001,$A1416,Orders!$E$2:$E$20001,"Prepaid",Orders!$F$2:$F$20001,"RTO"))</f>
        <v/>
      </c>
      <c r="G1416" s="18" t="str">
        <f aca="false">IF($A1416="","",IFERROR(F1416/E1416,0))</f>
        <v/>
      </c>
      <c r="H1416" s="19" t="str">
        <f aca="false">IF($A1416="","",C1416*Settings!$B$11)</f>
        <v/>
      </c>
      <c r="I1416" s="20" t="str">
        <f aca="false">IF($A1416="","",IF(N(H1416)=0,"",RANK(H1416,$H$5:$H$2004)))</f>
        <v/>
      </c>
      <c r="J1416" s="21" t="str">
        <f aca="false">IF($A1416="","",IF(B1416=0,"No COD orders",IF(B1416&lt;Settings!$B$8,"Too few orders",IF(D1416&gt;=Settings!$B$9,"Restrict COD or verify","Keep COD"))))</f>
        <v/>
      </c>
    </row>
    <row r="1417" customFormat="false" ht="15" hidden="false" customHeight="false" outlineLevel="0" collapsed="false">
      <c r="A1417" s="27"/>
      <c r="B1417" s="17" t="str">
        <f aca="false">IF($A1417="","",COUNTIFS(Orders!$C$2:$C$20001,$A1417,Orders!$E$2:$E$20001,"COD",Orders!$F$2:$F$20001,"Delivered")+COUNTIFS(Orders!$C$2:$C$20001,$A1417,Orders!$E$2:$E$20001,"COD",Orders!$F$2:$F$20001,"RTO"))</f>
        <v/>
      </c>
      <c r="C1417" s="17" t="str">
        <f aca="false">IF($A1417="","",COUNTIFS(Orders!$C$2:$C$20001,$A1417,Orders!$E$2:$E$20001,"COD",Orders!$F$2:$F$20001,"RTO"))</f>
        <v/>
      </c>
      <c r="D1417" s="18" t="str">
        <f aca="false">IF($A1417="","",IFERROR(C1417/B1417,0))</f>
        <v/>
      </c>
      <c r="E1417" s="17" t="str">
        <f aca="false">IF($A1417="","",COUNTIFS(Orders!$C$2:$C$20001,$A1417,Orders!$E$2:$E$20001,"Prepaid",Orders!$F$2:$F$20001,"Delivered")+COUNTIFS(Orders!$C$2:$C$20001,$A1417,Orders!$E$2:$E$20001,"Prepaid",Orders!$F$2:$F$20001,"RTO"))</f>
        <v/>
      </c>
      <c r="F1417" s="17" t="str">
        <f aca="false">IF($A1417="","",COUNTIFS(Orders!$C$2:$C$20001,$A1417,Orders!$E$2:$E$20001,"Prepaid",Orders!$F$2:$F$20001,"RTO"))</f>
        <v/>
      </c>
      <c r="G1417" s="18" t="str">
        <f aca="false">IF($A1417="","",IFERROR(F1417/E1417,0))</f>
        <v/>
      </c>
      <c r="H1417" s="19" t="str">
        <f aca="false">IF($A1417="","",C1417*Settings!$B$11)</f>
        <v/>
      </c>
      <c r="I1417" s="20" t="str">
        <f aca="false">IF($A1417="","",IF(N(H1417)=0,"",RANK(H1417,$H$5:$H$2004)))</f>
        <v/>
      </c>
      <c r="J1417" s="21" t="str">
        <f aca="false">IF($A1417="","",IF(B1417=0,"No COD orders",IF(B1417&lt;Settings!$B$8,"Too few orders",IF(D1417&gt;=Settings!$B$9,"Restrict COD or verify","Keep COD"))))</f>
        <v/>
      </c>
    </row>
    <row r="1418" customFormat="false" ht="15" hidden="false" customHeight="false" outlineLevel="0" collapsed="false">
      <c r="A1418" s="27"/>
      <c r="B1418" s="17" t="str">
        <f aca="false">IF($A1418="","",COUNTIFS(Orders!$C$2:$C$20001,$A1418,Orders!$E$2:$E$20001,"COD",Orders!$F$2:$F$20001,"Delivered")+COUNTIFS(Orders!$C$2:$C$20001,$A1418,Orders!$E$2:$E$20001,"COD",Orders!$F$2:$F$20001,"RTO"))</f>
        <v/>
      </c>
      <c r="C1418" s="17" t="str">
        <f aca="false">IF($A1418="","",COUNTIFS(Orders!$C$2:$C$20001,$A1418,Orders!$E$2:$E$20001,"COD",Orders!$F$2:$F$20001,"RTO"))</f>
        <v/>
      </c>
      <c r="D1418" s="18" t="str">
        <f aca="false">IF($A1418="","",IFERROR(C1418/B1418,0))</f>
        <v/>
      </c>
      <c r="E1418" s="17" t="str">
        <f aca="false">IF($A1418="","",COUNTIFS(Orders!$C$2:$C$20001,$A1418,Orders!$E$2:$E$20001,"Prepaid",Orders!$F$2:$F$20001,"Delivered")+COUNTIFS(Orders!$C$2:$C$20001,$A1418,Orders!$E$2:$E$20001,"Prepaid",Orders!$F$2:$F$20001,"RTO"))</f>
        <v/>
      </c>
      <c r="F1418" s="17" t="str">
        <f aca="false">IF($A1418="","",COUNTIFS(Orders!$C$2:$C$20001,$A1418,Orders!$E$2:$E$20001,"Prepaid",Orders!$F$2:$F$20001,"RTO"))</f>
        <v/>
      </c>
      <c r="G1418" s="18" t="str">
        <f aca="false">IF($A1418="","",IFERROR(F1418/E1418,0))</f>
        <v/>
      </c>
      <c r="H1418" s="19" t="str">
        <f aca="false">IF($A1418="","",C1418*Settings!$B$11)</f>
        <v/>
      </c>
      <c r="I1418" s="20" t="str">
        <f aca="false">IF($A1418="","",IF(N(H1418)=0,"",RANK(H1418,$H$5:$H$2004)))</f>
        <v/>
      </c>
      <c r="J1418" s="21" t="str">
        <f aca="false">IF($A1418="","",IF(B1418=0,"No COD orders",IF(B1418&lt;Settings!$B$8,"Too few orders",IF(D1418&gt;=Settings!$B$9,"Restrict COD or verify","Keep COD"))))</f>
        <v/>
      </c>
    </row>
    <row r="1419" customFormat="false" ht="15" hidden="false" customHeight="false" outlineLevel="0" collapsed="false">
      <c r="A1419" s="27"/>
      <c r="B1419" s="17" t="str">
        <f aca="false">IF($A1419="","",COUNTIFS(Orders!$C$2:$C$20001,$A1419,Orders!$E$2:$E$20001,"COD",Orders!$F$2:$F$20001,"Delivered")+COUNTIFS(Orders!$C$2:$C$20001,$A1419,Orders!$E$2:$E$20001,"COD",Orders!$F$2:$F$20001,"RTO"))</f>
        <v/>
      </c>
      <c r="C1419" s="17" t="str">
        <f aca="false">IF($A1419="","",COUNTIFS(Orders!$C$2:$C$20001,$A1419,Orders!$E$2:$E$20001,"COD",Orders!$F$2:$F$20001,"RTO"))</f>
        <v/>
      </c>
      <c r="D1419" s="18" t="str">
        <f aca="false">IF($A1419="","",IFERROR(C1419/B1419,0))</f>
        <v/>
      </c>
      <c r="E1419" s="17" t="str">
        <f aca="false">IF($A1419="","",COUNTIFS(Orders!$C$2:$C$20001,$A1419,Orders!$E$2:$E$20001,"Prepaid",Orders!$F$2:$F$20001,"Delivered")+COUNTIFS(Orders!$C$2:$C$20001,$A1419,Orders!$E$2:$E$20001,"Prepaid",Orders!$F$2:$F$20001,"RTO"))</f>
        <v/>
      </c>
      <c r="F1419" s="17" t="str">
        <f aca="false">IF($A1419="","",COUNTIFS(Orders!$C$2:$C$20001,$A1419,Orders!$E$2:$E$20001,"Prepaid",Orders!$F$2:$F$20001,"RTO"))</f>
        <v/>
      </c>
      <c r="G1419" s="18" t="str">
        <f aca="false">IF($A1419="","",IFERROR(F1419/E1419,0))</f>
        <v/>
      </c>
      <c r="H1419" s="19" t="str">
        <f aca="false">IF($A1419="","",C1419*Settings!$B$11)</f>
        <v/>
      </c>
      <c r="I1419" s="20" t="str">
        <f aca="false">IF($A1419="","",IF(N(H1419)=0,"",RANK(H1419,$H$5:$H$2004)))</f>
        <v/>
      </c>
      <c r="J1419" s="21" t="str">
        <f aca="false">IF($A1419="","",IF(B1419=0,"No COD orders",IF(B1419&lt;Settings!$B$8,"Too few orders",IF(D1419&gt;=Settings!$B$9,"Restrict COD or verify","Keep COD"))))</f>
        <v/>
      </c>
    </row>
    <row r="1420" customFormat="false" ht="15" hidden="false" customHeight="false" outlineLevel="0" collapsed="false">
      <c r="A1420" s="27"/>
      <c r="B1420" s="17" t="str">
        <f aca="false">IF($A1420="","",COUNTIFS(Orders!$C$2:$C$20001,$A1420,Orders!$E$2:$E$20001,"COD",Orders!$F$2:$F$20001,"Delivered")+COUNTIFS(Orders!$C$2:$C$20001,$A1420,Orders!$E$2:$E$20001,"COD",Orders!$F$2:$F$20001,"RTO"))</f>
        <v/>
      </c>
      <c r="C1420" s="17" t="str">
        <f aca="false">IF($A1420="","",COUNTIFS(Orders!$C$2:$C$20001,$A1420,Orders!$E$2:$E$20001,"COD",Orders!$F$2:$F$20001,"RTO"))</f>
        <v/>
      </c>
      <c r="D1420" s="18" t="str">
        <f aca="false">IF($A1420="","",IFERROR(C1420/B1420,0))</f>
        <v/>
      </c>
      <c r="E1420" s="17" t="str">
        <f aca="false">IF($A1420="","",COUNTIFS(Orders!$C$2:$C$20001,$A1420,Orders!$E$2:$E$20001,"Prepaid",Orders!$F$2:$F$20001,"Delivered")+COUNTIFS(Orders!$C$2:$C$20001,$A1420,Orders!$E$2:$E$20001,"Prepaid",Orders!$F$2:$F$20001,"RTO"))</f>
        <v/>
      </c>
      <c r="F1420" s="17" t="str">
        <f aca="false">IF($A1420="","",COUNTIFS(Orders!$C$2:$C$20001,$A1420,Orders!$E$2:$E$20001,"Prepaid",Orders!$F$2:$F$20001,"RTO"))</f>
        <v/>
      </c>
      <c r="G1420" s="18" t="str">
        <f aca="false">IF($A1420="","",IFERROR(F1420/E1420,0))</f>
        <v/>
      </c>
      <c r="H1420" s="19" t="str">
        <f aca="false">IF($A1420="","",C1420*Settings!$B$11)</f>
        <v/>
      </c>
      <c r="I1420" s="20" t="str">
        <f aca="false">IF($A1420="","",IF(N(H1420)=0,"",RANK(H1420,$H$5:$H$2004)))</f>
        <v/>
      </c>
      <c r="J1420" s="21" t="str">
        <f aca="false">IF($A1420="","",IF(B1420=0,"No COD orders",IF(B1420&lt;Settings!$B$8,"Too few orders",IF(D1420&gt;=Settings!$B$9,"Restrict COD or verify","Keep COD"))))</f>
        <v/>
      </c>
    </row>
    <row r="1421" customFormat="false" ht="15" hidden="false" customHeight="false" outlineLevel="0" collapsed="false">
      <c r="A1421" s="27"/>
      <c r="B1421" s="17" t="str">
        <f aca="false">IF($A1421="","",COUNTIFS(Orders!$C$2:$C$20001,$A1421,Orders!$E$2:$E$20001,"COD",Orders!$F$2:$F$20001,"Delivered")+COUNTIFS(Orders!$C$2:$C$20001,$A1421,Orders!$E$2:$E$20001,"COD",Orders!$F$2:$F$20001,"RTO"))</f>
        <v/>
      </c>
      <c r="C1421" s="17" t="str">
        <f aca="false">IF($A1421="","",COUNTIFS(Orders!$C$2:$C$20001,$A1421,Orders!$E$2:$E$20001,"COD",Orders!$F$2:$F$20001,"RTO"))</f>
        <v/>
      </c>
      <c r="D1421" s="18" t="str">
        <f aca="false">IF($A1421="","",IFERROR(C1421/B1421,0))</f>
        <v/>
      </c>
      <c r="E1421" s="17" t="str">
        <f aca="false">IF($A1421="","",COUNTIFS(Orders!$C$2:$C$20001,$A1421,Orders!$E$2:$E$20001,"Prepaid",Orders!$F$2:$F$20001,"Delivered")+COUNTIFS(Orders!$C$2:$C$20001,$A1421,Orders!$E$2:$E$20001,"Prepaid",Orders!$F$2:$F$20001,"RTO"))</f>
        <v/>
      </c>
      <c r="F1421" s="17" t="str">
        <f aca="false">IF($A1421="","",COUNTIFS(Orders!$C$2:$C$20001,$A1421,Orders!$E$2:$E$20001,"Prepaid",Orders!$F$2:$F$20001,"RTO"))</f>
        <v/>
      </c>
      <c r="G1421" s="18" t="str">
        <f aca="false">IF($A1421="","",IFERROR(F1421/E1421,0))</f>
        <v/>
      </c>
      <c r="H1421" s="19" t="str">
        <f aca="false">IF($A1421="","",C1421*Settings!$B$11)</f>
        <v/>
      </c>
      <c r="I1421" s="20" t="str">
        <f aca="false">IF($A1421="","",IF(N(H1421)=0,"",RANK(H1421,$H$5:$H$2004)))</f>
        <v/>
      </c>
      <c r="J1421" s="21" t="str">
        <f aca="false">IF($A1421="","",IF(B1421=0,"No COD orders",IF(B1421&lt;Settings!$B$8,"Too few orders",IF(D1421&gt;=Settings!$B$9,"Restrict COD or verify","Keep COD"))))</f>
        <v/>
      </c>
    </row>
    <row r="1422" customFormat="false" ht="15" hidden="false" customHeight="false" outlineLevel="0" collapsed="false">
      <c r="A1422" s="27"/>
      <c r="B1422" s="17" t="str">
        <f aca="false">IF($A1422="","",COUNTIFS(Orders!$C$2:$C$20001,$A1422,Orders!$E$2:$E$20001,"COD",Orders!$F$2:$F$20001,"Delivered")+COUNTIFS(Orders!$C$2:$C$20001,$A1422,Orders!$E$2:$E$20001,"COD",Orders!$F$2:$F$20001,"RTO"))</f>
        <v/>
      </c>
      <c r="C1422" s="17" t="str">
        <f aca="false">IF($A1422="","",COUNTIFS(Orders!$C$2:$C$20001,$A1422,Orders!$E$2:$E$20001,"COD",Orders!$F$2:$F$20001,"RTO"))</f>
        <v/>
      </c>
      <c r="D1422" s="18" t="str">
        <f aca="false">IF($A1422="","",IFERROR(C1422/B1422,0))</f>
        <v/>
      </c>
      <c r="E1422" s="17" t="str">
        <f aca="false">IF($A1422="","",COUNTIFS(Orders!$C$2:$C$20001,$A1422,Orders!$E$2:$E$20001,"Prepaid",Orders!$F$2:$F$20001,"Delivered")+COUNTIFS(Orders!$C$2:$C$20001,$A1422,Orders!$E$2:$E$20001,"Prepaid",Orders!$F$2:$F$20001,"RTO"))</f>
        <v/>
      </c>
      <c r="F1422" s="17" t="str">
        <f aca="false">IF($A1422="","",COUNTIFS(Orders!$C$2:$C$20001,$A1422,Orders!$E$2:$E$20001,"Prepaid",Orders!$F$2:$F$20001,"RTO"))</f>
        <v/>
      </c>
      <c r="G1422" s="18" t="str">
        <f aca="false">IF($A1422="","",IFERROR(F1422/E1422,0))</f>
        <v/>
      </c>
      <c r="H1422" s="19" t="str">
        <f aca="false">IF($A1422="","",C1422*Settings!$B$11)</f>
        <v/>
      </c>
      <c r="I1422" s="20" t="str">
        <f aca="false">IF($A1422="","",IF(N(H1422)=0,"",RANK(H1422,$H$5:$H$2004)))</f>
        <v/>
      </c>
      <c r="J1422" s="21" t="str">
        <f aca="false">IF($A1422="","",IF(B1422=0,"No COD orders",IF(B1422&lt;Settings!$B$8,"Too few orders",IF(D1422&gt;=Settings!$B$9,"Restrict COD or verify","Keep COD"))))</f>
        <v/>
      </c>
    </row>
    <row r="1423" customFormat="false" ht="15" hidden="false" customHeight="false" outlineLevel="0" collapsed="false">
      <c r="A1423" s="27"/>
      <c r="B1423" s="17" t="str">
        <f aca="false">IF($A1423="","",COUNTIFS(Orders!$C$2:$C$20001,$A1423,Orders!$E$2:$E$20001,"COD",Orders!$F$2:$F$20001,"Delivered")+COUNTIFS(Orders!$C$2:$C$20001,$A1423,Orders!$E$2:$E$20001,"COD",Orders!$F$2:$F$20001,"RTO"))</f>
        <v/>
      </c>
      <c r="C1423" s="17" t="str">
        <f aca="false">IF($A1423="","",COUNTIFS(Orders!$C$2:$C$20001,$A1423,Orders!$E$2:$E$20001,"COD",Orders!$F$2:$F$20001,"RTO"))</f>
        <v/>
      </c>
      <c r="D1423" s="18" t="str">
        <f aca="false">IF($A1423="","",IFERROR(C1423/B1423,0))</f>
        <v/>
      </c>
      <c r="E1423" s="17" t="str">
        <f aca="false">IF($A1423="","",COUNTIFS(Orders!$C$2:$C$20001,$A1423,Orders!$E$2:$E$20001,"Prepaid",Orders!$F$2:$F$20001,"Delivered")+COUNTIFS(Orders!$C$2:$C$20001,$A1423,Orders!$E$2:$E$20001,"Prepaid",Orders!$F$2:$F$20001,"RTO"))</f>
        <v/>
      </c>
      <c r="F1423" s="17" t="str">
        <f aca="false">IF($A1423="","",COUNTIFS(Orders!$C$2:$C$20001,$A1423,Orders!$E$2:$E$20001,"Prepaid",Orders!$F$2:$F$20001,"RTO"))</f>
        <v/>
      </c>
      <c r="G1423" s="18" t="str">
        <f aca="false">IF($A1423="","",IFERROR(F1423/E1423,0))</f>
        <v/>
      </c>
      <c r="H1423" s="19" t="str">
        <f aca="false">IF($A1423="","",C1423*Settings!$B$11)</f>
        <v/>
      </c>
      <c r="I1423" s="20" t="str">
        <f aca="false">IF($A1423="","",IF(N(H1423)=0,"",RANK(H1423,$H$5:$H$2004)))</f>
        <v/>
      </c>
      <c r="J1423" s="21" t="str">
        <f aca="false">IF($A1423="","",IF(B1423=0,"No COD orders",IF(B1423&lt;Settings!$B$8,"Too few orders",IF(D1423&gt;=Settings!$B$9,"Restrict COD or verify","Keep COD"))))</f>
        <v/>
      </c>
    </row>
    <row r="1424" customFormat="false" ht="15" hidden="false" customHeight="false" outlineLevel="0" collapsed="false">
      <c r="A1424" s="27"/>
      <c r="B1424" s="17" t="str">
        <f aca="false">IF($A1424="","",COUNTIFS(Orders!$C$2:$C$20001,$A1424,Orders!$E$2:$E$20001,"COD",Orders!$F$2:$F$20001,"Delivered")+COUNTIFS(Orders!$C$2:$C$20001,$A1424,Orders!$E$2:$E$20001,"COD",Orders!$F$2:$F$20001,"RTO"))</f>
        <v/>
      </c>
      <c r="C1424" s="17" t="str">
        <f aca="false">IF($A1424="","",COUNTIFS(Orders!$C$2:$C$20001,$A1424,Orders!$E$2:$E$20001,"COD",Orders!$F$2:$F$20001,"RTO"))</f>
        <v/>
      </c>
      <c r="D1424" s="18" t="str">
        <f aca="false">IF($A1424="","",IFERROR(C1424/B1424,0))</f>
        <v/>
      </c>
      <c r="E1424" s="17" t="str">
        <f aca="false">IF($A1424="","",COUNTIFS(Orders!$C$2:$C$20001,$A1424,Orders!$E$2:$E$20001,"Prepaid",Orders!$F$2:$F$20001,"Delivered")+COUNTIFS(Orders!$C$2:$C$20001,$A1424,Orders!$E$2:$E$20001,"Prepaid",Orders!$F$2:$F$20001,"RTO"))</f>
        <v/>
      </c>
      <c r="F1424" s="17" t="str">
        <f aca="false">IF($A1424="","",COUNTIFS(Orders!$C$2:$C$20001,$A1424,Orders!$E$2:$E$20001,"Prepaid",Orders!$F$2:$F$20001,"RTO"))</f>
        <v/>
      </c>
      <c r="G1424" s="18" t="str">
        <f aca="false">IF($A1424="","",IFERROR(F1424/E1424,0))</f>
        <v/>
      </c>
      <c r="H1424" s="19" t="str">
        <f aca="false">IF($A1424="","",C1424*Settings!$B$11)</f>
        <v/>
      </c>
      <c r="I1424" s="20" t="str">
        <f aca="false">IF($A1424="","",IF(N(H1424)=0,"",RANK(H1424,$H$5:$H$2004)))</f>
        <v/>
      </c>
      <c r="J1424" s="21" t="str">
        <f aca="false">IF($A1424="","",IF(B1424=0,"No COD orders",IF(B1424&lt;Settings!$B$8,"Too few orders",IF(D1424&gt;=Settings!$B$9,"Restrict COD or verify","Keep COD"))))</f>
        <v/>
      </c>
    </row>
    <row r="1425" customFormat="false" ht="15" hidden="false" customHeight="false" outlineLevel="0" collapsed="false">
      <c r="A1425" s="27"/>
      <c r="B1425" s="17" t="str">
        <f aca="false">IF($A1425="","",COUNTIFS(Orders!$C$2:$C$20001,$A1425,Orders!$E$2:$E$20001,"COD",Orders!$F$2:$F$20001,"Delivered")+COUNTIFS(Orders!$C$2:$C$20001,$A1425,Orders!$E$2:$E$20001,"COD",Orders!$F$2:$F$20001,"RTO"))</f>
        <v/>
      </c>
      <c r="C1425" s="17" t="str">
        <f aca="false">IF($A1425="","",COUNTIFS(Orders!$C$2:$C$20001,$A1425,Orders!$E$2:$E$20001,"COD",Orders!$F$2:$F$20001,"RTO"))</f>
        <v/>
      </c>
      <c r="D1425" s="18" t="str">
        <f aca="false">IF($A1425="","",IFERROR(C1425/B1425,0))</f>
        <v/>
      </c>
      <c r="E1425" s="17" t="str">
        <f aca="false">IF($A1425="","",COUNTIFS(Orders!$C$2:$C$20001,$A1425,Orders!$E$2:$E$20001,"Prepaid",Orders!$F$2:$F$20001,"Delivered")+COUNTIFS(Orders!$C$2:$C$20001,$A1425,Orders!$E$2:$E$20001,"Prepaid",Orders!$F$2:$F$20001,"RTO"))</f>
        <v/>
      </c>
      <c r="F1425" s="17" t="str">
        <f aca="false">IF($A1425="","",COUNTIFS(Orders!$C$2:$C$20001,$A1425,Orders!$E$2:$E$20001,"Prepaid",Orders!$F$2:$F$20001,"RTO"))</f>
        <v/>
      </c>
      <c r="G1425" s="18" t="str">
        <f aca="false">IF($A1425="","",IFERROR(F1425/E1425,0))</f>
        <v/>
      </c>
      <c r="H1425" s="19" t="str">
        <f aca="false">IF($A1425="","",C1425*Settings!$B$11)</f>
        <v/>
      </c>
      <c r="I1425" s="20" t="str">
        <f aca="false">IF($A1425="","",IF(N(H1425)=0,"",RANK(H1425,$H$5:$H$2004)))</f>
        <v/>
      </c>
      <c r="J1425" s="21" t="str">
        <f aca="false">IF($A1425="","",IF(B1425=0,"No COD orders",IF(B1425&lt;Settings!$B$8,"Too few orders",IF(D1425&gt;=Settings!$B$9,"Restrict COD or verify","Keep COD"))))</f>
        <v/>
      </c>
    </row>
    <row r="1426" customFormat="false" ht="15" hidden="false" customHeight="false" outlineLevel="0" collapsed="false">
      <c r="A1426" s="27"/>
      <c r="B1426" s="17" t="str">
        <f aca="false">IF($A1426="","",COUNTIFS(Orders!$C$2:$C$20001,$A1426,Orders!$E$2:$E$20001,"COD",Orders!$F$2:$F$20001,"Delivered")+COUNTIFS(Orders!$C$2:$C$20001,$A1426,Orders!$E$2:$E$20001,"COD",Orders!$F$2:$F$20001,"RTO"))</f>
        <v/>
      </c>
      <c r="C1426" s="17" t="str">
        <f aca="false">IF($A1426="","",COUNTIFS(Orders!$C$2:$C$20001,$A1426,Orders!$E$2:$E$20001,"COD",Orders!$F$2:$F$20001,"RTO"))</f>
        <v/>
      </c>
      <c r="D1426" s="18" t="str">
        <f aca="false">IF($A1426="","",IFERROR(C1426/B1426,0))</f>
        <v/>
      </c>
      <c r="E1426" s="17" t="str">
        <f aca="false">IF($A1426="","",COUNTIFS(Orders!$C$2:$C$20001,$A1426,Orders!$E$2:$E$20001,"Prepaid",Orders!$F$2:$F$20001,"Delivered")+COUNTIFS(Orders!$C$2:$C$20001,$A1426,Orders!$E$2:$E$20001,"Prepaid",Orders!$F$2:$F$20001,"RTO"))</f>
        <v/>
      </c>
      <c r="F1426" s="17" t="str">
        <f aca="false">IF($A1426="","",COUNTIFS(Orders!$C$2:$C$20001,$A1426,Orders!$E$2:$E$20001,"Prepaid",Orders!$F$2:$F$20001,"RTO"))</f>
        <v/>
      </c>
      <c r="G1426" s="18" t="str">
        <f aca="false">IF($A1426="","",IFERROR(F1426/E1426,0))</f>
        <v/>
      </c>
      <c r="H1426" s="19" t="str">
        <f aca="false">IF($A1426="","",C1426*Settings!$B$11)</f>
        <v/>
      </c>
      <c r="I1426" s="20" t="str">
        <f aca="false">IF($A1426="","",IF(N(H1426)=0,"",RANK(H1426,$H$5:$H$2004)))</f>
        <v/>
      </c>
      <c r="J1426" s="21" t="str">
        <f aca="false">IF($A1426="","",IF(B1426=0,"No COD orders",IF(B1426&lt;Settings!$B$8,"Too few orders",IF(D1426&gt;=Settings!$B$9,"Restrict COD or verify","Keep COD"))))</f>
        <v/>
      </c>
    </row>
    <row r="1427" customFormat="false" ht="15" hidden="false" customHeight="false" outlineLevel="0" collapsed="false">
      <c r="A1427" s="27"/>
      <c r="B1427" s="17" t="str">
        <f aca="false">IF($A1427="","",COUNTIFS(Orders!$C$2:$C$20001,$A1427,Orders!$E$2:$E$20001,"COD",Orders!$F$2:$F$20001,"Delivered")+COUNTIFS(Orders!$C$2:$C$20001,$A1427,Orders!$E$2:$E$20001,"COD",Orders!$F$2:$F$20001,"RTO"))</f>
        <v/>
      </c>
      <c r="C1427" s="17" t="str">
        <f aca="false">IF($A1427="","",COUNTIFS(Orders!$C$2:$C$20001,$A1427,Orders!$E$2:$E$20001,"COD",Orders!$F$2:$F$20001,"RTO"))</f>
        <v/>
      </c>
      <c r="D1427" s="18" t="str">
        <f aca="false">IF($A1427="","",IFERROR(C1427/B1427,0))</f>
        <v/>
      </c>
      <c r="E1427" s="17" t="str">
        <f aca="false">IF($A1427="","",COUNTIFS(Orders!$C$2:$C$20001,$A1427,Orders!$E$2:$E$20001,"Prepaid",Orders!$F$2:$F$20001,"Delivered")+COUNTIFS(Orders!$C$2:$C$20001,$A1427,Orders!$E$2:$E$20001,"Prepaid",Orders!$F$2:$F$20001,"RTO"))</f>
        <v/>
      </c>
      <c r="F1427" s="17" t="str">
        <f aca="false">IF($A1427="","",COUNTIFS(Orders!$C$2:$C$20001,$A1427,Orders!$E$2:$E$20001,"Prepaid",Orders!$F$2:$F$20001,"RTO"))</f>
        <v/>
      </c>
      <c r="G1427" s="18" t="str">
        <f aca="false">IF($A1427="","",IFERROR(F1427/E1427,0))</f>
        <v/>
      </c>
      <c r="H1427" s="19" t="str">
        <f aca="false">IF($A1427="","",C1427*Settings!$B$11)</f>
        <v/>
      </c>
      <c r="I1427" s="20" t="str">
        <f aca="false">IF($A1427="","",IF(N(H1427)=0,"",RANK(H1427,$H$5:$H$2004)))</f>
        <v/>
      </c>
      <c r="J1427" s="21" t="str">
        <f aca="false">IF($A1427="","",IF(B1427=0,"No COD orders",IF(B1427&lt;Settings!$B$8,"Too few orders",IF(D1427&gt;=Settings!$B$9,"Restrict COD or verify","Keep COD"))))</f>
        <v/>
      </c>
    </row>
    <row r="1428" customFormat="false" ht="15" hidden="false" customHeight="false" outlineLevel="0" collapsed="false">
      <c r="A1428" s="27"/>
      <c r="B1428" s="17" t="str">
        <f aca="false">IF($A1428="","",COUNTIFS(Orders!$C$2:$C$20001,$A1428,Orders!$E$2:$E$20001,"COD",Orders!$F$2:$F$20001,"Delivered")+COUNTIFS(Orders!$C$2:$C$20001,$A1428,Orders!$E$2:$E$20001,"COD",Orders!$F$2:$F$20001,"RTO"))</f>
        <v/>
      </c>
      <c r="C1428" s="17" t="str">
        <f aca="false">IF($A1428="","",COUNTIFS(Orders!$C$2:$C$20001,$A1428,Orders!$E$2:$E$20001,"COD",Orders!$F$2:$F$20001,"RTO"))</f>
        <v/>
      </c>
      <c r="D1428" s="18" t="str">
        <f aca="false">IF($A1428="","",IFERROR(C1428/B1428,0))</f>
        <v/>
      </c>
      <c r="E1428" s="17" t="str">
        <f aca="false">IF($A1428="","",COUNTIFS(Orders!$C$2:$C$20001,$A1428,Orders!$E$2:$E$20001,"Prepaid",Orders!$F$2:$F$20001,"Delivered")+COUNTIFS(Orders!$C$2:$C$20001,$A1428,Orders!$E$2:$E$20001,"Prepaid",Orders!$F$2:$F$20001,"RTO"))</f>
        <v/>
      </c>
      <c r="F1428" s="17" t="str">
        <f aca="false">IF($A1428="","",COUNTIFS(Orders!$C$2:$C$20001,$A1428,Orders!$E$2:$E$20001,"Prepaid",Orders!$F$2:$F$20001,"RTO"))</f>
        <v/>
      </c>
      <c r="G1428" s="18" t="str">
        <f aca="false">IF($A1428="","",IFERROR(F1428/E1428,0))</f>
        <v/>
      </c>
      <c r="H1428" s="19" t="str">
        <f aca="false">IF($A1428="","",C1428*Settings!$B$11)</f>
        <v/>
      </c>
      <c r="I1428" s="20" t="str">
        <f aca="false">IF($A1428="","",IF(N(H1428)=0,"",RANK(H1428,$H$5:$H$2004)))</f>
        <v/>
      </c>
      <c r="J1428" s="21" t="str">
        <f aca="false">IF($A1428="","",IF(B1428=0,"No COD orders",IF(B1428&lt;Settings!$B$8,"Too few orders",IF(D1428&gt;=Settings!$B$9,"Restrict COD or verify","Keep COD"))))</f>
        <v/>
      </c>
    </row>
    <row r="1429" customFormat="false" ht="15" hidden="false" customHeight="false" outlineLevel="0" collapsed="false">
      <c r="A1429" s="27"/>
      <c r="B1429" s="17" t="str">
        <f aca="false">IF($A1429="","",COUNTIFS(Orders!$C$2:$C$20001,$A1429,Orders!$E$2:$E$20001,"COD",Orders!$F$2:$F$20001,"Delivered")+COUNTIFS(Orders!$C$2:$C$20001,$A1429,Orders!$E$2:$E$20001,"COD",Orders!$F$2:$F$20001,"RTO"))</f>
        <v/>
      </c>
      <c r="C1429" s="17" t="str">
        <f aca="false">IF($A1429="","",COUNTIFS(Orders!$C$2:$C$20001,$A1429,Orders!$E$2:$E$20001,"COD",Orders!$F$2:$F$20001,"RTO"))</f>
        <v/>
      </c>
      <c r="D1429" s="18" t="str">
        <f aca="false">IF($A1429="","",IFERROR(C1429/B1429,0))</f>
        <v/>
      </c>
      <c r="E1429" s="17" t="str">
        <f aca="false">IF($A1429="","",COUNTIFS(Orders!$C$2:$C$20001,$A1429,Orders!$E$2:$E$20001,"Prepaid",Orders!$F$2:$F$20001,"Delivered")+COUNTIFS(Orders!$C$2:$C$20001,$A1429,Orders!$E$2:$E$20001,"Prepaid",Orders!$F$2:$F$20001,"RTO"))</f>
        <v/>
      </c>
      <c r="F1429" s="17" t="str">
        <f aca="false">IF($A1429="","",COUNTIFS(Orders!$C$2:$C$20001,$A1429,Orders!$E$2:$E$20001,"Prepaid",Orders!$F$2:$F$20001,"RTO"))</f>
        <v/>
      </c>
      <c r="G1429" s="18" t="str">
        <f aca="false">IF($A1429="","",IFERROR(F1429/E1429,0))</f>
        <v/>
      </c>
      <c r="H1429" s="19" t="str">
        <f aca="false">IF($A1429="","",C1429*Settings!$B$11)</f>
        <v/>
      </c>
      <c r="I1429" s="20" t="str">
        <f aca="false">IF($A1429="","",IF(N(H1429)=0,"",RANK(H1429,$H$5:$H$2004)))</f>
        <v/>
      </c>
      <c r="J1429" s="21" t="str">
        <f aca="false">IF($A1429="","",IF(B1429=0,"No COD orders",IF(B1429&lt;Settings!$B$8,"Too few orders",IF(D1429&gt;=Settings!$B$9,"Restrict COD or verify","Keep COD"))))</f>
        <v/>
      </c>
    </row>
    <row r="1430" customFormat="false" ht="15" hidden="false" customHeight="false" outlineLevel="0" collapsed="false">
      <c r="A1430" s="27"/>
      <c r="B1430" s="17" t="str">
        <f aca="false">IF($A1430="","",COUNTIFS(Orders!$C$2:$C$20001,$A1430,Orders!$E$2:$E$20001,"COD",Orders!$F$2:$F$20001,"Delivered")+COUNTIFS(Orders!$C$2:$C$20001,$A1430,Orders!$E$2:$E$20001,"COD",Orders!$F$2:$F$20001,"RTO"))</f>
        <v/>
      </c>
      <c r="C1430" s="17" t="str">
        <f aca="false">IF($A1430="","",COUNTIFS(Orders!$C$2:$C$20001,$A1430,Orders!$E$2:$E$20001,"COD",Orders!$F$2:$F$20001,"RTO"))</f>
        <v/>
      </c>
      <c r="D1430" s="18" t="str">
        <f aca="false">IF($A1430="","",IFERROR(C1430/B1430,0))</f>
        <v/>
      </c>
      <c r="E1430" s="17" t="str">
        <f aca="false">IF($A1430="","",COUNTIFS(Orders!$C$2:$C$20001,$A1430,Orders!$E$2:$E$20001,"Prepaid",Orders!$F$2:$F$20001,"Delivered")+COUNTIFS(Orders!$C$2:$C$20001,$A1430,Orders!$E$2:$E$20001,"Prepaid",Orders!$F$2:$F$20001,"RTO"))</f>
        <v/>
      </c>
      <c r="F1430" s="17" t="str">
        <f aca="false">IF($A1430="","",COUNTIFS(Orders!$C$2:$C$20001,$A1430,Orders!$E$2:$E$20001,"Prepaid",Orders!$F$2:$F$20001,"RTO"))</f>
        <v/>
      </c>
      <c r="G1430" s="18" t="str">
        <f aca="false">IF($A1430="","",IFERROR(F1430/E1430,0))</f>
        <v/>
      </c>
      <c r="H1430" s="19" t="str">
        <f aca="false">IF($A1430="","",C1430*Settings!$B$11)</f>
        <v/>
      </c>
      <c r="I1430" s="20" t="str">
        <f aca="false">IF($A1430="","",IF(N(H1430)=0,"",RANK(H1430,$H$5:$H$2004)))</f>
        <v/>
      </c>
      <c r="J1430" s="21" t="str">
        <f aca="false">IF($A1430="","",IF(B1430=0,"No COD orders",IF(B1430&lt;Settings!$B$8,"Too few orders",IF(D1430&gt;=Settings!$B$9,"Restrict COD or verify","Keep COD"))))</f>
        <v/>
      </c>
    </row>
    <row r="1431" customFormat="false" ht="15" hidden="false" customHeight="false" outlineLevel="0" collapsed="false">
      <c r="A1431" s="27"/>
      <c r="B1431" s="17" t="str">
        <f aca="false">IF($A1431="","",COUNTIFS(Orders!$C$2:$C$20001,$A1431,Orders!$E$2:$E$20001,"COD",Orders!$F$2:$F$20001,"Delivered")+COUNTIFS(Orders!$C$2:$C$20001,$A1431,Orders!$E$2:$E$20001,"COD",Orders!$F$2:$F$20001,"RTO"))</f>
        <v/>
      </c>
      <c r="C1431" s="17" t="str">
        <f aca="false">IF($A1431="","",COUNTIFS(Orders!$C$2:$C$20001,$A1431,Orders!$E$2:$E$20001,"COD",Orders!$F$2:$F$20001,"RTO"))</f>
        <v/>
      </c>
      <c r="D1431" s="18" t="str">
        <f aca="false">IF($A1431="","",IFERROR(C1431/B1431,0))</f>
        <v/>
      </c>
      <c r="E1431" s="17" t="str">
        <f aca="false">IF($A1431="","",COUNTIFS(Orders!$C$2:$C$20001,$A1431,Orders!$E$2:$E$20001,"Prepaid",Orders!$F$2:$F$20001,"Delivered")+COUNTIFS(Orders!$C$2:$C$20001,$A1431,Orders!$E$2:$E$20001,"Prepaid",Orders!$F$2:$F$20001,"RTO"))</f>
        <v/>
      </c>
      <c r="F1431" s="17" t="str">
        <f aca="false">IF($A1431="","",COUNTIFS(Orders!$C$2:$C$20001,$A1431,Orders!$E$2:$E$20001,"Prepaid",Orders!$F$2:$F$20001,"RTO"))</f>
        <v/>
      </c>
      <c r="G1431" s="18" t="str">
        <f aca="false">IF($A1431="","",IFERROR(F1431/E1431,0))</f>
        <v/>
      </c>
      <c r="H1431" s="19" t="str">
        <f aca="false">IF($A1431="","",C1431*Settings!$B$11)</f>
        <v/>
      </c>
      <c r="I1431" s="20" t="str">
        <f aca="false">IF($A1431="","",IF(N(H1431)=0,"",RANK(H1431,$H$5:$H$2004)))</f>
        <v/>
      </c>
      <c r="J1431" s="21" t="str">
        <f aca="false">IF($A1431="","",IF(B1431=0,"No COD orders",IF(B1431&lt;Settings!$B$8,"Too few orders",IF(D1431&gt;=Settings!$B$9,"Restrict COD or verify","Keep COD"))))</f>
        <v/>
      </c>
    </row>
    <row r="1432" customFormat="false" ht="15" hidden="false" customHeight="false" outlineLevel="0" collapsed="false">
      <c r="A1432" s="27"/>
      <c r="B1432" s="17" t="str">
        <f aca="false">IF($A1432="","",COUNTIFS(Orders!$C$2:$C$20001,$A1432,Orders!$E$2:$E$20001,"COD",Orders!$F$2:$F$20001,"Delivered")+COUNTIFS(Orders!$C$2:$C$20001,$A1432,Orders!$E$2:$E$20001,"COD",Orders!$F$2:$F$20001,"RTO"))</f>
        <v/>
      </c>
      <c r="C1432" s="17" t="str">
        <f aca="false">IF($A1432="","",COUNTIFS(Orders!$C$2:$C$20001,$A1432,Orders!$E$2:$E$20001,"COD",Orders!$F$2:$F$20001,"RTO"))</f>
        <v/>
      </c>
      <c r="D1432" s="18" t="str">
        <f aca="false">IF($A1432="","",IFERROR(C1432/B1432,0))</f>
        <v/>
      </c>
      <c r="E1432" s="17" t="str">
        <f aca="false">IF($A1432="","",COUNTIFS(Orders!$C$2:$C$20001,$A1432,Orders!$E$2:$E$20001,"Prepaid",Orders!$F$2:$F$20001,"Delivered")+COUNTIFS(Orders!$C$2:$C$20001,$A1432,Orders!$E$2:$E$20001,"Prepaid",Orders!$F$2:$F$20001,"RTO"))</f>
        <v/>
      </c>
      <c r="F1432" s="17" t="str">
        <f aca="false">IF($A1432="","",COUNTIFS(Orders!$C$2:$C$20001,$A1432,Orders!$E$2:$E$20001,"Prepaid",Orders!$F$2:$F$20001,"RTO"))</f>
        <v/>
      </c>
      <c r="G1432" s="18" t="str">
        <f aca="false">IF($A1432="","",IFERROR(F1432/E1432,0))</f>
        <v/>
      </c>
      <c r="H1432" s="19" t="str">
        <f aca="false">IF($A1432="","",C1432*Settings!$B$11)</f>
        <v/>
      </c>
      <c r="I1432" s="20" t="str">
        <f aca="false">IF($A1432="","",IF(N(H1432)=0,"",RANK(H1432,$H$5:$H$2004)))</f>
        <v/>
      </c>
      <c r="J1432" s="21" t="str">
        <f aca="false">IF($A1432="","",IF(B1432=0,"No COD orders",IF(B1432&lt;Settings!$B$8,"Too few orders",IF(D1432&gt;=Settings!$B$9,"Restrict COD or verify","Keep COD"))))</f>
        <v/>
      </c>
    </row>
    <row r="1433" customFormat="false" ht="15" hidden="false" customHeight="false" outlineLevel="0" collapsed="false">
      <c r="A1433" s="27"/>
      <c r="B1433" s="17" t="str">
        <f aca="false">IF($A1433="","",COUNTIFS(Orders!$C$2:$C$20001,$A1433,Orders!$E$2:$E$20001,"COD",Orders!$F$2:$F$20001,"Delivered")+COUNTIFS(Orders!$C$2:$C$20001,$A1433,Orders!$E$2:$E$20001,"COD",Orders!$F$2:$F$20001,"RTO"))</f>
        <v/>
      </c>
      <c r="C1433" s="17" t="str">
        <f aca="false">IF($A1433="","",COUNTIFS(Orders!$C$2:$C$20001,$A1433,Orders!$E$2:$E$20001,"COD",Orders!$F$2:$F$20001,"RTO"))</f>
        <v/>
      </c>
      <c r="D1433" s="18" t="str">
        <f aca="false">IF($A1433="","",IFERROR(C1433/B1433,0))</f>
        <v/>
      </c>
      <c r="E1433" s="17" t="str">
        <f aca="false">IF($A1433="","",COUNTIFS(Orders!$C$2:$C$20001,$A1433,Orders!$E$2:$E$20001,"Prepaid",Orders!$F$2:$F$20001,"Delivered")+COUNTIFS(Orders!$C$2:$C$20001,$A1433,Orders!$E$2:$E$20001,"Prepaid",Orders!$F$2:$F$20001,"RTO"))</f>
        <v/>
      </c>
      <c r="F1433" s="17" t="str">
        <f aca="false">IF($A1433="","",COUNTIFS(Orders!$C$2:$C$20001,$A1433,Orders!$E$2:$E$20001,"Prepaid",Orders!$F$2:$F$20001,"RTO"))</f>
        <v/>
      </c>
      <c r="G1433" s="18" t="str">
        <f aca="false">IF($A1433="","",IFERROR(F1433/E1433,0))</f>
        <v/>
      </c>
      <c r="H1433" s="19" t="str">
        <f aca="false">IF($A1433="","",C1433*Settings!$B$11)</f>
        <v/>
      </c>
      <c r="I1433" s="20" t="str">
        <f aca="false">IF($A1433="","",IF(N(H1433)=0,"",RANK(H1433,$H$5:$H$2004)))</f>
        <v/>
      </c>
      <c r="J1433" s="21" t="str">
        <f aca="false">IF($A1433="","",IF(B1433=0,"No COD orders",IF(B1433&lt;Settings!$B$8,"Too few orders",IF(D1433&gt;=Settings!$B$9,"Restrict COD or verify","Keep COD"))))</f>
        <v/>
      </c>
    </row>
    <row r="1434" customFormat="false" ht="15" hidden="false" customHeight="false" outlineLevel="0" collapsed="false">
      <c r="A1434" s="27"/>
      <c r="B1434" s="17" t="str">
        <f aca="false">IF($A1434="","",COUNTIFS(Orders!$C$2:$C$20001,$A1434,Orders!$E$2:$E$20001,"COD",Orders!$F$2:$F$20001,"Delivered")+COUNTIFS(Orders!$C$2:$C$20001,$A1434,Orders!$E$2:$E$20001,"COD",Orders!$F$2:$F$20001,"RTO"))</f>
        <v/>
      </c>
      <c r="C1434" s="17" t="str">
        <f aca="false">IF($A1434="","",COUNTIFS(Orders!$C$2:$C$20001,$A1434,Orders!$E$2:$E$20001,"COD",Orders!$F$2:$F$20001,"RTO"))</f>
        <v/>
      </c>
      <c r="D1434" s="18" t="str">
        <f aca="false">IF($A1434="","",IFERROR(C1434/B1434,0))</f>
        <v/>
      </c>
      <c r="E1434" s="17" t="str">
        <f aca="false">IF($A1434="","",COUNTIFS(Orders!$C$2:$C$20001,$A1434,Orders!$E$2:$E$20001,"Prepaid",Orders!$F$2:$F$20001,"Delivered")+COUNTIFS(Orders!$C$2:$C$20001,$A1434,Orders!$E$2:$E$20001,"Prepaid",Orders!$F$2:$F$20001,"RTO"))</f>
        <v/>
      </c>
      <c r="F1434" s="17" t="str">
        <f aca="false">IF($A1434="","",COUNTIFS(Orders!$C$2:$C$20001,$A1434,Orders!$E$2:$E$20001,"Prepaid",Orders!$F$2:$F$20001,"RTO"))</f>
        <v/>
      </c>
      <c r="G1434" s="18" t="str">
        <f aca="false">IF($A1434="","",IFERROR(F1434/E1434,0))</f>
        <v/>
      </c>
      <c r="H1434" s="19" t="str">
        <f aca="false">IF($A1434="","",C1434*Settings!$B$11)</f>
        <v/>
      </c>
      <c r="I1434" s="20" t="str">
        <f aca="false">IF($A1434="","",IF(N(H1434)=0,"",RANK(H1434,$H$5:$H$2004)))</f>
        <v/>
      </c>
      <c r="J1434" s="21" t="str">
        <f aca="false">IF($A1434="","",IF(B1434=0,"No COD orders",IF(B1434&lt;Settings!$B$8,"Too few orders",IF(D1434&gt;=Settings!$B$9,"Restrict COD or verify","Keep COD"))))</f>
        <v/>
      </c>
    </row>
    <row r="1435" customFormat="false" ht="15" hidden="false" customHeight="false" outlineLevel="0" collapsed="false">
      <c r="A1435" s="27"/>
      <c r="B1435" s="17" t="str">
        <f aca="false">IF($A1435="","",COUNTIFS(Orders!$C$2:$C$20001,$A1435,Orders!$E$2:$E$20001,"COD",Orders!$F$2:$F$20001,"Delivered")+COUNTIFS(Orders!$C$2:$C$20001,$A1435,Orders!$E$2:$E$20001,"COD",Orders!$F$2:$F$20001,"RTO"))</f>
        <v/>
      </c>
      <c r="C1435" s="17" t="str">
        <f aca="false">IF($A1435="","",COUNTIFS(Orders!$C$2:$C$20001,$A1435,Orders!$E$2:$E$20001,"COD",Orders!$F$2:$F$20001,"RTO"))</f>
        <v/>
      </c>
      <c r="D1435" s="18" t="str">
        <f aca="false">IF($A1435="","",IFERROR(C1435/B1435,0))</f>
        <v/>
      </c>
      <c r="E1435" s="17" t="str">
        <f aca="false">IF($A1435="","",COUNTIFS(Orders!$C$2:$C$20001,$A1435,Orders!$E$2:$E$20001,"Prepaid",Orders!$F$2:$F$20001,"Delivered")+COUNTIFS(Orders!$C$2:$C$20001,$A1435,Orders!$E$2:$E$20001,"Prepaid",Orders!$F$2:$F$20001,"RTO"))</f>
        <v/>
      </c>
      <c r="F1435" s="17" t="str">
        <f aca="false">IF($A1435="","",COUNTIFS(Orders!$C$2:$C$20001,$A1435,Orders!$E$2:$E$20001,"Prepaid",Orders!$F$2:$F$20001,"RTO"))</f>
        <v/>
      </c>
      <c r="G1435" s="18" t="str">
        <f aca="false">IF($A1435="","",IFERROR(F1435/E1435,0))</f>
        <v/>
      </c>
      <c r="H1435" s="19" t="str">
        <f aca="false">IF($A1435="","",C1435*Settings!$B$11)</f>
        <v/>
      </c>
      <c r="I1435" s="20" t="str">
        <f aca="false">IF($A1435="","",IF(N(H1435)=0,"",RANK(H1435,$H$5:$H$2004)))</f>
        <v/>
      </c>
      <c r="J1435" s="21" t="str">
        <f aca="false">IF($A1435="","",IF(B1435=0,"No COD orders",IF(B1435&lt;Settings!$B$8,"Too few orders",IF(D1435&gt;=Settings!$B$9,"Restrict COD or verify","Keep COD"))))</f>
        <v/>
      </c>
    </row>
    <row r="1436" customFormat="false" ht="15" hidden="false" customHeight="false" outlineLevel="0" collapsed="false">
      <c r="A1436" s="27"/>
      <c r="B1436" s="17" t="str">
        <f aca="false">IF($A1436="","",COUNTIFS(Orders!$C$2:$C$20001,$A1436,Orders!$E$2:$E$20001,"COD",Orders!$F$2:$F$20001,"Delivered")+COUNTIFS(Orders!$C$2:$C$20001,$A1436,Orders!$E$2:$E$20001,"COD",Orders!$F$2:$F$20001,"RTO"))</f>
        <v/>
      </c>
      <c r="C1436" s="17" t="str">
        <f aca="false">IF($A1436="","",COUNTIFS(Orders!$C$2:$C$20001,$A1436,Orders!$E$2:$E$20001,"COD",Orders!$F$2:$F$20001,"RTO"))</f>
        <v/>
      </c>
      <c r="D1436" s="18" t="str">
        <f aca="false">IF($A1436="","",IFERROR(C1436/B1436,0))</f>
        <v/>
      </c>
      <c r="E1436" s="17" t="str">
        <f aca="false">IF($A1436="","",COUNTIFS(Orders!$C$2:$C$20001,$A1436,Orders!$E$2:$E$20001,"Prepaid",Orders!$F$2:$F$20001,"Delivered")+COUNTIFS(Orders!$C$2:$C$20001,$A1436,Orders!$E$2:$E$20001,"Prepaid",Orders!$F$2:$F$20001,"RTO"))</f>
        <v/>
      </c>
      <c r="F1436" s="17" t="str">
        <f aca="false">IF($A1436="","",COUNTIFS(Orders!$C$2:$C$20001,$A1436,Orders!$E$2:$E$20001,"Prepaid",Orders!$F$2:$F$20001,"RTO"))</f>
        <v/>
      </c>
      <c r="G1436" s="18" t="str">
        <f aca="false">IF($A1436="","",IFERROR(F1436/E1436,0))</f>
        <v/>
      </c>
      <c r="H1436" s="19" t="str">
        <f aca="false">IF($A1436="","",C1436*Settings!$B$11)</f>
        <v/>
      </c>
      <c r="I1436" s="20" t="str">
        <f aca="false">IF($A1436="","",IF(N(H1436)=0,"",RANK(H1436,$H$5:$H$2004)))</f>
        <v/>
      </c>
      <c r="J1436" s="21" t="str">
        <f aca="false">IF($A1436="","",IF(B1436=0,"No COD orders",IF(B1436&lt;Settings!$B$8,"Too few orders",IF(D1436&gt;=Settings!$B$9,"Restrict COD or verify","Keep COD"))))</f>
        <v/>
      </c>
    </row>
    <row r="1437" customFormat="false" ht="15" hidden="false" customHeight="false" outlineLevel="0" collapsed="false">
      <c r="A1437" s="27"/>
      <c r="B1437" s="17" t="str">
        <f aca="false">IF($A1437="","",COUNTIFS(Orders!$C$2:$C$20001,$A1437,Orders!$E$2:$E$20001,"COD",Orders!$F$2:$F$20001,"Delivered")+COUNTIFS(Orders!$C$2:$C$20001,$A1437,Orders!$E$2:$E$20001,"COD",Orders!$F$2:$F$20001,"RTO"))</f>
        <v/>
      </c>
      <c r="C1437" s="17" t="str">
        <f aca="false">IF($A1437="","",COUNTIFS(Orders!$C$2:$C$20001,$A1437,Orders!$E$2:$E$20001,"COD",Orders!$F$2:$F$20001,"RTO"))</f>
        <v/>
      </c>
      <c r="D1437" s="18" t="str">
        <f aca="false">IF($A1437="","",IFERROR(C1437/B1437,0))</f>
        <v/>
      </c>
      <c r="E1437" s="17" t="str">
        <f aca="false">IF($A1437="","",COUNTIFS(Orders!$C$2:$C$20001,$A1437,Orders!$E$2:$E$20001,"Prepaid",Orders!$F$2:$F$20001,"Delivered")+COUNTIFS(Orders!$C$2:$C$20001,$A1437,Orders!$E$2:$E$20001,"Prepaid",Orders!$F$2:$F$20001,"RTO"))</f>
        <v/>
      </c>
      <c r="F1437" s="17" t="str">
        <f aca="false">IF($A1437="","",COUNTIFS(Orders!$C$2:$C$20001,$A1437,Orders!$E$2:$E$20001,"Prepaid",Orders!$F$2:$F$20001,"RTO"))</f>
        <v/>
      </c>
      <c r="G1437" s="18" t="str">
        <f aca="false">IF($A1437="","",IFERROR(F1437/E1437,0))</f>
        <v/>
      </c>
      <c r="H1437" s="19" t="str">
        <f aca="false">IF($A1437="","",C1437*Settings!$B$11)</f>
        <v/>
      </c>
      <c r="I1437" s="20" t="str">
        <f aca="false">IF($A1437="","",IF(N(H1437)=0,"",RANK(H1437,$H$5:$H$2004)))</f>
        <v/>
      </c>
      <c r="J1437" s="21" t="str">
        <f aca="false">IF($A1437="","",IF(B1437=0,"No COD orders",IF(B1437&lt;Settings!$B$8,"Too few orders",IF(D1437&gt;=Settings!$B$9,"Restrict COD or verify","Keep COD"))))</f>
        <v/>
      </c>
    </row>
    <row r="1438" customFormat="false" ht="15" hidden="false" customHeight="false" outlineLevel="0" collapsed="false">
      <c r="A1438" s="27"/>
      <c r="B1438" s="17" t="str">
        <f aca="false">IF($A1438="","",COUNTIFS(Orders!$C$2:$C$20001,$A1438,Orders!$E$2:$E$20001,"COD",Orders!$F$2:$F$20001,"Delivered")+COUNTIFS(Orders!$C$2:$C$20001,$A1438,Orders!$E$2:$E$20001,"COD",Orders!$F$2:$F$20001,"RTO"))</f>
        <v/>
      </c>
      <c r="C1438" s="17" t="str">
        <f aca="false">IF($A1438="","",COUNTIFS(Orders!$C$2:$C$20001,$A1438,Orders!$E$2:$E$20001,"COD",Orders!$F$2:$F$20001,"RTO"))</f>
        <v/>
      </c>
      <c r="D1438" s="18" t="str">
        <f aca="false">IF($A1438="","",IFERROR(C1438/B1438,0))</f>
        <v/>
      </c>
      <c r="E1438" s="17" t="str">
        <f aca="false">IF($A1438="","",COUNTIFS(Orders!$C$2:$C$20001,$A1438,Orders!$E$2:$E$20001,"Prepaid",Orders!$F$2:$F$20001,"Delivered")+COUNTIFS(Orders!$C$2:$C$20001,$A1438,Orders!$E$2:$E$20001,"Prepaid",Orders!$F$2:$F$20001,"RTO"))</f>
        <v/>
      </c>
      <c r="F1438" s="17" t="str">
        <f aca="false">IF($A1438="","",COUNTIFS(Orders!$C$2:$C$20001,$A1438,Orders!$E$2:$E$20001,"Prepaid",Orders!$F$2:$F$20001,"RTO"))</f>
        <v/>
      </c>
      <c r="G1438" s="18" t="str">
        <f aca="false">IF($A1438="","",IFERROR(F1438/E1438,0))</f>
        <v/>
      </c>
      <c r="H1438" s="19" t="str">
        <f aca="false">IF($A1438="","",C1438*Settings!$B$11)</f>
        <v/>
      </c>
      <c r="I1438" s="20" t="str">
        <f aca="false">IF($A1438="","",IF(N(H1438)=0,"",RANK(H1438,$H$5:$H$2004)))</f>
        <v/>
      </c>
      <c r="J1438" s="21" t="str">
        <f aca="false">IF($A1438="","",IF(B1438=0,"No COD orders",IF(B1438&lt;Settings!$B$8,"Too few orders",IF(D1438&gt;=Settings!$B$9,"Restrict COD or verify","Keep COD"))))</f>
        <v/>
      </c>
    </row>
    <row r="1439" customFormat="false" ht="15" hidden="false" customHeight="false" outlineLevel="0" collapsed="false">
      <c r="A1439" s="27"/>
      <c r="B1439" s="17" t="str">
        <f aca="false">IF($A1439="","",COUNTIFS(Orders!$C$2:$C$20001,$A1439,Orders!$E$2:$E$20001,"COD",Orders!$F$2:$F$20001,"Delivered")+COUNTIFS(Orders!$C$2:$C$20001,$A1439,Orders!$E$2:$E$20001,"COD",Orders!$F$2:$F$20001,"RTO"))</f>
        <v/>
      </c>
      <c r="C1439" s="17" t="str">
        <f aca="false">IF($A1439="","",COUNTIFS(Orders!$C$2:$C$20001,$A1439,Orders!$E$2:$E$20001,"COD",Orders!$F$2:$F$20001,"RTO"))</f>
        <v/>
      </c>
      <c r="D1439" s="18" t="str">
        <f aca="false">IF($A1439="","",IFERROR(C1439/B1439,0))</f>
        <v/>
      </c>
      <c r="E1439" s="17" t="str">
        <f aca="false">IF($A1439="","",COUNTIFS(Orders!$C$2:$C$20001,$A1439,Orders!$E$2:$E$20001,"Prepaid",Orders!$F$2:$F$20001,"Delivered")+COUNTIFS(Orders!$C$2:$C$20001,$A1439,Orders!$E$2:$E$20001,"Prepaid",Orders!$F$2:$F$20001,"RTO"))</f>
        <v/>
      </c>
      <c r="F1439" s="17" t="str">
        <f aca="false">IF($A1439="","",COUNTIFS(Orders!$C$2:$C$20001,$A1439,Orders!$E$2:$E$20001,"Prepaid",Orders!$F$2:$F$20001,"RTO"))</f>
        <v/>
      </c>
      <c r="G1439" s="18" t="str">
        <f aca="false">IF($A1439="","",IFERROR(F1439/E1439,0))</f>
        <v/>
      </c>
      <c r="H1439" s="19" t="str">
        <f aca="false">IF($A1439="","",C1439*Settings!$B$11)</f>
        <v/>
      </c>
      <c r="I1439" s="20" t="str">
        <f aca="false">IF($A1439="","",IF(N(H1439)=0,"",RANK(H1439,$H$5:$H$2004)))</f>
        <v/>
      </c>
      <c r="J1439" s="21" t="str">
        <f aca="false">IF($A1439="","",IF(B1439=0,"No COD orders",IF(B1439&lt;Settings!$B$8,"Too few orders",IF(D1439&gt;=Settings!$B$9,"Restrict COD or verify","Keep COD"))))</f>
        <v/>
      </c>
    </row>
    <row r="1440" customFormat="false" ht="15" hidden="false" customHeight="false" outlineLevel="0" collapsed="false">
      <c r="A1440" s="27"/>
      <c r="B1440" s="17" t="str">
        <f aca="false">IF($A1440="","",COUNTIFS(Orders!$C$2:$C$20001,$A1440,Orders!$E$2:$E$20001,"COD",Orders!$F$2:$F$20001,"Delivered")+COUNTIFS(Orders!$C$2:$C$20001,$A1440,Orders!$E$2:$E$20001,"COD",Orders!$F$2:$F$20001,"RTO"))</f>
        <v/>
      </c>
      <c r="C1440" s="17" t="str">
        <f aca="false">IF($A1440="","",COUNTIFS(Orders!$C$2:$C$20001,$A1440,Orders!$E$2:$E$20001,"COD",Orders!$F$2:$F$20001,"RTO"))</f>
        <v/>
      </c>
      <c r="D1440" s="18" t="str">
        <f aca="false">IF($A1440="","",IFERROR(C1440/B1440,0))</f>
        <v/>
      </c>
      <c r="E1440" s="17" t="str">
        <f aca="false">IF($A1440="","",COUNTIFS(Orders!$C$2:$C$20001,$A1440,Orders!$E$2:$E$20001,"Prepaid",Orders!$F$2:$F$20001,"Delivered")+COUNTIFS(Orders!$C$2:$C$20001,$A1440,Orders!$E$2:$E$20001,"Prepaid",Orders!$F$2:$F$20001,"RTO"))</f>
        <v/>
      </c>
      <c r="F1440" s="17" t="str">
        <f aca="false">IF($A1440="","",COUNTIFS(Orders!$C$2:$C$20001,$A1440,Orders!$E$2:$E$20001,"Prepaid",Orders!$F$2:$F$20001,"RTO"))</f>
        <v/>
      </c>
      <c r="G1440" s="18" t="str">
        <f aca="false">IF($A1440="","",IFERROR(F1440/E1440,0))</f>
        <v/>
      </c>
      <c r="H1440" s="19" t="str">
        <f aca="false">IF($A1440="","",C1440*Settings!$B$11)</f>
        <v/>
      </c>
      <c r="I1440" s="20" t="str">
        <f aca="false">IF($A1440="","",IF(N(H1440)=0,"",RANK(H1440,$H$5:$H$2004)))</f>
        <v/>
      </c>
      <c r="J1440" s="21" t="str">
        <f aca="false">IF($A1440="","",IF(B1440=0,"No COD orders",IF(B1440&lt;Settings!$B$8,"Too few orders",IF(D1440&gt;=Settings!$B$9,"Restrict COD or verify","Keep COD"))))</f>
        <v/>
      </c>
    </row>
    <row r="1441" customFormat="false" ht="15" hidden="false" customHeight="false" outlineLevel="0" collapsed="false">
      <c r="A1441" s="27"/>
      <c r="B1441" s="17" t="str">
        <f aca="false">IF($A1441="","",COUNTIFS(Orders!$C$2:$C$20001,$A1441,Orders!$E$2:$E$20001,"COD",Orders!$F$2:$F$20001,"Delivered")+COUNTIFS(Orders!$C$2:$C$20001,$A1441,Orders!$E$2:$E$20001,"COD",Orders!$F$2:$F$20001,"RTO"))</f>
        <v/>
      </c>
      <c r="C1441" s="17" t="str">
        <f aca="false">IF($A1441="","",COUNTIFS(Orders!$C$2:$C$20001,$A1441,Orders!$E$2:$E$20001,"COD",Orders!$F$2:$F$20001,"RTO"))</f>
        <v/>
      </c>
      <c r="D1441" s="18" t="str">
        <f aca="false">IF($A1441="","",IFERROR(C1441/B1441,0))</f>
        <v/>
      </c>
      <c r="E1441" s="17" t="str">
        <f aca="false">IF($A1441="","",COUNTIFS(Orders!$C$2:$C$20001,$A1441,Orders!$E$2:$E$20001,"Prepaid",Orders!$F$2:$F$20001,"Delivered")+COUNTIFS(Orders!$C$2:$C$20001,$A1441,Orders!$E$2:$E$20001,"Prepaid",Orders!$F$2:$F$20001,"RTO"))</f>
        <v/>
      </c>
      <c r="F1441" s="17" t="str">
        <f aca="false">IF($A1441="","",COUNTIFS(Orders!$C$2:$C$20001,$A1441,Orders!$E$2:$E$20001,"Prepaid",Orders!$F$2:$F$20001,"RTO"))</f>
        <v/>
      </c>
      <c r="G1441" s="18" t="str">
        <f aca="false">IF($A1441="","",IFERROR(F1441/E1441,0))</f>
        <v/>
      </c>
      <c r="H1441" s="19" t="str">
        <f aca="false">IF($A1441="","",C1441*Settings!$B$11)</f>
        <v/>
      </c>
      <c r="I1441" s="20" t="str">
        <f aca="false">IF($A1441="","",IF(N(H1441)=0,"",RANK(H1441,$H$5:$H$2004)))</f>
        <v/>
      </c>
      <c r="J1441" s="21" t="str">
        <f aca="false">IF($A1441="","",IF(B1441=0,"No COD orders",IF(B1441&lt;Settings!$B$8,"Too few orders",IF(D1441&gt;=Settings!$B$9,"Restrict COD or verify","Keep COD"))))</f>
        <v/>
      </c>
    </row>
    <row r="1442" customFormat="false" ht="15" hidden="false" customHeight="false" outlineLevel="0" collapsed="false">
      <c r="A1442" s="27"/>
      <c r="B1442" s="17" t="str">
        <f aca="false">IF($A1442="","",COUNTIFS(Orders!$C$2:$C$20001,$A1442,Orders!$E$2:$E$20001,"COD",Orders!$F$2:$F$20001,"Delivered")+COUNTIFS(Orders!$C$2:$C$20001,$A1442,Orders!$E$2:$E$20001,"COD",Orders!$F$2:$F$20001,"RTO"))</f>
        <v/>
      </c>
      <c r="C1442" s="17" t="str">
        <f aca="false">IF($A1442="","",COUNTIFS(Orders!$C$2:$C$20001,$A1442,Orders!$E$2:$E$20001,"COD",Orders!$F$2:$F$20001,"RTO"))</f>
        <v/>
      </c>
      <c r="D1442" s="18" t="str">
        <f aca="false">IF($A1442="","",IFERROR(C1442/B1442,0))</f>
        <v/>
      </c>
      <c r="E1442" s="17" t="str">
        <f aca="false">IF($A1442="","",COUNTIFS(Orders!$C$2:$C$20001,$A1442,Orders!$E$2:$E$20001,"Prepaid",Orders!$F$2:$F$20001,"Delivered")+COUNTIFS(Orders!$C$2:$C$20001,$A1442,Orders!$E$2:$E$20001,"Prepaid",Orders!$F$2:$F$20001,"RTO"))</f>
        <v/>
      </c>
      <c r="F1442" s="17" t="str">
        <f aca="false">IF($A1442="","",COUNTIFS(Orders!$C$2:$C$20001,$A1442,Orders!$E$2:$E$20001,"Prepaid",Orders!$F$2:$F$20001,"RTO"))</f>
        <v/>
      </c>
      <c r="G1442" s="18" t="str">
        <f aca="false">IF($A1442="","",IFERROR(F1442/E1442,0))</f>
        <v/>
      </c>
      <c r="H1442" s="19" t="str">
        <f aca="false">IF($A1442="","",C1442*Settings!$B$11)</f>
        <v/>
      </c>
      <c r="I1442" s="20" t="str">
        <f aca="false">IF($A1442="","",IF(N(H1442)=0,"",RANK(H1442,$H$5:$H$2004)))</f>
        <v/>
      </c>
      <c r="J1442" s="21" t="str">
        <f aca="false">IF($A1442="","",IF(B1442=0,"No COD orders",IF(B1442&lt;Settings!$B$8,"Too few orders",IF(D1442&gt;=Settings!$B$9,"Restrict COD or verify","Keep COD"))))</f>
        <v/>
      </c>
    </row>
    <row r="1443" customFormat="false" ht="15" hidden="false" customHeight="false" outlineLevel="0" collapsed="false">
      <c r="A1443" s="27"/>
      <c r="B1443" s="17" t="str">
        <f aca="false">IF($A1443="","",COUNTIFS(Orders!$C$2:$C$20001,$A1443,Orders!$E$2:$E$20001,"COD",Orders!$F$2:$F$20001,"Delivered")+COUNTIFS(Orders!$C$2:$C$20001,$A1443,Orders!$E$2:$E$20001,"COD",Orders!$F$2:$F$20001,"RTO"))</f>
        <v/>
      </c>
      <c r="C1443" s="17" t="str">
        <f aca="false">IF($A1443="","",COUNTIFS(Orders!$C$2:$C$20001,$A1443,Orders!$E$2:$E$20001,"COD",Orders!$F$2:$F$20001,"RTO"))</f>
        <v/>
      </c>
      <c r="D1443" s="18" t="str">
        <f aca="false">IF($A1443="","",IFERROR(C1443/B1443,0))</f>
        <v/>
      </c>
      <c r="E1443" s="17" t="str">
        <f aca="false">IF($A1443="","",COUNTIFS(Orders!$C$2:$C$20001,$A1443,Orders!$E$2:$E$20001,"Prepaid",Orders!$F$2:$F$20001,"Delivered")+COUNTIFS(Orders!$C$2:$C$20001,$A1443,Orders!$E$2:$E$20001,"Prepaid",Orders!$F$2:$F$20001,"RTO"))</f>
        <v/>
      </c>
      <c r="F1443" s="17" t="str">
        <f aca="false">IF($A1443="","",COUNTIFS(Orders!$C$2:$C$20001,$A1443,Orders!$E$2:$E$20001,"Prepaid",Orders!$F$2:$F$20001,"RTO"))</f>
        <v/>
      </c>
      <c r="G1443" s="18" t="str">
        <f aca="false">IF($A1443="","",IFERROR(F1443/E1443,0))</f>
        <v/>
      </c>
      <c r="H1443" s="19" t="str">
        <f aca="false">IF($A1443="","",C1443*Settings!$B$11)</f>
        <v/>
      </c>
      <c r="I1443" s="20" t="str">
        <f aca="false">IF($A1443="","",IF(N(H1443)=0,"",RANK(H1443,$H$5:$H$2004)))</f>
        <v/>
      </c>
      <c r="J1443" s="21" t="str">
        <f aca="false">IF($A1443="","",IF(B1443=0,"No COD orders",IF(B1443&lt;Settings!$B$8,"Too few orders",IF(D1443&gt;=Settings!$B$9,"Restrict COD or verify","Keep COD"))))</f>
        <v/>
      </c>
    </row>
    <row r="1444" customFormat="false" ht="15" hidden="false" customHeight="false" outlineLevel="0" collapsed="false">
      <c r="A1444" s="27"/>
      <c r="B1444" s="17" t="str">
        <f aca="false">IF($A1444="","",COUNTIFS(Orders!$C$2:$C$20001,$A1444,Orders!$E$2:$E$20001,"COD",Orders!$F$2:$F$20001,"Delivered")+COUNTIFS(Orders!$C$2:$C$20001,$A1444,Orders!$E$2:$E$20001,"COD",Orders!$F$2:$F$20001,"RTO"))</f>
        <v/>
      </c>
      <c r="C1444" s="17" t="str">
        <f aca="false">IF($A1444="","",COUNTIFS(Orders!$C$2:$C$20001,$A1444,Orders!$E$2:$E$20001,"COD",Orders!$F$2:$F$20001,"RTO"))</f>
        <v/>
      </c>
      <c r="D1444" s="18" t="str">
        <f aca="false">IF($A1444="","",IFERROR(C1444/B1444,0))</f>
        <v/>
      </c>
      <c r="E1444" s="17" t="str">
        <f aca="false">IF($A1444="","",COUNTIFS(Orders!$C$2:$C$20001,$A1444,Orders!$E$2:$E$20001,"Prepaid",Orders!$F$2:$F$20001,"Delivered")+COUNTIFS(Orders!$C$2:$C$20001,$A1444,Orders!$E$2:$E$20001,"Prepaid",Orders!$F$2:$F$20001,"RTO"))</f>
        <v/>
      </c>
      <c r="F1444" s="17" t="str">
        <f aca="false">IF($A1444="","",COUNTIFS(Orders!$C$2:$C$20001,$A1444,Orders!$E$2:$E$20001,"Prepaid",Orders!$F$2:$F$20001,"RTO"))</f>
        <v/>
      </c>
      <c r="G1444" s="18" t="str">
        <f aca="false">IF($A1444="","",IFERROR(F1444/E1444,0))</f>
        <v/>
      </c>
      <c r="H1444" s="19" t="str">
        <f aca="false">IF($A1444="","",C1444*Settings!$B$11)</f>
        <v/>
      </c>
      <c r="I1444" s="20" t="str">
        <f aca="false">IF($A1444="","",IF(N(H1444)=0,"",RANK(H1444,$H$5:$H$2004)))</f>
        <v/>
      </c>
      <c r="J1444" s="21" t="str">
        <f aca="false">IF($A1444="","",IF(B1444=0,"No COD orders",IF(B1444&lt;Settings!$B$8,"Too few orders",IF(D1444&gt;=Settings!$B$9,"Restrict COD or verify","Keep COD"))))</f>
        <v/>
      </c>
    </row>
    <row r="1445" customFormat="false" ht="15" hidden="false" customHeight="false" outlineLevel="0" collapsed="false">
      <c r="A1445" s="27"/>
      <c r="B1445" s="17" t="str">
        <f aca="false">IF($A1445="","",COUNTIFS(Orders!$C$2:$C$20001,$A1445,Orders!$E$2:$E$20001,"COD",Orders!$F$2:$F$20001,"Delivered")+COUNTIFS(Orders!$C$2:$C$20001,$A1445,Orders!$E$2:$E$20001,"COD",Orders!$F$2:$F$20001,"RTO"))</f>
        <v/>
      </c>
      <c r="C1445" s="17" t="str">
        <f aca="false">IF($A1445="","",COUNTIFS(Orders!$C$2:$C$20001,$A1445,Orders!$E$2:$E$20001,"COD",Orders!$F$2:$F$20001,"RTO"))</f>
        <v/>
      </c>
      <c r="D1445" s="18" t="str">
        <f aca="false">IF($A1445="","",IFERROR(C1445/B1445,0))</f>
        <v/>
      </c>
      <c r="E1445" s="17" t="str">
        <f aca="false">IF($A1445="","",COUNTIFS(Orders!$C$2:$C$20001,$A1445,Orders!$E$2:$E$20001,"Prepaid",Orders!$F$2:$F$20001,"Delivered")+COUNTIFS(Orders!$C$2:$C$20001,$A1445,Orders!$E$2:$E$20001,"Prepaid",Orders!$F$2:$F$20001,"RTO"))</f>
        <v/>
      </c>
      <c r="F1445" s="17" t="str">
        <f aca="false">IF($A1445="","",COUNTIFS(Orders!$C$2:$C$20001,$A1445,Orders!$E$2:$E$20001,"Prepaid",Orders!$F$2:$F$20001,"RTO"))</f>
        <v/>
      </c>
      <c r="G1445" s="18" t="str">
        <f aca="false">IF($A1445="","",IFERROR(F1445/E1445,0))</f>
        <v/>
      </c>
      <c r="H1445" s="19" t="str">
        <f aca="false">IF($A1445="","",C1445*Settings!$B$11)</f>
        <v/>
      </c>
      <c r="I1445" s="20" t="str">
        <f aca="false">IF($A1445="","",IF(N(H1445)=0,"",RANK(H1445,$H$5:$H$2004)))</f>
        <v/>
      </c>
      <c r="J1445" s="21" t="str">
        <f aca="false">IF($A1445="","",IF(B1445=0,"No COD orders",IF(B1445&lt;Settings!$B$8,"Too few orders",IF(D1445&gt;=Settings!$B$9,"Restrict COD or verify","Keep COD"))))</f>
        <v/>
      </c>
    </row>
    <row r="1446" customFormat="false" ht="15" hidden="false" customHeight="false" outlineLevel="0" collapsed="false">
      <c r="A1446" s="27"/>
      <c r="B1446" s="17" t="str">
        <f aca="false">IF($A1446="","",COUNTIFS(Orders!$C$2:$C$20001,$A1446,Orders!$E$2:$E$20001,"COD",Orders!$F$2:$F$20001,"Delivered")+COUNTIFS(Orders!$C$2:$C$20001,$A1446,Orders!$E$2:$E$20001,"COD",Orders!$F$2:$F$20001,"RTO"))</f>
        <v/>
      </c>
      <c r="C1446" s="17" t="str">
        <f aca="false">IF($A1446="","",COUNTIFS(Orders!$C$2:$C$20001,$A1446,Orders!$E$2:$E$20001,"COD",Orders!$F$2:$F$20001,"RTO"))</f>
        <v/>
      </c>
      <c r="D1446" s="18" t="str">
        <f aca="false">IF($A1446="","",IFERROR(C1446/B1446,0))</f>
        <v/>
      </c>
      <c r="E1446" s="17" t="str">
        <f aca="false">IF($A1446="","",COUNTIFS(Orders!$C$2:$C$20001,$A1446,Orders!$E$2:$E$20001,"Prepaid",Orders!$F$2:$F$20001,"Delivered")+COUNTIFS(Orders!$C$2:$C$20001,$A1446,Orders!$E$2:$E$20001,"Prepaid",Orders!$F$2:$F$20001,"RTO"))</f>
        <v/>
      </c>
      <c r="F1446" s="17" t="str">
        <f aca="false">IF($A1446="","",COUNTIFS(Orders!$C$2:$C$20001,$A1446,Orders!$E$2:$E$20001,"Prepaid",Orders!$F$2:$F$20001,"RTO"))</f>
        <v/>
      </c>
      <c r="G1446" s="18" t="str">
        <f aca="false">IF($A1446="","",IFERROR(F1446/E1446,0))</f>
        <v/>
      </c>
      <c r="H1446" s="19" t="str">
        <f aca="false">IF($A1446="","",C1446*Settings!$B$11)</f>
        <v/>
      </c>
      <c r="I1446" s="20" t="str">
        <f aca="false">IF($A1446="","",IF(N(H1446)=0,"",RANK(H1446,$H$5:$H$2004)))</f>
        <v/>
      </c>
      <c r="J1446" s="21" t="str">
        <f aca="false">IF($A1446="","",IF(B1446=0,"No COD orders",IF(B1446&lt;Settings!$B$8,"Too few orders",IF(D1446&gt;=Settings!$B$9,"Restrict COD or verify","Keep COD"))))</f>
        <v/>
      </c>
    </row>
    <row r="1447" customFormat="false" ht="15" hidden="false" customHeight="false" outlineLevel="0" collapsed="false">
      <c r="A1447" s="27"/>
      <c r="B1447" s="17" t="str">
        <f aca="false">IF($A1447="","",COUNTIFS(Orders!$C$2:$C$20001,$A1447,Orders!$E$2:$E$20001,"COD",Orders!$F$2:$F$20001,"Delivered")+COUNTIFS(Orders!$C$2:$C$20001,$A1447,Orders!$E$2:$E$20001,"COD",Orders!$F$2:$F$20001,"RTO"))</f>
        <v/>
      </c>
      <c r="C1447" s="17" t="str">
        <f aca="false">IF($A1447="","",COUNTIFS(Orders!$C$2:$C$20001,$A1447,Orders!$E$2:$E$20001,"COD",Orders!$F$2:$F$20001,"RTO"))</f>
        <v/>
      </c>
      <c r="D1447" s="18" t="str">
        <f aca="false">IF($A1447="","",IFERROR(C1447/B1447,0))</f>
        <v/>
      </c>
      <c r="E1447" s="17" t="str">
        <f aca="false">IF($A1447="","",COUNTIFS(Orders!$C$2:$C$20001,$A1447,Orders!$E$2:$E$20001,"Prepaid",Orders!$F$2:$F$20001,"Delivered")+COUNTIFS(Orders!$C$2:$C$20001,$A1447,Orders!$E$2:$E$20001,"Prepaid",Orders!$F$2:$F$20001,"RTO"))</f>
        <v/>
      </c>
      <c r="F1447" s="17" t="str">
        <f aca="false">IF($A1447="","",COUNTIFS(Orders!$C$2:$C$20001,$A1447,Orders!$E$2:$E$20001,"Prepaid",Orders!$F$2:$F$20001,"RTO"))</f>
        <v/>
      </c>
      <c r="G1447" s="18" t="str">
        <f aca="false">IF($A1447="","",IFERROR(F1447/E1447,0))</f>
        <v/>
      </c>
      <c r="H1447" s="19" t="str">
        <f aca="false">IF($A1447="","",C1447*Settings!$B$11)</f>
        <v/>
      </c>
      <c r="I1447" s="20" t="str">
        <f aca="false">IF($A1447="","",IF(N(H1447)=0,"",RANK(H1447,$H$5:$H$2004)))</f>
        <v/>
      </c>
      <c r="J1447" s="21" t="str">
        <f aca="false">IF($A1447="","",IF(B1447=0,"No COD orders",IF(B1447&lt;Settings!$B$8,"Too few orders",IF(D1447&gt;=Settings!$B$9,"Restrict COD or verify","Keep COD"))))</f>
        <v/>
      </c>
    </row>
    <row r="1448" customFormat="false" ht="15" hidden="false" customHeight="false" outlineLevel="0" collapsed="false">
      <c r="A1448" s="27"/>
      <c r="B1448" s="17" t="str">
        <f aca="false">IF($A1448="","",COUNTIFS(Orders!$C$2:$C$20001,$A1448,Orders!$E$2:$E$20001,"COD",Orders!$F$2:$F$20001,"Delivered")+COUNTIFS(Orders!$C$2:$C$20001,$A1448,Orders!$E$2:$E$20001,"COD",Orders!$F$2:$F$20001,"RTO"))</f>
        <v/>
      </c>
      <c r="C1448" s="17" t="str">
        <f aca="false">IF($A1448="","",COUNTIFS(Orders!$C$2:$C$20001,$A1448,Orders!$E$2:$E$20001,"COD",Orders!$F$2:$F$20001,"RTO"))</f>
        <v/>
      </c>
      <c r="D1448" s="18" t="str">
        <f aca="false">IF($A1448="","",IFERROR(C1448/B1448,0))</f>
        <v/>
      </c>
      <c r="E1448" s="17" t="str">
        <f aca="false">IF($A1448="","",COUNTIFS(Orders!$C$2:$C$20001,$A1448,Orders!$E$2:$E$20001,"Prepaid",Orders!$F$2:$F$20001,"Delivered")+COUNTIFS(Orders!$C$2:$C$20001,$A1448,Orders!$E$2:$E$20001,"Prepaid",Orders!$F$2:$F$20001,"RTO"))</f>
        <v/>
      </c>
      <c r="F1448" s="17" t="str">
        <f aca="false">IF($A1448="","",COUNTIFS(Orders!$C$2:$C$20001,$A1448,Orders!$E$2:$E$20001,"Prepaid",Orders!$F$2:$F$20001,"RTO"))</f>
        <v/>
      </c>
      <c r="G1448" s="18" t="str">
        <f aca="false">IF($A1448="","",IFERROR(F1448/E1448,0))</f>
        <v/>
      </c>
      <c r="H1448" s="19" t="str">
        <f aca="false">IF($A1448="","",C1448*Settings!$B$11)</f>
        <v/>
      </c>
      <c r="I1448" s="20" t="str">
        <f aca="false">IF($A1448="","",IF(N(H1448)=0,"",RANK(H1448,$H$5:$H$2004)))</f>
        <v/>
      </c>
      <c r="J1448" s="21" t="str">
        <f aca="false">IF($A1448="","",IF(B1448=0,"No COD orders",IF(B1448&lt;Settings!$B$8,"Too few orders",IF(D1448&gt;=Settings!$B$9,"Restrict COD or verify","Keep COD"))))</f>
        <v/>
      </c>
    </row>
    <row r="1449" customFormat="false" ht="15" hidden="false" customHeight="false" outlineLevel="0" collapsed="false">
      <c r="A1449" s="27"/>
      <c r="B1449" s="17" t="str">
        <f aca="false">IF($A1449="","",COUNTIFS(Orders!$C$2:$C$20001,$A1449,Orders!$E$2:$E$20001,"COD",Orders!$F$2:$F$20001,"Delivered")+COUNTIFS(Orders!$C$2:$C$20001,$A1449,Orders!$E$2:$E$20001,"COD",Orders!$F$2:$F$20001,"RTO"))</f>
        <v/>
      </c>
      <c r="C1449" s="17" t="str">
        <f aca="false">IF($A1449="","",COUNTIFS(Orders!$C$2:$C$20001,$A1449,Orders!$E$2:$E$20001,"COD",Orders!$F$2:$F$20001,"RTO"))</f>
        <v/>
      </c>
      <c r="D1449" s="18" t="str">
        <f aca="false">IF($A1449="","",IFERROR(C1449/B1449,0))</f>
        <v/>
      </c>
      <c r="E1449" s="17" t="str">
        <f aca="false">IF($A1449="","",COUNTIFS(Orders!$C$2:$C$20001,$A1449,Orders!$E$2:$E$20001,"Prepaid",Orders!$F$2:$F$20001,"Delivered")+COUNTIFS(Orders!$C$2:$C$20001,$A1449,Orders!$E$2:$E$20001,"Prepaid",Orders!$F$2:$F$20001,"RTO"))</f>
        <v/>
      </c>
      <c r="F1449" s="17" t="str">
        <f aca="false">IF($A1449="","",COUNTIFS(Orders!$C$2:$C$20001,$A1449,Orders!$E$2:$E$20001,"Prepaid",Orders!$F$2:$F$20001,"RTO"))</f>
        <v/>
      </c>
      <c r="G1449" s="18" t="str">
        <f aca="false">IF($A1449="","",IFERROR(F1449/E1449,0))</f>
        <v/>
      </c>
      <c r="H1449" s="19" t="str">
        <f aca="false">IF($A1449="","",C1449*Settings!$B$11)</f>
        <v/>
      </c>
      <c r="I1449" s="20" t="str">
        <f aca="false">IF($A1449="","",IF(N(H1449)=0,"",RANK(H1449,$H$5:$H$2004)))</f>
        <v/>
      </c>
      <c r="J1449" s="21" t="str">
        <f aca="false">IF($A1449="","",IF(B1449=0,"No COD orders",IF(B1449&lt;Settings!$B$8,"Too few orders",IF(D1449&gt;=Settings!$B$9,"Restrict COD or verify","Keep COD"))))</f>
        <v/>
      </c>
    </row>
    <row r="1450" customFormat="false" ht="15" hidden="false" customHeight="false" outlineLevel="0" collapsed="false">
      <c r="A1450" s="27"/>
      <c r="B1450" s="17" t="str">
        <f aca="false">IF($A1450="","",COUNTIFS(Orders!$C$2:$C$20001,$A1450,Orders!$E$2:$E$20001,"COD",Orders!$F$2:$F$20001,"Delivered")+COUNTIFS(Orders!$C$2:$C$20001,$A1450,Orders!$E$2:$E$20001,"COD",Orders!$F$2:$F$20001,"RTO"))</f>
        <v/>
      </c>
      <c r="C1450" s="17" t="str">
        <f aca="false">IF($A1450="","",COUNTIFS(Orders!$C$2:$C$20001,$A1450,Orders!$E$2:$E$20001,"COD",Orders!$F$2:$F$20001,"RTO"))</f>
        <v/>
      </c>
      <c r="D1450" s="18" t="str">
        <f aca="false">IF($A1450="","",IFERROR(C1450/B1450,0))</f>
        <v/>
      </c>
      <c r="E1450" s="17" t="str">
        <f aca="false">IF($A1450="","",COUNTIFS(Orders!$C$2:$C$20001,$A1450,Orders!$E$2:$E$20001,"Prepaid",Orders!$F$2:$F$20001,"Delivered")+COUNTIFS(Orders!$C$2:$C$20001,$A1450,Orders!$E$2:$E$20001,"Prepaid",Orders!$F$2:$F$20001,"RTO"))</f>
        <v/>
      </c>
      <c r="F1450" s="17" t="str">
        <f aca="false">IF($A1450="","",COUNTIFS(Orders!$C$2:$C$20001,$A1450,Orders!$E$2:$E$20001,"Prepaid",Orders!$F$2:$F$20001,"RTO"))</f>
        <v/>
      </c>
      <c r="G1450" s="18" t="str">
        <f aca="false">IF($A1450="","",IFERROR(F1450/E1450,0))</f>
        <v/>
      </c>
      <c r="H1450" s="19" t="str">
        <f aca="false">IF($A1450="","",C1450*Settings!$B$11)</f>
        <v/>
      </c>
      <c r="I1450" s="20" t="str">
        <f aca="false">IF($A1450="","",IF(N(H1450)=0,"",RANK(H1450,$H$5:$H$2004)))</f>
        <v/>
      </c>
      <c r="J1450" s="21" t="str">
        <f aca="false">IF($A1450="","",IF(B1450=0,"No COD orders",IF(B1450&lt;Settings!$B$8,"Too few orders",IF(D1450&gt;=Settings!$B$9,"Restrict COD or verify","Keep COD"))))</f>
        <v/>
      </c>
    </row>
    <row r="1451" customFormat="false" ht="15" hidden="false" customHeight="false" outlineLevel="0" collapsed="false">
      <c r="A1451" s="27"/>
      <c r="B1451" s="17" t="str">
        <f aca="false">IF($A1451="","",COUNTIFS(Orders!$C$2:$C$20001,$A1451,Orders!$E$2:$E$20001,"COD",Orders!$F$2:$F$20001,"Delivered")+COUNTIFS(Orders!$C$2:$C$20001,$A1451,Orders!$E$2:$E$20001,"COD",Orders!$F$2:$F$20001,"RTO"))</f>
        <v/>
      </c>
      <c r="C1451" s="17" t="str">
        <f aca="false">IF($A1451="","",COUNTIFS(Orders!$C$2:$C$20001,$A1451,Orders!$E$2:$E$20001,"COD",Orders!$F$2:$F$20001,"RTO"))</f>
        <v/>
      </c>
      <c r="D1451" s="18" t="str">
        <f aca="false">IF($A1451="","",IFERROR(C1451/B1451,0))</f>
        <v/>
      </c>
      <c r="E1451" s="17" t="str">
        <f aca="false">IF($A1451="","",COUNTIFS(Orders!$C$2:$C$20001,$A1451,Orders!$E$2:$E$20001,"Prepaid",Orders!$F$2:$F$20001,"Delivered")+COUNTIFS(Orders!$C$2:$C$20001,$A1451,Orders!$E$2:$E$20001,"Prepaid",Orders!$F$2:$F$20001,"RTO"))</f>
        <v/>
      </c>
      <c r="F1451" s="17" t="str">
        <f aca="false">IF($A1451="","",COUNTIFS(Orders!$C$2:$C$20001,$A1451,Orders!$E$2:$E$20001,"Prepaid",Orders!$F$2:$F$20001,"RTO"))</f>
        <v/>
      </c>
      <c r="G1451" s="18" t="str">
        <f aca="false">IF($A1451="","",IFERROR(F1451/E1451,0))</f>
        <v/>
      </c>
      <c r="H1451" s="19" t="str">
        <f aca="false">IF($A1451="","",C1451*Settings!$B$11)</f>
        <v/>
      </c>
      <c r="I1451" s="20" t="str">
        <f aca="false">IF($A1451="","",IF(N(H1451)=0,"",RANK(H1451,$H$5:$H$2004)))</f>
        <v/>
      </c>
      <c r="J1451" s="21" t="str">
        <f aca="false">IF($A1451="","",IF(B1451=0,"No COD orders",IF(B1451&lt;Settings!$B$8,"Too few orders",IF(D1451&gt;=Settings!$B$9,"Restrict COD or verify","Keep COD"))))</f>
        <v/>
      </c>
    </row>
    <row r="1452" customFormat="false" ht="15" hidden="false" customHeight="false" outlineLevel="0" collapsed="false">
      <c r="A1452" s="27"/>
      <c r="B1452" s="17" t="str">
        <f aca="false">IF($A1452="","",COUNTIFS(Orders!$C$2:$C$20001,$A1452,Orders!$E$2:$E$20001,"COD",Orders!$F$2:$F$20001,"Delivered")+COUNTIFS(Orders!$C$2:$C$20001,$A1452,Orders!$E$2:$E$20001,"COD",Orders!$F$2:$F$20001,"RTO"))</f>
        <v/>
      </c>
      <c r="C1452" s="17" t="str">
        <f aca="false">IF($A1452="","",COUNTIFS(Orders!$C$2:$C$20001,$A1452,Orders!$E$2:$E$20001,"COD",Orders!$F$2:$F$20001,"RTO"))</f>
        <v/>
      </c>
      <c r="D1452" s="18" t="str">
        <f aca="false">IF($A1452="","",IFERROR(C1452/B1452,0))</f>
        <v/>
      </c>
      <c r="E1452" s="17" t="str">
        <f aca="false">IF($A1452="","",COUNTIFS(Orders!$C$2:$C$20001,$A1452,Orders!$E$2:$E$20001,"Prepaid",Orders!$F$2:$F$20001,"Delivered")+COUNTIFS(Orders!$C$2:$C$20001,$A1452,Orders!$E$2:$E$20001,"Prepaid",Orders!$F$2:$F$20001,"RTO"))</f>
        <v/>
      </c>
      <c r="F1452" s="17" t="str">
        <f aca="false">IF($A1452="","",COUNTIFS(Orders!$C$2:$C$20001,$A1452,Orders!$E$2:$E$20001,"Prepaid",Orders!$F$2:$F$20001,"RTO"))</f>
        <v/>
      </c>
      <c r="G1452" s="18" t="str">
        <f aca="false">IF($A1452="","",IFERROR(F1452/E1452,0))</f>
        <v/>
      </c>
      <c r="H1452" s="19" t="str">
        <f aca="false">IF($A1452="","",C1452*Settings!$B$11)</f>
        <v/>
      </c>
      <c r="I1452" s="20" t="str">
        <f aca="false">IF($A1452="","",IF(N(H1452)=0,"",RANK(H1452,$H$5:$H$2004)))</f>
        <v/>
      </c>
      <c r="J1452" s="21" t="str">
        <f aca="false">IF($A1452="","",IF(B1452=0,"No COD orders",IF(B1452&lt;Settings!$B$8,"Too few orders",IF(D1452&gt;=Settings!$B$9,"Restrict COD or verify","Keep COD"))))</f>
        <v/>
      </c>
    </row>
    <row r="1453" customFormat="false" ht="15" hidden="false" customHeight="false" outlineLevel="0" collapsed="false">
      <c r="A1453" s="27"/>
      <c r="B1453" s="17" t="str">
        <f aca="false">IF($A1453="","",COUNTIFS(Orders!$C$2:$C$20001,$A1453,Orders!$E$2:$E$20001,"COD",Orders!$F$2:$F$20001,"Delivered")+COUNTIFS(Orders!$C$2:$C$20001,$A1453,Orders!$E$2:$E$20001,"COD",Orders!$F$2:$F$20001,"RTO"))</f>
        <v/>
      </c>
      <c r="C1453" s="17" t="str">
        <f aca="false">IF($A1453="","",COUNTIFS(Orders!$C$2:$C$20001,$A1453,Orders!$E$2:$E$20001,"COD",Orders!$F$2:$F$20001,"RTO"))</f>
        <v/>
      </c>
      <c r="D1453" s="18" t="str">
        <f aca="false">IF($A1453="","",IFERROR(C1453/B1453,0))</f>
        <v/>
      </c>
      <c r="E1453" s="17" t="str">
        <f aca="false">IF($A1453="","",COUNTIFS(Orders!$C$2:$C$20001,$A1453,Orders!$E$2:$E$20001,"Prepaid",Orders!$F$2:$F$20001,"Delivered")+COUNTIFS(Orders!$C$2:$C$20001,$A1453,Orders!$E$2:$E$20001,"Prepaid",Orders!$F$2:$F$20001,"RTO"))</f>
        <v/>
      </c>
      <c r="F1453" s="17" t="str">
        <f aca="false">IF($A1453="","",COUNTIFS(Orders!$C$2:$C$20001,$A1453,Orders!$E$2:$E$20001,"Prepaid",Orders!$F$2:$F$20001,"RTO"))</f>
        <v/>
      </c>
      <c r="G1453" s="18" t="str">
        <f aca="false">IF($A1453="","",IFERROR(F1453/E1453,0))</f>
        <v/>
      </c>
      <c r="H1453" s="19" t="str">
        <f aca="false">IF($A1453="","",C1453*Settings!$B$11)</f>
        <v/>
      </c>
      <c r="I1453" s="20" t="str">
        <f aca="false">IF($A1453="","",IF(N(H1453)=0,"",RANK(H1453,$H$5:$H$2004)))</f>
        <v/>
      </c>
      <c r="J1453" s="21" t="str">
        <f aca="false">IF($A1453="","",IF(B1453=0,"No COD orders",IF(B1453&lt;Settings!$B$8,"Too few orders",IF(D1453&gt;=Settings!$B$9,"Restrict COD or verify","Keep COD"))))</f>
        <v/>
      </c>
    </row>
    <row r="1454" customFormat="false" ht="15" hidden="false" customHeight="false" outlineLevel="0" collapsed="false">
      <c r="A1454" s="27"/>
      <c r="B1454" s="17" t="str">
        <f aca="false">IF($A1454="","",COUNTIFS(Orders!$C$2:$C$20001,$A1454,Orders!$E$2:$E$20001,"COD",Orders!$F$2:$F$20001,"Delivered")+COUNTIFS(Orders!$C$2:$C$20001,$A1454,Orders!$E$2:$E$20001,"COD",Orders!$F$2:$F$20001,"RTO"))</f>
        <v/>
      </c>
      <c r="C1454" s="17" t="str">
        <f aca="false">IF($A1454="","",COUNTIFS(Orders!$C$2:$C$20001,$A1454,Orders!$E$2:$E$20001,"COD",Orders!$F$2:$F$20001,"RTO"))</f>
        <v/>
      </c>
      <c r="D1454" s="18" t="str">
        <f aca="false">IF($A1454="","",IFERROR(C1454/B1454,0))</f>
        <v/>
      </c>
      <c r="E1454" s="17" t="str">
        <f aca="false">IF($A1454="","",COUNTIFS(Orders!$C$2:$C$20001,$A1454,Orders!$E$2:$E$20001,"Prepaid",Orders!$F$2:$F$20001,"Delivered")+COUNTIFS(Orders!$C$2:$C$20001,$A1454,Orders!$E$2:$E$20001,"Prepaid",Orders!$F$2:$F$20001,"RTO"))</f>
        <v/>
      </c>
      <c r="F1454" s="17" t="str">
        <f aca="false">IF($A1454="","",COUNTIFS(Orders!$C$2:$C$20001,$A1454,Orders!$E$2:$E$20001,"Prepaid",Orders!$F$2:$F$20001,"RTO"))</f>
        <v/>
      </c>
      <c r="G1454" s="18" t="str">
        <f aca="false">IF($A1454="","",IFERROR(F1454/E1454,0))</f>
        <v/>
      </c>
      <c r="H1454" s="19" t="str">
        <f aca="false">IF($A1454="","",C1454*Settings!$B$11)</f>
        <v/>
      </c>
      <c r="I1454" s="20" t="str">
        <f aca="false">IF($A1454="","",IF(N(H1454)=0,"",RANK(H1454,$H$5:$H$2004)))</f>
        <v/>
      </c>
      <c r="J1454" s="21" t="str">
        <f aca="false">IF($A1454="","",IF(B1454=0,"No COD orders",IF(B1454&lt;Settings!$B$8,"Too few orders",IF(D1454&gt;=Settings!$B$9,"Restrict COD or verify","Keep COD"))))</f>
        <v/>
      </c>
    </row>
    <row r="1455" customFormat="false" ht="15" hidden="false" customHeight="false" outlineLevel="0" collapsed="false">
      <c r="A1455" s="27"/>
      <c r="B1455" s="17" t="str">
        <f aca="false">IF($A1455="","",COUNTIFS(Orders!$C$2:$C$20001,$A1455,Orders!$E$2:$E$20001,"COD",Orders!$F$2:$F$20001,"Delivered")+COUNTIFS(Orders!$C$2:$C$20001,$A1455,Orders!$E$2:$E$20001,"COD",Orders!$F$2:$F$20001,"RTO"))</f>
        <v/>
      </c>
      <c r="C1455" s="17" t="str">
        <f aca="false">IF($A1455="","",COUNTIFS(Orders!$C$2:$C$20001,$A1455,Orders!$E$2:$E$20001,"COD",Orders!$F$2:$F$20001,"RTO"))</f>
        <v/>
      </c>
      <c r="D1455" s="18" t="str">
        <f aca="false">IF($A1455="","",IFERROR(C1455/B1455,0))</f>
        <v/>
      </c>
      <c r="E1455" s="17" t="str">
        <f aca="false">IF($A1455="","",COUNTIFS(Orders!$C$2:$C$20001,$A1455,Orders!$E$2:$E$20001,"Prepaid",Orders!$F$2:$F$20001,"Delivered")+COUNTIFS(Orders!$C$2:$C$20001,$A1455,Orders!$E$2:$E$20001,"Prepaid",Orders!$F$2:$F$20001,"RTO"))</f>
        <v/>
      </c>
      <c r="F1455" s="17" t="str">
        <f aca="false">IF($A1455="","",COUNTIFS(Orders!$C$2:$C$20001,$A1455,Orders!$E$2:$E$20001,"Prepaid",Orders!$F$2:$F$20001,"RTO"))</f>
        <v/>
      </c>
      <c r="G1455" s="18" t="str">
        <f aca="false">IF($A1455="","",IFERROR(F1455/E1455,0))</f>
        <v/>
      </c>
      <c r="H1455" s="19" t="str">
        <f aca="false">IF($A1455="","",C1455*Settings!$B$11)</f>
        <v/>
      </c>
      <c r="I1455" s="20" t="str">
        <f aca="false">IF($A1455="","",IF(N(H1455)=0,"",RANK(H1455,$H$5:$H$2004)))</f>
        <v/>
      </c>
      <c r="J1455" s="21" t="str">
        <f aca="false">IF($A1455="","",IF(B1455=0,"No COD orders",IF(B1455&lt;Settings!$B$8,"Too few orders",IF(D1455&gt;=Settings!$B$9,"Restrict COD or verify","Keep COD"))))</f>
        <v/>
      </c>
    </row>
    <row r="1456" customFormat="false" ht="15" hidden="false" customHeight="false" outlineLevel="0" collapsed="false">
      <c r="A1456" s="27"/>
      <c r="B1456" s="17" t="str">
        <f aca="false">IF($A1456="","",COUNTIFS(Orders!$C$2:$C$20001,$A1456,Orders!$E$2:$E$20001,"COD",Orders!$F$2:$F$20001,"Delivered")+COUNTIFS(Orders!$C$2:$C$20001,$A1456,Orders!$E$2:$E$20001,"COD",Orders!$F$2:$F$20001,"RTO"))</f>
        <v/>
      </c>
      <c r="C1456" s="17" t="str">
        <f aca="false">IF($A1456="","",COUNTIFS(Orders!$C$2:$C$20001,$A1456,Orders!$E$2:$E$20001,"COD",Orders!$F$2:$F$20001,"RTO"))</f>
        <v/>
      </c>
      <c r="D1456" s="18" t="str">
        <f aca="false">IF($A1456="","",IFERROR(C1456/B1456,0))</f>
        <v/>
      </c>
      <c r="E1456" s="17" t="str">
        <f aca="false">IF($A1456="","",COUNTIFS(Orders!$C$2:$C$20001,$A1456,Orders!$E$2:$E$20001,"Prepaid",Orders!$F$2:$F$20001,"Delivered")+COUNTIFS(Orders!$C$2:$C$20001,$A1456,Orders!$E$2:$E$20001,"Prepaid",Orders!$F$2:$F$20001,"RTO"))</f>
        <v/>
      </c>
      <c r="F1456" s="17" t="str">
        <f aca="false">IF($A1456="","",COUNTIFS(Orders!$C$2:$C$20001,$A1456,Orders!$E$2:$E$20001,"Prepaid",Orders!$F$2:$F$20001,"RTO"))</f>
        <v/>
      </c>
      <c r="G1456" s="18" t="str">
        <f aca="false">IF($A1456="","",IFERROR(F1456/E1456,0))</f>
        <v/>
      </c>
      <c r="H1456" s="19" t="str">
        <f aca="false">IF($A1456="","",C1456*Settings!$B$11)</f>
        <v/>
      </c>
      <c r="I1456" s="20" t="str">
        <f aca="false">IF($A1456="","",IF(N(H1456)=0,"",RANK(H1456,$H$5:$H$2004)))</f>
        <v/>
      </c>
      <c r="J1456" s="21" t="str">
        <f aca="false">IF($A1456="","",IF(B1456=0,"No COD orders",IF(B1456&lt;Settings!$B$8,"Too few orders",IF(D1456&gt;=Settings!$B$9,"Restrict COD or verify","Keep COD"))))</f>
        <v/>
      </c>
    </row>
    <row r="1457" customFormat="false" ht="15" hidden="false" customHeight="false" outlineLevel="0" collapsed="false">
      <c r="A1457" s="27"/>
      <c r="B1457" s="17" t="str">
        <f aca="false">IF($A1457="","",COUNTIFS(Orders!$C$2:$C$20001,$A1457,Orders!$E$2:$E$20001,"COD",Orders!$F$2:$F$20001,"Delivered")+COUNTIFS(Orders!$C$2:$C$20001,$A1457,Orders!$E$2:$E$20001,"COD",Orders!$F$2:$F$20001,"RTO"))</f>
        <v/>
      </c>
      <c r="C1457" s="17" t="str">
        <f aca="false">IF($A1457="","",COUNTIFS(Orders!$C$2:$C$20001,$A1457,Orders!$E$2:$E$20001,"COD",Orders!$F$2:$F$20001,"RTO"))</f>
        <v/>
      </c>
      <c r="D1457" s="18" t="str">
        <f aca="false">IF($A1457="","",IFERROR(C1457/B1457,0))</f>
        <v/>
      </c>
      <c r="E1457" s="17" t="str">
        <f aca="false">IF($A1457="","",COUNTIFS(Orders!$C$2:$C$20001,$A1457,Orders!$E$2:$E$20001,"Prepaid",Orders!$F$2:$F$20001,"Delivered")+COUNTIFS(Orders!$C$2:$C$20001,$A1457,Orders!$E$2:$E$20001,"Prepaid",Orders!$F$2:$F$20001,"RTO"))</f>
        <v/>
      </c>
      <c r="F1457" s="17" t="str">
        <f aca="false">IF($A1457="","",COUNTIFS(Orders!$C$2:$C$20001,$A1457,Orders!$E$2:$E$20001,"Prepaid",Orders!$F$2:$F$20001,"RTO"))</f>
        <v/>
      </c>
      <c r="G1457" s="18" t="str">
        <f aca="false">IF($A1457="","",IFERROR(F1457/E1457,0))</f>
        <v/>
      </c>
      <c r="H1457" s="19" t="str">
        <f aca="false">IF($A1457="","",C1457*Settings!$B$11)</f>
        <v/>
      </c>
      <c r="I1457" s="20" t="str">
        <f aca="false">IF($A1457="","",IF(N(H1457)=0,"",RANK(H1457,$H$5:$H$2004)))</f>
        <v/>
      </c>
      <c r="J1457" s="21" t="str">
        <f aca="false">IF($A1457="","",IF(B1457=0,"No COD orders",IF(B1457&lt;Settings!$B$8,"Too few orders",IF(D1457&gt;=Settings!$B$9,"Restrict COD or verify","Keep COD"))))</f>
        <v/>
      </c>
    </row>
    <row r="1458" customFormat="false" ht="15" hidden="false" customHeight="false" outlineLevel="0" collapsed="false">
      <c r="A1458" s="27"/>
      <c r="B1458" s="17" t="str">
        <f aca="false">IF($A1458="","",COUNTIFS(Orders!$C$2:$C$20001,$A1458,Orders!$E$2:$E$20001,"COD",Orders!$F$2:$F$20001,"Delivered")+COUNTIFS(Orders!$C$2:$C$20001,$A1458,Orders!$E$2:$E$20001,"COD",Orders!$F$2:$F$20001,"RTO"))</f>
        <v/>
      </c>
      <c r="C1458" s="17" t="str">
        <f aca="false">IF($A1458="","",COUNTIFS(Orders!$C$2:$C$20001,$A1458,Orders!$E$2:$E$20001,"COD",Orders!$F$2:$F$20001,"RTO"))</f>
        <v/>
      </c>
      <c r="D1458" s="18" t="str">
        <f aca="false">IF($A1458="","",IFERROR(C1458/B1458,0))</f>
        <v/>
      </c>
      <c r="E1458" s="17" t="str">
        <f aca="false">IF($A1458="","",COUNTIFS(Orders!$C$2:$C$20001,$A1458,Orders!$E$2:$E$20001,"Prepaid",Orders!$F$2:$F$20001,"Delivered")+COUNTIFS(Orders!$C$2:$C$20001,$A1458,Orders!$E$2:$E$20001,"Prepaid",Orders!$F$2:$F$20001,"RTO"))</f>
        <v/>
      </c>
      <c r="F1458" s="17" t="str">
        <f aca="false">IF($A1458="","",COUNTIFS(Orders!$C$2:$C$20001,$A1458,Orders!$E$2:$E$20001,"Prepaid",Orders!$F$2:$F$20001,"RTO"))</f>
        <v/>
      </c>
      <c r="G1458" s="18" t="str">
        <f aca="false">IF($A1458="","",IFERROR(F1458/E1458,0))</f>
        <v/>
      </c>
      <c r="H1458" s="19" t="str">
        <f aca="false">IF($A1458="","",C1458*Settings!$B$11)</f>
        <v/>
      </c>
      <c r="I1458" s="20" t="str">
        <f aca="false">IF($A1458="","",IF(N(H1458)=0,"",RANK(H1458,$H$5:$H$2004)))</f>
        <v/>
      </c>
      <c r="J1458" s="21" t="str">
        <f aca="false">IF($A1458="","",IF(B1458=0,"No COD orders",IF(B1458&lt;Settings!$B$8,"Too few orders",IF(D1458&gt;=Settings!$B$9,"Restrict COD or verify","Keep COD"))))</f>
        <v/>
      </c>
    </row>
    <row r="1459" customFormat="false" ht="15" hidden="false" customHeight="false" outlineLevel="0" collapsed="false">
      <c r="A1459" s="27"/>
      <c r="B1459" s="17" t="str">
        <f aca="false">IF($A1459="","",COUNTIFS(Orders!$C$2:$C$20001,$A1459,Orders!$E$2:$E$20001,"COD",Orders!$F$2:$F$20001,"Delivered")+COUNTIFS(Orders!$C$2:$C$20001,$A1459,Orders!$E$2:$E$20001,"COD",Orders!$F$2:$F$20001,"RTO"))</f>
        <v/>
      </c>
      <c r="C1459" s="17" t="str">
        <f aca="false">IF($A1459="","",COUNTIFS(Orders!$C$2:$C$20001,$A1459,Orders!$E$2:$E$20001,"COD",Orders!$F$2:$F$20001,"RTO"))</f>
        <v/>
      </c>
      <c r="D1459" s="18" t="str">
        <f aca="false">IF($A1459="","",IFERROR(C1459/B1459,0))</f>
        <v/>
      </c>
      <c r="E1459" s="17" t="str">
        <f aca="false">IF($A1459="","",COUNTIFS(Orders!$C$2:$C$20001,$A1459,Orders!$E$2:$E$20001,"Prepaid",Orders!$F$2:$F$20001,"Delivered")+COUNTIFS(Orders!$C$2:$C$20001,$A1459,Orders!$E$2:$E$20001,"Prepaid",Orders!$F$2:$F$20001,"RTO"))</f>
        <v/>
      </c>
      <c r="F1459" s="17" t="str">
        <f aca="false">IF($A1459="","",COUNTIFS(Orders!$C$2:$C$20001,$A1459,Orders!$E$2:$E$20001,"Prepaid",Orders!$F$2:$F$20001,"RTO"))</f>
        <v/>
      </c>
      <c r="G1459" s="18" t="str">
        <f aca="false">IF($A1459="","",IFERROR(F1459/E1459,0))</f>
        <v/>
      </c>
      <c r="H1459" s="19" t="str">
        <f aca="false">IF($A1459="","",C1459*Settings!$B$11)</f>
        <v/>
      </c>
      <c r="I1459" s="20" t="str">
        <f aca="false">IF($A1459="","",IF(N(H1459)=0,"",RANK(H1459,$H$5:$H$2004)))</f>
        <v/>
      </c>
      <c r="J1459" s="21" t="str">
        <f aca="false">IF($A1459="","",IF(B1459=0,"No COD orders",IF(B1459&lt;Settings!$B$8,"Too few orders",IF(D1459&gt;=Settings!$B$9,"Restrict COD or verify","Keep COD"))))</f>
        <v/>
      </c>
    </row>
    <row r="1460" customFormat="false" ht="15" hidden="false" customHeight="false" outlineLevel="0" collapsed="false">
      <c r="A1460" s="27"/>
      <c r="B1460" s="17" t="str">
        <f aca="false">IF($A1460="","",COUNTIFS(Orders!$C$2:$C$20001,$A1460,Orders!$E$2:$E$20001,"COD",Orders!$F$2:$F$20001,"Delivered")+COUNTIFS(Orders!$C$2:$C$20001,$A1460,Orders!$E$2:$E$20001,"COD",Orders!$F$2:$F$20001,"RTO"))</f>
        <v/>
      </c>
      <c r="C1460" s="17" t="str">
        <f aca="false">IF($A1460="","",COUNTIFS(Orders!$C$2:$C$20001,$A1460,Orders!$E$2:$E$20001,"COD",Orders!$F$2:$F$20001,"RTO"))</f>
        <v/>
      </c>
      <c r="D1460" s="18" t="str">
        <f aca="false">IF($A1460="","",IFERROR(C1460/B1460,0))</f>
        <v/>
      </c>
      <c r="E1460" s="17" t="str">
        <f aca="false">IF($A1460="","",COUNTIFS(Orders!$C$2:$C$20001,$A1460,Orders!$E$2:$E$20001,"Prepaid",Orders!$F$2:$F$20001,"Delivered")+COUNTIFS(Orders!$C$2:$C$20001,$A1460,Orders!$E$2:$E$20001,"Prepaid",Orders!$F$2:$F$20001,"RTO"))</f>
        <v/>
      </c>
      <c r="F1460" s="17" t="str">
        <f aca="false">IF($A1460="","",COUNTIFS(Orders!$C$2:$C$20001,$A1460,Orders!$E$2:$E$20001,"Prepaid",Orders!$F$2:$F$20001,"RTO"))</f>
        <v/>
      </c>
      <c r="G1460" s="18" t="str">
        <f aca="false">IF($A1460="","",IFERROR(F1460/E1460,0))</f>
        <v/>
      </c>
      <c r="H1460" s="19" t="str">
        <f aca="false">IF($A1460="","",C1460*Settings!$B$11)</f>
        <v/>
      </c>
      <c r="I1460" s="20" t="str">
        <f aca="false">IF($A1460="","",IF(N(H1460)=0,"",RANK(H1460,$H$5:$H$2004)))</f>
        <v/>
      </c>
      <c r="J1460" s="21" t="str">
        <f aca="false">IF($A1460="","",IF(B1460=0,"No COD orders",IF(B1460&lt;Settings!$B$8,"Too few orders",IF(D1460&gt;=Settings!$B$9,"Restrict COD or verify","Keep COD"))))</f>
        <v/>
      </c>
    </row>
    <row r="1461" customFormat="false" ht="15" hidden="false" customHeight="false" outlineLevel="0" collapsed="false">
      <c r="A1461" s="27"/>
      <c r="B1461" s="17" t="str">
        <f aca="false">IF($A1461="","",COUNTIFS(Orders!$C$2:$C$20001,$A1461,Orders!$E$2:$E$20001,"COD",Orders!$F$2:$F$20001,"Delivered")+COUNTIFS(Orders!$C$2:$C$20001,$A1461,Orders!$E$2:$E$20001,"COD",Orders!$F$2:$F$20001,"RTO"))</f>
        <v/>
      </c>
      <c r="C1461" s="17" t="str">
        <f aca="false">IF($A1461="","",COUNTIFS(Orders!$C$2:$C$20001,$A1461,Orders!$E$2:$E$20001,"COD",Orders!$F$2:$F$20001,"RTO"))</f>
        <v/>
      </c>
      <c r="D1461" s="18" t="str">
        <f aca="false">IF($A1461="","",IFERROR(C1461/B1461,0))</f>
        <v/>
      </c>
      <c r="E1461" s="17" t="str">
        <f aca="false">IF($A1461="","",COUNTIFS(Orders!$C$2:$C$20001,$A1461,Orders!$E$2:$E$20001,"Prepaid",Orders!$F$2:$F$20001,"Delivered")+COUNTIFS(Orders!$C$2:$C$20001,$A1461,Orders!$E$2:$E$20001,"Prepaid",Orders!$F$2:$F$20001,"RTO"))</f>
        <v/>
      </c>
      <c r="F1461" s="17" t="str">
        <f aca="false">IF($A1461="","",COUNTIFS(Orders!$C$2:$C$20001,$A1461,Orders!$E$2:$E$20001,"Prepaid",Orders!$F$2:$F$20001,"RTO"))</f>
        <v/>
      </c>
      <c r="G1461" s="18" t="str">
        <f aca="false">IF($A1461="","",IFERROR(F1461/E1461,0))</f>
        <v/>
      </c>
      <c r="H1461" s="19" t="str">
        <f aca="false">IF($A1461="","",C1461*Settings!$B$11)</f>
        <v/>
      </c>
      <c r="I1461" s="20" t="str">
        <f aca="false">IF($A1461="","",IF(N(H1461)=0,"",RANK(H1461,$H$5:$H$2004)))</f>
        <v/>
      </c>
      <c r="J1461" s="21" t="str">
        <f aca="false">IF($A1461="","",IF(B1461=0,"No COD orders",IF(B1461&lt;Settings!$B$8,"Too few orders",IF(D1461&gt;=Settings!$B$9,"Restrict COD or verify","Keep COD"))))</f>
        <v/>
      </c>
    </row>
    <row r="1462" customFormat="false" ht="15" hidden="false" customHeight="false" outlineLevel="0" collapsed="false">
      <c r="A1462" s="27"/>
      <c r="B1462" s="17" t="str">
        <f aca="false">IF($A1462="","",COUNTIFS(Orders!$C$2:$C$20001,$A1462,Orders!$E$2:$E$20001,"COD",Orders!$F$2:$F$20001,"Delivered")+COUNTIFS(Orders!$C$2:$C$20001,$A1462,Orders!$E$2:$E$20001,"COD",Orders!$F$2:$F$20001,"RTO"))</f>
        <v/>
      </c>
      <c r="C1462" s="17" t="str">
        <f aca="false">IF($A1462="","",COUNTIFS(Orders!$C$2:$C$20001,$A1462,Orders!$E$2:$E$20001,"COD",Orders!$F$2:$F$20001,"RTO"))</f>
        <v/>
      </c>
      <c r="D1462" s="18" t="str">
        <f aca="false">IF($A1462="","",IFERROR(C1462/B1462,0))</f>
        <v/>
      </c>
      <c r="E1462" s="17" t="str">
        <f aca="false">IF($A1462="","",COUNTIFS(Orders!$C$2:$C$20001,$A1462,Orders!$E$2:$E$20001,"Prepaid",Orders!$F$2:$F$20001,"Delivered")+COUNTIFS(Orders!$C$2:$C$20001,$A1462,Orders!$E$2:$E$20001,"Prepaid",Orders!$F$2:$F$20001,"RTO"))</f>
        <v/>
      </c>
      <c r="F1462" s="17" t="str">
        <f aca="false">IF($A1462="","",COUNTIFS(Orders!$C$2:$C$20001,$A1462,Orders!$E$2:$E$20001,"Prepaid",Orders!$F$2:$F$20001,"RTO"))</f>
        <v/>
      </c>
      <c r="G1462" s="18" t="str">
        <f aca="false">IF($A1462="","",IFERROR(F1462/E1462,0))</f>
        <v/>
      </c>
      <c r="H1462" s="19" t="str">
        <f aca="false">IF($A1462="","",C1462*Settings!$B$11)</f>
        <v/>
      </c>
      <c r="I1462" s="20" t="str">
        <f aca="false">IF($A1462="","",IF(N(H1462)=0,"",RANK(H1462,$H$5:$H$2004)))</f>
        <v/>
      </c>
      <c r="J1462" s="21" t="str">
        <f aca="false">IF($A1462="","",IF(B1462=0,"No COD orders",IF(B1462&lt;Settings!$B$8,"Too few orders",IF(D1462&gt;=Settings!$B$9,"Restrict COD or verify","Keep COD"))))</f>
        <v/>
      </c>
    </row>
    <row r="1463" customFormat="false" ht="15" hidden="false" customHeight="false" outlineLevel="0" collapsed="false">
      <c r="A1463" s="27"/>
      <c r="B1463" s="17" t="str">
        <f aca="false">IF($A1463="","",COUNTIFS(Orders!$C$2:$C$20001,$A1463,Orders!$E$2:$E$20001,"COD",Orders!$F$2:$F$20001,"Delivered")+COUNTIFS(Orders!$C$2:$C$20001,$A1463,Orders!$E$2:$E$20001,"COD",Orders!$F$2:$F$20001,"RTO"))</f>
        <v/>
      </c>
      <c r="C1463" s="17" t="str">
        <f aca="false">IF($A1463="","",COUNTIFS(Orders!$C$2:$C$20001,$A1463,Orders!$E$2:$E$20001,"COD",Orders!$F$2:$F$20001,"RTO"))</f>
        <v/>
      </c>
      <c r="D1463" s="18" t="str">
        <f aca="false">IF($A1463="","",IFERROR(C1463/B1463,0))</f>
        <v/>
      </c>
      <c r="E1463" s="17" t="str">
        <f aca="false">IF($A1463="","",COUNTIFS(Orders!$C$2:$C$20001,$A1463,Orders!$E$2:$E$20001,"Prepaid",Orders!$F$2:$F$20001,"Delivered")+COUNTIFS(Orders!$C$2:$C$20001,$A1463,Orders!$E$2:$E$20001,"Prepaid",Orders!$F$2:$F$20001,"RTO"))</f>
        <v/>
      </c>
      <c r="F1463" s="17" t="str">
        <f aca="false">IF($A1463="","",COUNTIFS(Orders!$C$2:$C$20001,$A1463,Orders!$E$2:$E$20001,"Prepaid",Orders!$F$2:$F$20001,"RTO"))</f>
        <v/>
      </c>
      <c r="G1463" s="18" t="str">
        <f aca="false">IF($A1463="","",IFERROR(F1463/E1463,0))</f>
        <v/>
      </c>
      <c r="H1463" s="19" t="str">
        <f aca="false">IF($A1463="","",C1463*Settings!$B$11)</f>
        <v/>
      </c>
      <c r="I1463" s="20" t="str">
        <f aca="false">IF($A1463="","",IF(N(H1463)=0,"",RANK(H1463,$H$5:$H$2004)))</f>
        <v/>
      </c>
      <c r="J1463" s="21" t="str">
        <f aca="false">IF($A1463="","",IF(B1463=0,"No COD orders",IF(B1463&lt;Settings!$B$8,"Too few orders",IF(D1463&gt;=Settings!$B$9,"Restrict COD or verify","Keep COD"))))</f>
        <v/>
      </c>
    </row>
    <row r="1464" customFormat="false" ht="15" hidden="false" customHeight="false" outlineLevel="0" collapsed="false">
      <c r="A1464" s="27"/>
      <c r="B1464" s="17" t="str">
        <f aca="false">IF($A1464="","",COUNTIFS(Orders!$C$2:$C$20001,$A1464,Orders!$E$2:$E$20001,"COD",Orders!$F$2:$F$20001,"Delivered")+COUNTIFS(Orders!$C$2:$C$20001,$A1464,Orders!$E$2:$E$20001,"COD",Orders!$F$2:$F$20001,"RTO"))</f>
        <v/>
      </c>
      <c r="C1464" s="17" t="str">
        <f aca="false">IF($A1464="","",COUNTIFS(Orders!$C$2:$C$20001,$A1464,Orders!$E$2:$E$20001,"COD",Orders!$F$2:$F$20001,"RTO"))</f>
        <v/>
      </c>
      <c r="D1464" s="18" t="str">
        <f aca="false">IF($A1464="","",IFERROR(C1464/B1464,0))</f>
        <v/>
      </c>
      <c r="E1464" s="17" t="str">
        <f aca="false">IF($A1464="","",COUNTIFS(Orders!$C$2:$C$20001,$A1464,Orders!$E$2:$E$20001,"Prepaid",Orders!$F$2:$F$20001,"Delivered")+COUNTIFS(Orders!$C$2:$C$20001,$A1464,Orders!$E$2:$E$20001,"Prepaid",Orders!$F$2:$F$20001,"RTO"))</f>
        <v/>
      </c>
      <c r="F1464" s="17" t="str">
        <f aca="false">IF($A1464="","",COUNTIFS(Orders!$C$2:$C$20001,$A1464,Orders!$E$2:$E$20001,"Prepaid",Orders!$F$2:$F$20001,"RTO"))</f>
        <v/>
      </c>
      <c r="G1464" s="18" t="str">
        <f aca="false">IF($A1464="","",IFERROR(F1464/E1464,0))</f>
        <v/>
      </c>
      <c r="H1464" s="19" t="str">
        <f aca="false">IF($A1464="","",C1464*Settings!$B$11)</f>
        <v/>
      </c>
      <c r="I1464" s="20" t="str">
        <f aca="false">IF($A1464="","",IF(N(H1464)=0,"",RANK(H1464,$H$5:$H$2004)))</f>
        <v/>
      </c>
      <c r="J1464" s="21" t="str">
        <f aca="false">IF($A1464="","",IF(B1464=0,"No COD orders",IF(B1464&lt;Settings!$B$8,"Too few orders",IF(D1464&gt;=Settings!$B$9,"Restrict COD or verify","Keep COD"))))</f>
        <v/>
      </c>
    </row>
    <row r="1465" customFormat="false" ht="15" hidden="false" customHeight="false" outlineLevel="0" collapsed="false">
      <c r="A1465" s="27"/>
      <c r="B1465" s="17" t="str">
        <f aca="false">IF($A1465="","",COUNTIFS(Orders!$C$2:$C$20001,$A1465,Orders!$E$2:$E$20001,"COD",Orders!$F$2:$F$20001,"Delivered")+COUNTIFS(Orders!$C$2:$C$20001,$A1465,Orders!$E$2:$E$20001,"COD",Orders!$F$2:$F$20001,"RTO"))</f>
        <v/>
      </c>
      <c r="C1465" s="17" t="str">
        <f aca="false">IF($A1465="","",COUNTIFS(Orders!$C$2:$C$20001,$A1465,Orders!$E$2:$E$20001,"COD",Orders!$F$2:$F$20001,"RTO"))</f>
        <v/>
      </c>
      <c r="D1465" s="18" t="str">
        <f aca="false">IF($A1465="","",IFERROR(C1465/B1465,0))</f>
        <v/>
      </c>
      <c r="E1465" s="17" t="str">
        <f aca="false">IF($A1465="","",COUNTIFS(Orders!$C$2:$C$20001,$A1465,Orders!$E$2:$E$20001,"Prepaid",Orders!$F$2:$F$20001,"Delivered")+COUNTIFS(Orders!$C$2:$C$20001,$A1465,Orders!$E$2:$E$20001,"Prepaid",Orders!$F$2:$F$20001,"RTO"))</f>
        <v/>
      </c>
      <c r="F1465" s="17" t="str">
        <f aca="false">IF($A1465="","",COUNTIFS(Orders!$C$2:$C$20001,$A1465,Orders!$E$2:$E$20001,"Prepaid",Orders!$F$2:$F$20001,"RTO"))</f>
        <v/>
      </c>
      <c r="G1465" s="18" t="str">
        <f aca="false">IF($A1465="","",IFERROR(F1465/E1465,0))</f>
        <v/>
      </c>
      <c r="H1465" s="19" t="str">
        <f aca="false">IF($A1465="","",C1465*Settings!$B$11)</f>
        <v/>
      </c>
      <c r="I1465" s="20" t="str">
        <f aca="false">IF($A1465="","",IF(N(H1465)=0,"",RANK(H1465,$H$5:$H$2004)))</f>
        <v/>
      </c>
      <c r="J1465" s="21" t="str">
        <f aca="false">IF($A1465="","",IF(B1465=0,"No COD orders",IF(B1465&lt;Settings!$B$8,"Too few orders",IF(D1465&gt;=Settings!$B$9,"Restrict COD or verify","Keep COD"))))</f>
        <v/>
      </c>
    </row>
    <row r="1466" customFormat="false" ht="15" hidden="false" customHeight="false" outlineLevel="0" collapsed="false">
      <c r="A1466" s="27"/>
      <c r="B1466" s="17" t="str">
        <f aca="false">IF($A1466="","",COUNTIFS(Orders!$C$2:$C$20001,$A1466,Orders!$E$2:$E$20001,"COD",Orders!$F$2:$F$20001,"Delivered")+COUNTIFS(Orders!$C$2:$C$20001,$A1466,Orders!$E$2:$E$20001,"COD",Orders!$F$2:$F$20001,"RTO"))</f>
        <v/>
      </c>
      <c r="C1466" s="17" t="str">
        <f aca="false">IF($A1466="","",COUNTIFS(Orders!$C$2:$C$20001,$A1466,Orders!$E$2:$E$20001,"COD",Orders!$F$2:$F$20001,"RTO"))</f>
        <v/>
      </c>
      <c r="D1466" s="18" t="str">
        <f aca="false">IF($A1466="","",IFERROR(C1466/B1466,0))</f>
        <v/>
      </c>
      <c r="E1466" s="17" t="str">
        <f aca="false">IF($A1466="","",COUNTIFS(Orders!$C$2:$C$20001,$A1466,Orders!$E$2:$E$20001,"Prepaid",Orders!$F$2:$F$20001,"Delivered")+COUNTIFS(Orders!$C$2:$C$20001,$A1466,Orders!$E$2:$E$20001,"Prepaid",Orders!$F$2:$F$20001,"RTO"))</f>
        <v/>
      </c>
      <c r="F1466" s="17" t="str">
        <f aca="false">IF($A1466="","",COUNTIFS(Orders!$C$2:$C$20001,$A1466,Orders!$E$2:$E$20001,"Prepaid",Orders!$F$2:$F$20001,"RTO"))</f>
        <v/>
      </c>
      <c r="G1466" s="18" t="str">
        <f aca="false">IF($A1466="","",IFERROR(F1466/E1466,0))</f>
        <v/>
      </c>
      <c r="H1466" s="19" t="str">
        <f aca="false">IF($A1466="","",C1466*Settings!$B$11)</f>
        <v/>
      </c>
      <c r="I1466" s="20" t="str">
        <f aca="false">IF($A1466="","",IF(N(H1466)=0,"",RANK(H1466,$H$5:$H$2004)))</f>
        <v/>
      </c>
      <c r="J1466" s="21" t="str">
        <f aca="false">IF($A1466="","",IF(B1466=0,"No COD orders",IF(B1466&lt;Settings!$B$8,"Too few orders",IF(D1466&gt;=Settings!$B$9,"Restrict COD or verify","Keep COD"))))</f>
        <v/>
      </c>
    </row>
    <row r="1467" customFormat="false" ht="15" hidden="false" customHeight="false" outlineLevel="0" collapsed="false">
      <c r="A1467" s="27"/>
      <c r="B1467" s="17" t="str">
        <f aca="false">IF($A1467="","",COUNTIFS(Orders!$C$2:$C$20001,$A1467,Orders!$E$2:$E$20001,"COD",Orders!$F$2:$F$20001,"Delivered")+COUNTIFS(Orders!$C$2:$C$20001,$A1467,Orders!$E$2:$E$20001,"COD",Orders!$F$2:$F$20001,"RTO"))</f>
        <v/>
      </c>
      <c r="C1467" s="17" t="str">
        <f aca="false">IF($A1467="","",COUNTIFS(Orders!$C$2:$C$20001,$A1467,Orders!$E$2:$E$20001,"COD",Orders!$F$2:$F$20001,"RTO"))</f>
        <v/>
      </c>
      <c r="D1467" s="18" t="str">
        <f aca="false">IF($A1467="","",IFERROR(C1467/B1467,0))</f>
        <v/>
      </c>
      <c r="E1467" s="17" t="str">
        <f aca="false">IF($A1467="","",COUNTIFS(Orders!$C$2:$C$20001,$A1467,Orders!$E$2:$E$20001,"Prepaid",Orders!$F$2:$F$20001,"Delivered")+COUNTIFS(Orders!$C$2:$C$20001,$A1467,Orders!$E$2:$E$20001,"Prepaid",Orders!$F$2:$F$20001,"RTO"))</f>
        <v/>
      </c>
      <c r="F1467" s="17" t="str">
        <f aca="false">IF($A1467="","",COUNTIFS(Orders!$C$2:$C$20001,$A1467,Orders!$E$2:$E$20001,"Prepaid",Orders!$F$2:$F$20001,"RTO"))</f>
        <v/>
      </c>
      <c r="G1467" s="18" t="str">
        <f aca="false">IF($A1467="","",IFERROR(F1467/E1467,0))</f>
        <v/>
      </c>
      <c r="H1467" s="19" t="str">
        <f aca="false">IF($A1467="","",C1467*Settings!$B$11)</f>
        <v/>
      </c>
      <c r="I1467" s="20" t="str">
        <f aca="false">IF($A1467="","",IF(N(H1467)=0,"",RANK(H1467,$H$5:$H$2004)))</f>
        <v/>
      </c>
      <c r="J1467" s="21" t="str">
        <f aca="false">IF($A1467="","",IF(B1467=0,"No COD orders",IF(B1467&lt;Settings!$B$8,"Too few orders",IF(D1467&gt;=Settings!$B$9,"Restrict COD or verify","Keep COD"))))</f>
        <v/>
      </c>
    </row>
    <row r="1468" customFormat="false" ht="15" hidden="false" customHeight="false" outlineLevel="0" collapsed="false">
      <c r="A1468" s="27"/>
      <c r="B1468" s="17" t="str">
        <f aca="false">IF($A1468="","",COUNTIFS(Orders!$C$2:$C$20001,$A1468,Orders!$E$2:$E$20001,"COD",Orders!$F$2:$F$20001,"Delivered")+COUNTIFS(Orders!$C$2:$C$20001,$A1468,Orders!$E$2:$E$20001,"COD",Orders!$F$2:$F$20001,"RTO"))</f>
        <v/>
      </c>
      <c r="C1468" s="17" t="str">
        <f aca="false">IF($A1468="","",COUNTIFS(Orders!$C$2:$C$20001,$A1468,Orders!$E$2:$E$20001,"COD",Orders!$F$2:$F$20001,"RTO"))</f>
        <v/>
      </c>
      <c r="D1468" s="18" t="str">
        <f aca="false">IF($A1468="","",IFERROR(C1468/B1468,0))</f>
        <v/>
      </c>
      <c r="E1468" s="17" t="str">
        <f aca="false">IF($A1468="","",COUNTIFS(Orders!$C$2:$C$20001,$A1468,Orders!$E$2:$E$20001,"Prepaid",Orders!$F$2:$F$20001,"Delivered")+COUNTIFS(Orders!$C$2:$C$20001,$A1468,Orders!$E$2:$E$20001,"Prepaid",Orders!$F$2:$F$20001,"RTO"))</f>
        <v/>
      </c>
      <c r="F1468" s="17" t="str">
        <f aca="false">IF($A1468="","",COUNTIFS(Orders!$C$2:$C$20001,$A1468,Orders!$E$2:$E$20001,"Prepaid",Orders!$F$2:$F$20001,"RTO"))</f>
        <v/>
      </c>
      <c r="G1468" s="18" t="str">
        <f aca="false">IF($A1468="","",IFERROR(F1468/E1468,0))</f>
        <v/>
      </c>
      <c r="H1468" s="19" t="str">
        <f aca="false">IF($A1468="","",C1468*Settings!$B$11)</f>
        <v/>
      </c>
      <c r="I1468" s="20" t="str">
        <f aca="false">IF($A1468="","",IF(N(H1468)=0,"",RANK(H1468,$H$5:$H$2004)))</f>
        <v/>
      </c>
      <c r="J1468" s="21" t="str">
        <f aca="false">IF($A1468="","",IF(B1468=0,"No COD orders",IF(B1468&lt;Settings!$B$8,"Too few orders",IF(D1468&gt;=Settings!$B$9,"Restrict COD or verify","Keep COD"))))</f>
        <v/>
      </c>
    </row>
    <row r="1469" customFormat="false" ht="15" hidden="false" customHeight="false" outlineLevel="0" collapsed="false">
      <c r="A1469" s="27"/>
      <c r="B1469" s="17" t="str">
        <f aca="false">IF($A1469="","",COUNTIFS(Orders!$C$2:$C$20001,$A1469,Orders!$E$2:$E$20001,"COD",Orders!$F$2:$F$20001,"Delivered")+COUNTIFS(Orders!$C$2:$C$20001,$A1469,Orders!$E$2:$E$20001,"COD",Orders!$F$2:$F$20001,"RTO"))</f>
        <v/>
      </c>
      <c r="C1469" s="17" t="str">
        <f aca="false">IF($A1469="","",COUNTIFS(Orders!$C$2:$C$20001,$A1469,Orders!$E$2:$E$20001,"COD",Orders!$F$2:$F$20001,"RTO"))</f>
        <v/>
      </c>
      <c r="D1469" s="18" t="str">
        <f aca="false">IF($A1469="","",IFERROR(C1469/B1469,0))</f>
        <v/>
      </c>
      <c r="E1469" s="17" t="str">
        <f aca="false">IF($A1469="","",COUNTIFS(Orders!$C$2:$C$20001,$A1469,Orders!$E$2:$E$20001,"Prepaid",Orders!$F$2:$F$20001,"Delivered")+COUNTIFS(Orders!$C$2:$C$20001,$A1469,Orders!$E$2:$E$20001,"Prepaid",Orders!$F$2:$F$20001,"RTO"))</f>
        <v/>
      </c>
      <c r="F1469" s="17" t="str">
        <f aca="false">IF($A1469="","",COUNTIFS(Orders!$C$2:$C$20001,$A1469,Orders!$E$2:$E$20001,"Prepaid",Orders!$F$2:$F$20001,"RTO"))</f>
        <v/>
      </c>
      <c r="G1469" s="18" t="str">
        <f aca="false">IF($A1469="","",IFERROR(F1469/E1469,0))</f>
        <v/>
      </c>
      <c r="H1469" s="19" t="str">
        <f aca="false">IF($A1469="","",C1469*Settings!$B$11)</f>
        <v/>
      </c>
      <c r="I1469" s="20" t="str">
        <f aca="false">IF($A1469="","",IF(N(H1469)=0,"",RANK(H1469,$H$5:$H$2004)))</f>
        <v/>
      </c>
      <c r="J1469" s="21" t="str">
        <f aca="false">IF($A1469="","",IF(B1469=0,"No COD orders",IF(B1469&lt;Settings!$B$8,"Too few orders",IF(D1469&gt;=Settings!$B$9,"Restrict COD or verify","Keep COD"))))</f>
        <v/>
      </c>
    </row>
    <row r="1470" customFormat="false" ht="15" hidden="false" customHeight="false" outlineLevel="0" collapsed="false">
      <c r="A1470" s="27"/>
      <c r="B1470" s="17" t="str">
        <f aca="false">IF($A1470="","",COUNTIFS(Orders!$C$2:$C$20001,$A1470,Orders!$E$2:$E$20001,"COD",Orders!$F$2:$F$20001,"Delivered")+COUNTIFS(Orders!$C$2:$C$20001,$A1470,Orders!$E$2:$E$20001,"COD",Orders!$F$2:$F$20001,"RTO"))</f>
        <v/>
      </c>
      <c r="C1470" s="17" t="str">
        <f aca="false">IF($A1470="","",COUNTIFS(Orders!$C$2:$C$20001,$A1470,Orders!$E$2:$E$20001,"COD",Orders!$F$2:$F$20001,"RTO"))</f>
        <v/>
      </c>
      <c r="D1470" s="18" t="str">
        <f aca="false">IF($A1470="","",IFERROR(C1470/B1470,0))</f>
        <v/>
      </c>
      <c r="E1470" s="17" t="str">
        <f aca="false">IF($A1470="","",COUNTIFS(Orders!$C$2:$C$20001,$A1470,Orders!$E$2:$E$20001,"Prepaid",Orders!$F$2:$F$20001,"Delivered")+COUNTIFS(Orders!$C$2:$C$20001,$A1470,Orders!$E$2:$E$20001,"Prepaid",Orders!$F$2:$F$20001,"RTO"))</f>
        <v/>
      </c>
      <c r="F1470" s="17" t="str">
        <f aca="false">IF($A1470="","",COUNTIFS(Orders!$C$2:$C$20001,$A1470,Orders!$E$2:$E$20001,"Prepaid",Orders!$F$2:$F$20001,"RTO"))</f>
        <v/>
      </c>
      <c r="G1470" s="18" t="str">
        <f aca="false">IF($A1470="","",IFERROR(F1470/E1470,0))</f>
        <v/>
      </c>
      <c r="H1470" s="19" t="str">
        <f aca="false">IF($A1470="","",C1470*Settings!$B$11)</f>
        <v/>
      </c>
      <c r="I1470" s="20" t="str">
        <f aca="false">IF($A1470="","",IF(N(H1470)=0,"",RANK(H1470,$H$5:$H$2004)))</f>
        <v/>
      </c>
      <c r="J1470" s="21" t="str">
        <f aca="false">IF($A1470="","",IF(B1470=0,"No COD orders",IF(B1470&lt;Settings!$B$8,"Too few orders",IF(D1470&gt;=Settings!$B$9,"Restrict COD or verify","Keep COD"))))</f>
        <v/>
      </c>
    </row>
    <row r="1471" customFormat="false" ht="15" hidden="false" customHeight="false" outlineLevel="0" collapsed="false">
      <c r="A1471" s="27"/>
      <c r="B1471" s="17" t="str">
        <f aca="false">IF($A1471="","",COUNTIFS(Orders!$C$2:$C$20001,$A1471,Orders!$E$2:$E$20001,"COD",Orders!$F$2:$F$20001,"Delivered")+COUNTIFS(Orders!$C$2:$C$20001,$A1471,Orders!$E$2:$E$20001,"COD",Orders!$F$2:$F$20001,"RTO"))</f>
        <v/>
      </c>
      <c r="C1471" s="17" t="str">
        <f aca="false">IF($A1471="","",COUNTIFS(Orders!$C$2:$C$20001,$A1471,Orders!$E$2:$E$20001,"COD",Orders!$F$2:$F$20001,"RTO"))</f>
        <v/>
      </c>
      <c r="D1471" s="18" t="str">
        <f aca="false">IF($A1471="","",IFERROR(C1471/B1471,0))</f>
        <v/>
      </c>
      <c r="E1471" s="17" t="str">
        <f aca="false">IF($A1471="","",COUNTIFS(Orders!$C$2:$C$20001,$A1471,Orders!$E$2:$E$20001,"Prepaid",Orders!$F$2:$F$20001,"Delivered")+COUNTIFS(Orders!$C$2:$C$20001,$A1471,Orders!$E$2:$E$20001,"Prepaid",Orders!$F$2:$F$20001,"RTO"))</f>
        <v/>
      </c>
      <c r="F1471" s="17" t="str">
        <f aca="false">IF($A1471="","",COUNTIFS(Orders!$C$2:$C$20001,$A1471,Orders!$E$2:$E$20001,"Prepaid",Orders!$F$2:$F$20001,"RTO"))</f>
        <v/>
      </c>
      <c r="G1471" s="18" t="str">
        <f aca="false">IF($A1471="","",IFERROR(F1471/E1471,0))</f>
        <v/>
      </c>
      <c r="H1471" s="19" t="str">
        <f aca="false">IF($A1471="","",C1471*Settings!$B$11)</f>
        <v/>
      </c>
      <c r="I1471" s="20" t="str">
        <f aca="false">IF($A1471="","",IF(N(H1471)=0,"",RANK(H1471,$H$5:$H$2004)))</f>
        <v/>
      </c>
      <c r="J1471" s="21" t="str">
        <f aca="false">IF($A1471="","",IF(B1471=0,"No COD orders",IF(B1471&lt;Settings!$B$8,"Too few orders",IF(D1471&gt;=Settings!$B$9,"Restrict COD or verify","Keep COD"))))</f>
        <v/>
      </c>
    </row>
    <row r="1472" customFormat="false" ht="15" hidden="false" customHeight="false" outlineLevel="0" collapsed="false">
      <c r="A1472" s="27"/>
      <c r="B1472" s="17" t="str">
        <f aca="false">IF($A1472="","",COUNTIFS(Orders!$C$2:$C$20001,$A1472,Orders!$E$2:$E$20001,"COD",Orders!$F$2:$F$20001,"Delivered")+COUNTIFS(Orders!$C$2:$C$20001,$A1472,Orders!$E$2:$E$20001,"COD",Orders!$F$2:$F$20001,"RTO"))</f>
        <v/>
      </c>
      <c r="C1472" s="17" t="str">
        <f aca="false">IF($A1472="","",COUNTIFS(Orders!$C$2:$C$20001,$A1472,Orders!$E$2:$E$20001,"COD",Orders!$F$2:$F$20001,"RTO"))</f>
        <v/>
      </c>
      <c r="D1472" s="18" t="str">
        <f aca="false">IF($A1472="","",IFERROR(C1472/B1472,0))</f>
        <v/>
      </c>
      <c r="E1472" s="17" t="str">
        <f aca="false">IF($A1472="","",COUNTIFS(Orders!$C$2:$C$20001,$A1472,Orders!$E$2:$E$20001,"Prepaid",Orders!$F$2:$F$20001,"Delivered")+COUNTIFS(Orders!$C$2:$C$20001,$A1472,Orders!$E$2:$E$20001,"Prepaid",Orders!$F$2:$F$20001,"RTO"))</f>
        <v/>
      </c>
      <c r="F1472" s="17" t="str">
        <f aca="false">IF($A1472="","",COUNTIFS(Orders!$C$2:$C$20001,$A1472,Orders!$E$2:$E$20001,"Prepaid",Orders!$F$2:$F$20001,"RTO"))</f>
        <v/>
      </c>
      <c r="G1472" s="18" t="str">
        <f aca="false">IF($A1472="","",IFERROR(F1472/E1472,0))</f>
        <v/>
      </c>
      <c r="H1472" s="19" t="str">
        <f aca="false">IF($A1472="","",C1472*Settings!$B$11)</f>
        <v/>
      </c>
      <c r="I1472" s="20" t="str">
        <f aca="false">IF($A1472="","",IF(N(H1472)=0,"",RANK(H1472,$H$5:$H$2004)))</f>
        <v/>
      </c>
      <c r="J1472" s="21" t="str">
        <f aca="false">IF($A1472="","",IF(B1472=0,"No COD orders",IF(B1472&lt;Settings!$B$8,"Too few orders",IF(D1472&gt;=Settings!$B$9,"Restrict COD or verify","Keep COD"))))</f>
        <v/>
      </c>
    </row>
    <row r="1473" customFormat="false" ht="15" hidden="false" customHeight="false" outlineLevel="0" collapsed="false">
      <c r="A1473" s="27"/>
      <c r="B1473" s="17" t="str">
        <f aca="false">IF($A1473="","",COUNTIFS(Orders!$C$2:$C$20001,$A1473,Orders!$E$2:$E$20001,"COD",Orders!$F$2:$F$20001,"Delivered")+COUNTIFS(Orders!$C$2:$C$20001,$A1473,Orders!$E$2:$E$20001,"COD",Orders!$F$2:$F$20001,"RTO"))</f>
        <v/>
      </c>
      <c r="C1473" s="17" t="str">
        <f aca="false">IF($A1473="","",COUNTIFS(Orders!$C$2:$C$20001,$A1473,Orders!$E$2:$E$20001,"COD",Orders!$F$2:$F$20001,"RTO"))</f>
        <v/>
      </c>
      <c r="D1473" s="18" t="str">
        <f aca="false">IF($A1473="","",IFERROR(C1473/B1473,0))</f>
        <v/>
      </c>
      <c r="E1473" s="17" t="str">
        <f aca="false">IF($A1473="","",COUNTIFS(Orders!$C$2:$C$20001,$A1473,Orders!$E$2:$E$20001,"Prepaid",Orders!$F$2:$F$20001,"Delivered")+COUNTIFS(Orders!$C$2:$C$20001,$A1473,Orders!$E$2:$E$20001,"Prepaid",Orders!$F$2:$F$20001,"RTO"))</f>
        <v/>
      </c>
      <c r="F1473" s="17" t="str">
        <f aca="false">IF($A1473="","",COUNTIFS(Orders!$C$2:$C$20001,$A1473,Orders!$E$2:$E$20001,"Prepaid",Orders!$F$2:$F$20001,"RTO"))</f>
        <v/>
      </c>
      <c r="G1473" s="18" t="str">
        <f aca="false">IF($A1473="","",IFERROR(F1473/E1473,0))</f>
        <v/>
      </c>
      <c r="H1473" s="19" t="str">
        <f aca="false">IF($A1473="","",C1473*Settings!$B$11)</f>
        <v/>
      </c>
      <c r="I1473" s="20" t="str">
        <f aca="false">IF($A1473="","",IF(N(H1473)=0,"",RANK(H1473,$H$5:$H$2004)))</f>
        <v/>
      </c>
      <c r="J1473" s="21" t="str">
        <f aca="false">IF($A1473="","",IF(B1473=0,"No COD orders",IF(B1473&lt;Settings!$B$8,"Too few orders",IF(D1473&gt;=Settings!$B$9,"Restrict COD or verify","Keep COD"))))</f>
        <v/>
      </c>
    </row>
    <row r="1474" customFormat="false" ht="15" hidden="false" customHeight="false" outlineLevel="0" collapsed="false">
      <c r="A1474" s="27"/>
      <c r="B1474" s="17" t="str">
        <f aca="false">IF($A1474="","",COUNTIFS(Orders!$C$2:$C$20001,$A1474,Orders!$E$2:$E$20001,"COD",Orders!$F$2:$F$20001,"Delivered")+COUNTIFS(Orders!$C$2:$C$20001,$A1474,Orders!$E$2:$E$20001,"COD",Orders!$F$2:$F$20001,"RTO"))</f>
        <v/>
      </c>
      <c r="C1474" s="17" t="str">
        <f aca="false">IF($A1474="","",COUNTIFS(Orders!$C$2:$C$20001,$A1474,Orders!$E$2:$E$20001,"COD",Orders!$F$2:$F$20001,"RTO"))</f>
        <v/>
      </c>
      <c r="D1474" s="18" t="str">
        <f aca="false">IF($A1474="","",IFERROR(C1474/B1474,0))</f>
        <v/>
      </c>
      <c r="E1474" s="17" t="str">
        <f aca="false">IF($A1474="","",COUNTIFS(Orders!$C$2:$C$20001,$A1474,Orders!$E$2:$E$20001,"Prepaid",Orders!$F$2:$F$20001,"Delivered")+COUNTIFS(Orders!$C$2:$C$20001,$A1474,Orders!$E$2:$E$20001,"Prepaid",Orders!$F$2:$F$20001,"RTO"))</f>
        <v/>
      </c>
      <c r="F1474" s="17" t="str">
        <f aca="false">IF($A1474="","",COUNTIFS(Orders!$C$2:$C$20001,$A1474,Orders!$E$2:$E$20001,"Prepaid",Orders!$F$2:$F$20001,"RTO"))</f>
        <v/>
      </c>
      <c r="G1474" s="18" t="str">
        <f aca="false">IF($A1474="","",IFERROR(F1474/E1474,0))</f>
        <v/>
      </c>
      <c r="H1474" s="19" t="str">
        <f aca="false">IF($A1474="","",C1474*Settings!$B$11)</f>
        <v/>
      </c>
      <c r="I1474" s="20" t="str">
        <f aca="false">IF($A1474="","",IF(N(H1474)=0,"",RANK(H1474,$H$5:$H$2004)))</f>
        <v/>
      </c>
      <c r="J1474" s="21" t="str">
        <f aca="false">IF($A1474="","",IF(B1474=0,"No COD orders",IF(B1474&lt;Settings!$B$8,"Too few orders",IF(D1474&gt;=Settings!$B$9,"Restrict COD or verify","Keep COD"))))</f>
        <v/>
      </c>
    </row>
    <row r="1475" customFormat="false" ht="15" hidden="false" customHeight="false" outlineLevel="0" collapsed="false">
      <c r="A1475" s="27"/>
      <c r="B1475" s="17" t="str">
        <f aca="false">IF($A1475="","",COUNTIFS(Orders!$C$2:$C$20001,$A1475,Orders!$E$2:$E$20001,"COD",Orders!$F$2:$F$20001,"Delivered")+COUNTIFS(Orders!$C$2:$C$20001,$A1475,Orders!$E$2:$E$20001,"COD",Orders!$F$2:$F$20001,"RTO"))</f>
        <v/>
      </c>
      <c r="C1475" s="17" t="str">
        <f aca="false">IF($A1475="","",COUNTIFS(Orders!$C$2:$C$20001,$A1475,Orders!$E$2:$E$20001,"COD",Orders!$F$2:$F$20001,"RTO"))</f>
        <v/>
      </c>
      <c r="D1475" s="18" t="str">
        <f aca="false">IF($A1475="","",IFERROR(C1475/B1475,0))</f>
        <v/>
      </c>
      <c r="E1475" s="17" t="str">
        <f aca="false">IF($A1475="","",COUNTIFS(Orders!$C$2:$C$20001,$A1475,Orders!$E$2:$E$20001,"Prepaid",Orders!$F$2:$F$20001,"Delivered")+COUNTIFS(Orders!$C$2:$C$20001,$A1475,Orders!$E$2:$E$20001,"Prepaid",Orders!$F$2:$F$20001,"RTO"))</f>
        <v/>
      </c>
      <c r="F1475" s="17" t="str">
        <f aca="false">IF($A1475="","",COUNTIFS(Orders!$C$2:$C$20001,$A1475,Orders!$E$2:$E$20001,"Prepaid",Orders!$F$2:$F$20001,"RTO"))</f>
        <v/>
      </c>
      <c r="G1475" s="18" t="str">
        <f aca="false">IF($A1475="","",IFERROR(F1475/E1475,0))</f>
        <v/>
      </c>
      <c r="H1475" s="19" t="str">
        <f aca="false">IF($A1475="","",C1475*Settings!$B$11)</f>
        <v/>
      </c>
      <c r="I1475" s="20" t="str">
        <f aca="false">IF($A1475="","",IF(N(H1475)=0,"",RANK(H1475,$H$5:$H$2004)))</f>
        <v/>
      </c>
      <c r="J1475" s="21" t="str">
        <f aca="false">IF($A1475="","",IF(B1475=0,"No COD orders",IF(B1475&lt;Settings!$B$8,"Too few orders",IF(D1475&gt;=Settings!$B$9,"Restrict COD or verify","Keep COD"))))</f>
        <v/>
      </c>
    </row>
    <row r="1476" customFormat="false" ht="15" hidden="false" customHeight="false" outlineLevel="0" collapsed="false">
      <c r="A1476" s="27"/>
      <c r="B1476" s="17" t="str">
        <f aca="false">IF($A1476="","",COUNTIFS(Orders!$C$2:$C$20001,$A1476,Orders!$E$2:$E$20001,"COD",Orders!$F$2:$F$20001,"Delivered")+COUNTIFS(Orders!$C$2:$C$20001,$A1476,Orders!$E$2:$E$20001,"COD",Orders!$F$2:$F$20001,"RTO"))</f>
        <v/>
      </c>
      <c r="C1476" s="17" t="str">
        <f aca="false">IF($A1476="","",COUNTIFS(Orders!$C$2:$C$20001,$A1476,Orders!$E$2:$E$20001,"COD",Orders!$F$2:$F$20001,"RTO"))</f>
        <v/>
      </c>
      <c r="D1476" s="18" t="str">
        <f aca="false">IF($A1476="","",IFERROR(C1476/B1476,0))</f>
        <v/>
      </c>
      <c r="E1476" s="17" t="str">
        <f aca="false">IF($A1476="","",COUNTIFS(Orders!$C$2:$C$20001,$A1476,Orders!$E$2:$E$20001,"Prepaid",Orders!$F$2:$F$20001,"Delivered")+COUNTIFS(Orders!$C$2:$C$20001,$A1476,Orders!$E$2:$E$20001,"Prepaid",Orders!$F$2:$F$20001,"RTO"))</f>
        <v/>
      </c>
      <c r="F1476" s="17" t="str">
        <f aca="false">IF($A1476="","",COUNTIFS(Orders!$C$2:$C$20001,$A1476,Orders!$E$2:$E$20001,"Prepaid",Orders!$F$2:$F$20001,"RTO"))</f>
        <v/>
      </c>
      <c r="G1476" s="18" t="str">
        <f aca="false">IF($A1476="","",IFERROR(F1476/E1476,0))</f>
        <v/>
      </c>
      <c r="H1476" s="19" t="str">
        <f aca="false">IF($A1476="","",C1476*Settings!$B$11)</f>
        <v/>
      </c>
      <c r="I1476" s="20" t="str">
        <f aca="false">IF($A1476="","",IF(N(H1476)=0,"",RANK(H1476,$H$5:$H$2004)))</f>
        <v/>
      </c>
      <c r="J1476" s="21" t="str">
        <f aca="false">IF($A1476="","",IF(B1476=0,"No COD orders",IF(B1476&lt;Settings!$B$8,"Too few orders",IF(D1476&gt;=Settings!$B$9,"Restrict COD or verify","Keep COD"))))</f>
        <v/>
      </c>
    </row>
    <row r="1477" customFormat="false" ht="15" hidden="false" customHeight="false" outlineLevel="0" collapsed="false">
      <c r="A1477" s="27"/>
      <c r="B1477" s="17" t="str">
        <f aca="false">IF($A1477="","",COUNTIFS(Orders!$C$2:$C$20001,$A1477,Orders!$E$2:$E$20001,"COD",Orders!$F$2:$F$20001,"Delivered")+COUNTIFS(Orders!$C$2:$C$20001,$A1477,Orders!$E$2:$E$20001,"COD",Orders!$F$2:$F$20001,"RTO"))</f>
        <v/>
      </c>
      <c r="C1477" s="17" t="str">
        <f aca="false">IF($A1477="","",COUNTIFS(Orders!$C$2:$C$20001,$A1477,Orders!$E$2:$E$20001,"COD",Orders!$F$2:$F$20001,"RTO"))</f>
        <v/>
      </c>
      <c r="D1477" s="18" t="str">
        <f aca="false">IF($A1477="","",IFERROR(C1477/B1477,0))</f>
        <v/>
      </c>
      <c r="E1477" s="17" t="str">
        <f aca="false">IF($A1477="","",COUNTIFS(Orders!$C$2:$C$20001,$A1477,Orders!$E$2:$E$20001,"Prepaid",Orders!$F$2:$F$20001,"Delivered")+COUNTIFS(Orders!$C$2:$C$20001,$A1477,Orders!$E$2:$E$20001,"Prepaid",Orders!$F$2:$F$20001,"RTO"))</f>
        <v/>
      </c>
      <c r="F1477" s="17" t="str">
        <f aca="false">IF($A1477="","",COUNTIFS(Orders!$C$2:$C$20001,$A1477,Orders!$E$2:$E$20001,"Prepaid",Orders!$F$2:$F$20001,"RTO"))</f>
        <v/>
      </c>
      <c r="G1477" s="18" t="str">
        <f aca="false">IF($A1477="","",IFERROR(F1477/E1477,0))</f>
        <v/>
      </c>
      <c r="H1477" s="19" t="str">
        <f aca="false">IF($A1477="","",C1477*Settings!$B$11)</f>
        <v/>
      </c>
      <c r="I1477" s="20" t="str">
        <f aca="false">IF($A1477="","",IF(N(H1477)=0,"",RANK(H1477,$H$5:$H$2004)))</f>
        <v/>
      </c>
      <c r="J1477" s="21" t="str">
        <f aca="false">IF($A1477="","",IF(B1477=0,"No COD orders",IF(B1477&lt;Settings!$B$8,"Too few orders",IF(D1477&gt;=Settings!$B$9,"Restrict COD or verify","Keep COD"))))</f>
        <v/>
      </c>
    </row>
    <row r="1478" customFormat="false" ht="15" hidden="false" customHeight="false" outlineLevel="0" collapsed="false">
      <c r="A1478" s="27"/>
      <c r="B1478" s="17" t="str">
        <f aca="false">IF($A1478="","",COUNTIFS(Orders!$C$2:$C$20001,$A1478,Orders!$E$2:$E$20001,"COD",Orders!$F$2:$F$20001,"Delivered")+COUNTIFS(Orders!$C$2:$C$20001,$A1478,Orders!$E$2:$E$20001,"COD",Orders!$F$2:$F$20001,"RTO"))</f>
        <v/>
      </c>
      <c r="C1478" s="17" t="str">
        <f aca="false">IF($A1478="","",COUNTIFS(Orders!$C$2:$C$20001,$A1478,Orders!$E$2:$E$20001,"COD",Orders!$F$2:$F$20001,"RTO"))</f>
        <v/>
      </c>
      <c r="D1478" s="18" t="str">
        <f aca="false">IF($A1478="","",IFERROR(C1478/B1478,0))</f>
        <v/>
      </c>
      <c r="E1478" s="17" t="str">
        <f aca="false">IF($A1478="","",COUNTIFS(Orders!$C$2:$C$20001,$A1478,Orders!$E$2:$E$20001,"Prepaid",Orders!$F$2:$F$20001,"Delivered")+COUNTIFS(Orders!$C$2:$C$20001,$A1478,Orders!$E$2:$E$20001,"Prepaid",Orders!$F$2:$F$20001,"RTO"))</f>
        <v/>
      </c>
      <c r="F1478" s="17" t="str">
        <f aca="false">IF($A1478="","",COUNTIFS(Orders!$C$2:$C$20001,$A1478,Orders!$E$2:$E$20001,"Prepaid",Orders!$F$2:$F$20001,"RTO"))</f>
        <v/>
      </c>
      <c r="G1478" s="18" t="str">
        <f aca="false">IF($A1478="","",IFERROR(F1478/E1478,0))</f>
        <v/>
      </c>
      <c r="H1478" s="19" t="str">
        <f aca="false">IF($A1478="","",C1478*Settings!$B$11)</f>
        <v/>
      </c>
      <c r="I1478" s="20" t="str">
        <f aca="false">IF($A1478="","",IF(N(H1478)=0,"",RANK(H1478,$H$5:$H$2004)))</f>
        <v/>
      </c>
      <c r="J1478" s="21" t="str">
        <f aca="false">IF($A1478="","",IF(B1478=0,"No COD orders",IF(B1478&lt;Settings!$B$8,"Too few orders",IF(D1478&gt;=Settings!$B$9,"Restrict COD or verify","Keep COD"))))</f>
        <v/>
      </c>
    </row>
    <row r="1479" customFormat="false" ht="15" hidden="false" customHeight="false" outlineLevel="0" collapsed="false">
      <c r="A1479" s="27"/>
      <c r="B1479" s="17" t="str">
        <f aca="false">IF($A1479="","",COUNTIFS(Orders!$C$2:$C$20001,$A1479,Orders!$E$2:$E$20001,"COD",Orders!$F$2:$F$20001,"Delivered")+COUNTIFS(Orders!$C$2:$C$20001,$A1479,Orders!$E$2:$E$20001,"COD",Orders!$F$2:$F$20001,"RTO"))</f>
        <v/>
      </c>
      <c r="C1479" s="17" t="str">
        <f aca="false">IF($A1479="","",COUNTIFS(Orders!$C$2:$C$20001,$A1479,Orders!$E$2:$E$20001,"COD",Orders!$F$2:$F$20001,"RTO"))</f>
        <v/>
      </c>
      <c r="D1479" s="18" t="str">
        <f aca="false">IF($A1479="","",IFERROR(C1479/B1479,0))</f>
        <v/>
      </c>
      <c r="E1479" s="17" t="str">
        <f aca="false">IF($A1479="","",COUNTIFS(Orders!$C$2:$C$20001,$A1479,Orders!$E$2:$E$20001,"Prepaid",Orders!$F$2:$F$20001,"Delivered")+COUNTIFS(Orders!$C$2:$C$20001,$A1479,Orders!$E$2:$E$20001,"Prepaid",Orders!$F$2:$F$20001,"RTO"))</f>
        <v/>
      </c>
      <c r="F1479" s="17" t="str">
        <f aca="false">IF($A1479="","",COUNTIFS(Orders!$C$2:$C$20001,$A1479,Orders!$E$2:$E$20001,"Prepaid",Orders!$F$2:$F$20001,"RTO"))</f>
        <v/>
      </c>
      <c r="G1479" s="18" t="str">
        <f aca="false">IF($A1479="","",IFERROR(F1479/E1479,0))</f>
        <v/>
      </c>
      <c r="H1479" s="19" t="str">
        <f aca="false">IF($A1479="","",C1479*Settings!$B$11)</f>
        <v/>
      </c>
      <c r="I1479" s="20" t="str">
        <f aca="false">IF($A1479="","",IF(N(H1479)=0,"",RANK(H1479,$H$5:$H$2004)))</f>
        <v/>
      </c>
      <c r="J1479" s="21" t="str">
        <f aca="false">IF($A1479="","",IF(B1479=0,"No COD orders",IF(B1479&lt;Settings!$B$8,"Too few orders",IF(D1479&gt;=Settings!$B$9,"Restrict COD or verify","Keep COD"))))</f>
        <v/>
      </c>
    </row>
    <row r="1480" customFormat="false" ht="15" hidden="false" customHeight="false" outlineLevel="0" collapsed="false">
      <c r="A1480" s="27"/>
      <c r="B1480" s="17" t="str">
        <f aca="false">IF($A1480="","",COUNTIFS(Orders!$C$2:$C$20001,$A1480,Orders!$E$2:$E$20001,"COD",Orders!$F$2:$F$20001,"Delivered")+COUNTIFS(Orders!$C$2:$C$20001,$A1480,Orders!$E$2:$E$20001,"COD",Orders!$F$2:$F$20001,"RTO"))</f>
        <v/>
      </c>
      <c r="C1480" s="17" t="str">
        <f aca="false">IF($A1480="","",COUNTIFS(Orders!$C$2:$C$20001,$A1480,Orders!$E$2:$E$20001,"COD",Orders!$F$2:$F$20001,"RTO"))</f>
        <v/>
      </c>
      <c r="D1480" s="18" t="str">
        <f aca="false">IF($A1480="","",IFERROR(C1480/B1480,0))</f>
        <v/>
      </c>
      <c r="E1480" s="17" t="str">
        <f aca="false">IF($A1480="","",COUNTIFS(Orders!$C$2:$C$20001,$A1480,Orders!$E$2:$E$20001,"Prepaid",Orders!$F$2:$F$20001,"Delivered")+COUNTIFS(Orders!$C$2:$C$20001,$A1480,Orders!$E$2:$E$20001,"Prepaid",Orders!$F$2:$F$20001,"RTO"))</f>
        <v/>
      </c>
      <c r="F1480" s="17" t="str">
        <f aca="false">IF($A1480="","",COUNTIFS(Orders!$C$2:$C$20001,$A1480,Orders!$E$2:$E$20001,"Prepaid",Orders!$F$2:$F$20001,"RTO"))</f>
        <v/>
      </c>
      <c r="G1480" s="18" t="str">
        <f aca="false">IF($A1480="","",IFERROR(F1480/E1480,0))</f>
        <v/>
      </c>
      <c r="H1480" s="19" t="str">
        <f aca="false">IF($A1480="","",C1480*Settings!$B$11)</f>
        <v/>
      </c>
      <c r="I1480" s="20" t="str">
        <f aca="false">IF($A1480="","",IF(N(H1480)=0,"",RANK(H1480,$H$5:$H$2004)))</f>
        <v/>
      </c>
      <c r="J1480" s="21" t="str">
        <f aca="false">IF($A1480="","",IF(B1480=0,"No COD orders",IF(B1480&lt;Settings!$B$8,"Too few orders",IF(D1480&gt;=Settings!$B$9,"Restrict COD or verify","Keep COD"))))</f>
        <v/>
      </c>
    </row>
    <row r="1481" customFormat="false" ht="15" hidden="false" customHeight="false" outlineLevel="0" collapsed="false">
      <c r="A1481" s="27"/>
      <c r="B1481" s="17" t="str">
        <f aca="false">IF($A1481="","",COUNTIFS(Orders!$C$2:$C$20001,$A1481,Orders!$E$2:$E$20001,"COD",Orders!$F$2:$F$20001,"Delivered")+COUNTIFS(Orders!$C$2:$C$20001,$A1481,Orders!$E$2:$E$20001,"COD",Orders!$F$2:$F$20001,"RTO"))</f>
        <v/>
      </c>
      <c r="C1481" s="17" t="str">
        <f aca="false">IF($A1481="","",COUNTIFS(Orders!$C$2:$C$20001,$A1481,Orders!$E$2:$E$20001,"COD",Orders!$F$2:$F$20001,"RTO"))</f>
        <v/>
      </c>
      <c r="D1481" s="18" t="str">
        <f aca="false">IF($A1481="","",IFERROR(C1481/B1481,0))</f>
        <v/>
      </c>
      <c r="E1481" s="17" t="str">
        <f aca="false">IF($A1481="","",COUNTIFS(Orders!$C$2:$C$20001,$A1481,Orders!$E$2:$E$20001,"Prepaid",Orders!$F$2:$F$20001,"Delivered")+COUNTIFS(Orders!$C$2:$C$20001,$A1481,Orders!$E$2:$E$20001,"Prepaid",Orders!$F$2:$F$20001,"RTO"))</f>
        <v/>
      </c>
      <c r="F1481" s="17" t="str">
        <f aca="false">IF($A1481="","",COUNTIFS(Orders!$C$2:$C$20001,$A1481,Orders!$E$2:$E$20001,"Prepaid",Orders!$F$2:$F$20001,"RTO"))</f>
        <v/>
      </c>
      <c r="G1481" s="18" t="str">
        <f aca="false">IF($A1481="","",IFERROR(F1481/E1481,0))</f>
        <v/>
      </c>
      <c r="H1481" s="19" t="str">
        <f aca="false">IF($A1481="","",C1481*Settings!$B$11)</f>
        <v/>
      </c>
      <c r="I1481" s="20" t="str">
        <f aca="false">IF($A1481="","",IF(N(H1481)=0,"",RANK(H1481,$H$5:$H$2004)))</f>
        <v/>
      </c>
      <c r="J1481" s="21" t="str">
        <f aca="false">IF($A1481="","",IF(B1481=0,"No COD orders",IF(B1481&lt;Settings!$B$8,"Too few orders",IF(D1481&gt;=Settings!$B$9,"Restrict COD or verify","Keep COD"))))</f>
        <v/>
      </c>
    </row>
    <row r="1482" customFormat="false" ht="15" hidden="false" customHeight="false" outlineLevel="0" collapsed="false">
      <c r="A1482" s="27"/>
      <c r="B1482" s="17" t="str">
        <f aca="false">IF($A1482="","",COUNTIFS(Orders!$C$2:$C$20001,$A1482,Orders!$E$2:$E$20001,"COD",Orders!$F$2:$F$20001,"Delivered")+COUNTIFS(Orders!$C$2:$C$20001,$A1482,Orders!$E$2:$E$20001,"COD",Orders!$F$2:$F$20001,"RTO"))</f>
        <v/>
      </c>
      <c r="C1482" s="17" t="str">
        <f aca="false">IF($A1482="","",COUNTIFS(Orders!$C$2:$C$20001,$A1482,Orders!$E$2:$E$20001,"COD",Orders!$F$2:$F$20001,"RTO"))</f>
        <v/>
      </c>
      <c r="D1482" s="18" t="str">
        <f aca="false">IF($A1482="","",IFERROR(C1482/B1482,0))</f>
        <v/>
      </c>
      <c r="E1482" s="17" t="str">
        <f aca="false">IF($A1482="","",COUNTIFS(Orders!$C$2:$C$20001,$A1482,Orders!$E$2:$E$20001,"Prepaid",Orders!$F$2:$F$20001,"Delivered")+COUNTIFS(Orders!$C$2:$C$20001,$A1482,Orders!$E$2:$E$20001,"Prepaid",Orders!$F$2:$F$20001,"RTO"))</f>
        <v/>
      </c>
      <c r="F1482" s="17" t="str">
        <f aca="false">IF($A1482="","",COUNTIFS(Orders!$C$2:$C$20001,$A1482,Orders!$E$2:$E$20001,"Prepaid",Orders!$F$2:$F$20001,"RTO"))</f>
        <v/>
      </c>
      <c r="G1482" s="18" t="str">
        <f aca="false">IF($A1482="","",IFERROR(F1482/E1482,0))</f>
        <v/>
      </c>
      <c r="H1482" s="19" t="str">
        <f aca="false">IF($A1482="","",C1482*Settings!$B$11)</f>
        <v/>
      </c>
      <c r="I1482" s="20" t="str">
        <f aca="false">IF($A1482="","",IF(N(H1482)=0,"",RANK(H1482,$H$5:$H$2004)))</f>
        <v/>
      </c>
      <c r="J1482" s="21" t="str">
        <f aca="false">IF($A1482="","",IF(B1482=0,"No COD orders",IF(B1482&lt;Settings!$B$8,"Too few orders",IF(D1482&gt;=Settings!$B$9,"Restrict COD or verify","Keep COD"))))</f>
        <v/>
      </c>
    </row>
    <row r="1483" customFormat="false" ht="15" hidden="false" customHeight="false" outlineLevel="0" collapsed="false">
      <c r="A1483" s="27"/>
      <c r="B1483" s="17" t="str">
        <f aca="false">IF($A1483="","",COUNTIFS(Orders!$C$2:$C$20001,$A1483,Orders!$E$2:$E$20001,"COD",Orders!$F$2:$F$20001,"Delivered")+COUNTIFS(Orders!$C$2:$C$20001,$A1483,Orders!$E$2:$E$20001,"COD",Orders!$F$2:$F$20001,"RTO"))</f>
        <v/>
      </c>
      <c r="C1483" s="17" t="str">
        <f aca="false">IF($A1483="","",COUNTIFS(Orders!$C$2:$C$20001,$A1483,Orders!$E$2:$E$20001,"COD",Orders!$F$2:$F$20001,"RTO"))</f>
        <v/>
      </c>
      <c r="D1483" s="18" t="str">
        <f aca="false">IF($A1483="","",IFERROR(C1483/B1483,0))</f>
        <v/>
      </c>
      <c r="E1483" s="17" t="str">
        <f aca="false">IF($A1483="","",COUNTIFS(Orders!$C$2:$C$20001,$A1483,Orders!$E$2:$E$20001,"Prepaid",Orders!$F$2:$F$20001,"Delivered")+COUNTIFS(Orders!$C$2:$C$20001,$A1483,Orders!$E$2:$E$20001,"Prepaid",Orders!$F$2:$F$20001,"RTO"))</f>
        <v/>
      </c>
      <c r="F1483" s="17" t="str">
        <f aca="false">IF($A1483="","",COUNTIFS(Orders!$C$2:$C$20001,$A1483,Orders!$E$2:$E$20001,"Prepaid",Orders!$F$2:$F$20001,"RTO"))</f>
        <v/>
      </c>
      <c r="G1483" s="18" t="str">
        <f aca="false">IF($A1483="","",IFERROR(F1483/E1483,0))</f>
        <v/>
      </c>
      <c r="H1483" s="19" t="str">
        <f aca="false">IF($A1483="","",C1483*Settings!$B$11)</f>
        <v/>
      </c>
      <c r="I1483" s="20" t="str">
        <f aca="false">IF($A1483="","",IF(N(H1483)=0,"",RANK(H1483,$H$5:$H$2004)))</f>
        <v/>
      </c>
      <c r="J1483" s="21" t="str">
        <f aca="false">IF($A1483="","",IF(B1483=0,"No COD orders",IF(B1483&lt;Settings!$B$8,"Too few orders",IF(D1483&gt;=Settings!$B$9,"Restrict COD or verify","Keep COD"))))</f>
        <v/>
      </c>
    </row>
    <row r="1484" customFormat="false" ht="15" hidden="false" customHeight="false" outlineLevel="0" collapsed="false">
      <c r="A1484" s="27"/>
      <c r="B1484" s="17" t="str">
        <f aca="false">IF($A1484="","",COUNTIFS(Orders!$C$2:$C$20001,$A1484,Orders!$E$2:$E$20001,"COD",Orders!$F$2:$F$20001,"Delivered")+COUNTIFS(Orders!$C$2:$C$20001,$A1484,Orders!$E$2:$E$20001,"COD",Orders!$F$2:$F$20001,"RTO"))</f>
        <v/>
      </c>
      <c r="C1484" s="17" t="str">
        <f aca="false">IF($A1484="","",COUNTIFS(Orders!$C$2:$C$20001,$A1484,Orders!$E$2:$E$20001,"COD",Orders!$F$2:$F$20001,"RTO"))</f>
        <v/>
      </c>
      <c r="D1484" s="18" t="str">
        <f aca="false">IF($A1484="","",IFERROR(C1484/B1484,0))</f>
        <v/>
      </c>
      <c r="E1484" s="17" t="str">
        <f aca="false">IF($A1484="","",COUNTIFS(Orders!$C$2:$C$20001,$A1484,Orders!$E$2:$E$20001,"Prepaid",Orders!$F$2:$F$20001,"Delivered")+COUNTIFS(Orders!$C$2:$C$20001,$A1484,Orders!$E$2:$E$20001,"Prepaid",Orders!$F$2:$F$20001,"RTO"))</f>
        <v/>
      </c>
      <c r="F1484" s="17" t="str">
        <f aca="false">IF($A1484="","",COUNTIFS(Orders!$C$2:$C$20001,$A1484,Orders!$E$2:$E$20001,"Prepaid",Orders!$F$2:$F$20001,"RTO"))</f>
        <v/>
      </c>
      <c r="G1484" s="18" t="str">
        <f aca="false">IF($A1484="","",IFERROR(F1484/E1484,0))</f>
        <v/>
      </c>
      <c r="H1484" s="19" t="str">
        <f aca="false">IF($A1484="","",C1484*Settings!$B$11)</f>
        <v/>
      </c>
      <c r="I1484" s="20" t="str">
        <f aca="false">IF($A1484="","",IF(N(H1484)=0,"",RANK(H1484,$H$5:$H$2004)))</f>
        <v/>
      </c>
      <c r="J1484" s="21" t="str">
        <f aca="false">IF($A1484="","",IF(B1484=0,"No COD orders",IF(B1484&lt;Settings!$B$8,"Too few orders",IF(D1484&gt;=Settings!$B$9,"Restrict COD or verify","Keep COD"))))</f>
        <v/>
      </c>
    </row>
    <row r="1485" customFormat="false" ht="15" hidden="false" customHeight="false" outlineLevel="0" collapsed="false">
      <c r="A1485" s="27"/>
      <c r="B1485" s="17" t="str">
        <f aca="false">IF($A1485="","",COUNTIFS(Orders!$C$2:$C$20001,$A1485,Orders!$E$2:$E$20001,"COD",Orders!$F$2:$F$20001,"Delivered")+COUNTIFS(Orders!$C$2:$C$20001,$A1485,Orders!$E$2:$E$20001,"COD",Orders!$F$2:$F$20001,"RTO"))</f>
        <v/>
      </c>
      <c r="C1485" s="17" t="str">
        <f aca="false">IF($A1485="","",COUNTIFS(Orders!$C$2:$C$20001,$A1485,Orders!$E$2:$E$20001,"COD",Orders!$F$2:$F$20001,"RTO"))</f>
        <v/>
      </c>
      <c r="D1485" s="18" t="str">
        <f aca="false">IF($A1485="","",IFERROR(C1485/B1485,0))</f>
        <v/>
      </c>
      <c r="E1485" s="17" t="str">
        <f aca="false">IF($A1485="","",COUNTIFS(Orders!$C$2:$C$20001,$A1485,Orders!$E$2:$E$20001,"Prepaid",Orders!$F$2:$F$20001,"Delivered")+COUNTIFS(Orders!$C$2:$C$20001,$A1485,Orders!$E$2:$E$20001,"Prepaid",Orders!$F$2:$F$20001,"RTO"))</f>
        <v/>
      </c>
      <c r="F1485" s="17" t="str">
        <f aca="false">IF($A1485="","",COUNTIFS(Orders!$C$2:$C$20001,$A1485,Orders!$E$2:$E$20001,"Prepaid",Orders!$F$2:$F$20001,"RTO"))</f>
        <v/>
      </c>
      <c r="G1485" s="18" t="str">
        <f aca="false">IF($A1485="","",IFERROR(F1485/E1485,0))</f>
        <v/>
      </c>
      <c r="H1485" s="19" t="str">
        <f aca="false">IF($A1485="","",C1485*Settings!$B$11)</f>
        <v/>
      </c>
      <c r="I1485" s="20" t="str">
        <f aca="false">IF($A1485="","",IF(N(H1485)=0,"",RANK(H1485,$H$5:$H$2004)))</f>
        <v/>
      </c>
      <c r="J1485" s="21" t="str">
        <f aca="false">IF($A1485="","",IF(B1485=0,"No COD orders",IF(B1485&lt;Settings!$B$8,"Too few orders",IF(D1485&gt;=Settings!$B$9,"Restrict COD or verify","Keep COD"))))</f>
        <v/>
      </c>
    </row>
    <row r="1486" customFormat="false" ht="15" hidden="false" customHeight="false" outlineLevel="0" collapsed="false">
      <c r="A1486" s="27"/>
      <c r="B1486" s="17" t="str">
        <f aca="false">IF($A1486="","",COUNTIFS(Orders!$C$2:$C$20001,$A1486,Orders!$E$2:$E$20001,"COD",Orders!$F$2:$F$20001,"Delivered")+COUNTIFS(Orders!$C$2:$C$20001,$A1486,Orders!$E$2:$E$20001,"COD",Orders!$F$2:$F$20001,"RTO"))</f>
        <v/>
      </c>
      <c r="C1486" s="17" t="str">
        <f aca="false">IF($A1486="","",COUNTIFS(Orders!$C$2:$C$20001,$A1486,Orders!$E$2:$E$20001,"COD",Orders!$F$2:$F$20001,"RTO"))</f>
        <v/>
      </c>
      <c r="D1486" s="18" t="str">
        <f aca="false">IF($A1486="","",IFERROR(C1486/B1486,0))</f>
        <v/>
      </c>
      <c r="E1486" s="17" t="str">
        <f aca="false">IF($A1486="","",COUNTIFS(Orders!$C$2:$C$20001,$A1486,Orders!$E$2:$E$20001,"Prepaid",Orders!$F$2:$F$20001,"Delivered")+COUNTIFS(Orders!$C$2:$C$20001,$A1486,Orders!$E$2:$E$20001,"Prepaid",Orders!$F$2:$F$20001,"RTO"))</f>
        <v/>
      </c>
      <c r="F1486" s="17" t="str">
        <f aca="false">IF($A1486="","",COUNTIFS(Orders!$C$2:$C$20001,$A1486,Orders!$E$2:$E$20001,"Prepaid",Orders!$F$2:$F$20001,"RTO"))</f>
        <v/>
      </c>
      <c r="G1486" s="18" t="str">
        <f aca="false">IF($A1486="","",IFERROR(F1486/E1486,0))</f>
        <v/>
      </c>
      <c r="H1486" s="19" t="str">
        <f aca="false">IF($A1486="","",C1486*Settings!$B$11)</f>
        <v/>
      </c>
      <c r="I1486" s="20" t="str">
        <f aca="false">IF($A1486="","",IF(N(H1486)=0,"",RANK(H1486,$H$5:$H$2004)))</f>
        <v/>
      </c>
      <c r="J1486" s="21" t="str">
        <f aca="false">IF($A1486="","",IF(B1486=0,"No COD orders",IF(B1486&lt;Settings!$B$8,"Too few orders",IF(D1486&gt;=Settings!$B$9,"Restrict COD or verify","Keep COD"))))</f>
        <v/>
      </c>
    </row>
    <row r="1487" customFormat="false" ht="15" hidden="false" customHeight="false" outlineLevel="0" collapsed="false">
      <c r="A1487" s="27"/>
      <c r="B1487" s="17" t="str">
        <f aca="false">IF($A1487="","",COUNTIFS(Orders!$C$2:$C$20001,$A1487,Orders!$E$2:$E$20001,"COD",Orders!$F$2:$F$20001,"Delivered")+COUNTIFS(Orders!$C$2:$C$20001,$A1487,Orders!$E$2:$E$20001,"COD",Orders!$F$2:$F$20001,"RTO"))</f>
        <v/>
      </c>
      <c r="C1487" s="17" t="str">
        <f aca="false">IF($A1487="","",COUNTIFS(Orders!$C$2:$C$20001,$A1487,Orders!$E$2:$E$20001,"COD",Orders!$F$2:$F$20001,"RTO"))</f>
        <v/>
      </c>
      <c r="D1487" s="18" t="str">
        <f aca="false">IF($A1487="","",IFERROR(C1487/B1487,0))</f>
        <v/>
      </c>
      <c r="E1487" s="17" t="str">
        <f aca="false">IF($A1487="","",COUNTIFS(Orders!$C$2:$C$20001,$A1487,Orders!$E$2:$E$20001,"Prepaid",Orders!$F$2:$F$20001,"Delivered")+COUNTIFS(Orders!$C$2:$C$20001,$A1487,Orders!$E$2:$E$20001,"Prepaid",Orders!$F$2:$F$20001,"RTO"))</f>
        <v/>
      </c>
      <c r="F1487" s="17" t="str">
        <f aca="false">IF($A1487="","",COUNTIFS(Orders!$C$2:$C$20001,$A1487,Orders!$E$2:$E$20001,"Prepaid",Orders!$F$2:$F$20001,"RTO"))</f>
        <v/>
      </c>
      <c r="G1487" s="18" t="str">
        <f aca="false">IF($A1487="","",IFERROR(F1487/E1487,0))</f>
        <v/>
      </c>
      <c r="H1487" s="19" t="str">
        <f aca="false">IF($A1487="","",C1487*Settings!$B$11)</f>
        <v/>
      </c>
      <c r="I1487" s="20" t="str">
        <f aca="false">IF($A1487="","",IF(N(H1487)=0,"",RANK(H1487,$H$5:$H$2004)))</f>
        <v/>
      </c>
      <c r="J1487" s="21" t="str">
        <f aca="false">IF($A1487="","",IF(B1487=0,"No COD orders",IF(B1487&lt;Settings!$B$8,"Too few orders",IF(D1487&gt;=Settings!$B$9,"Restrict COD or verify","Keep COD"))))</f>
        <v/>
      </c>
    </row>
    <row r="1488" customFormat="false" ht="15" hidden="false" customHeight="false" outlineLevel="0" collapsed="false">
      <c r="A1488" s="27"/>
      <c r="B1488" s="17" t="str">
        <f aca="false">IF($A1488="","",COUNTIFS(Orders!$C$2:$C$20001,$A1488,Orders!$E$2:$E$20001,"COD",Orders!$F$2:$F$20001,"Delivered")+COUNTIFS(Orders!$C$2:$C$20001,$A1488,Orders!$E$2:$E$20001,"COD",Orders!$F$2:$F$20001,"RTO"))</f>
        <v/>
      </c>
      <c r="C1488" s="17" t="str">
        <f aca="false">IF($A1488="","",COUNTIFS(Orders!$C$2:$C$20001,$A1488,Orders!$E$2:$E$20001,"COD",Orders!$F$2:$F$20001,"RTO"))</f>
        <v/>
      </c>
      <c r="D1488" s="18" t="str">
        <f aca="false">IF($A1488="","",IFERROR(C1488/B1488,0))</f>
        <v/>
      </c>
      <c r="E1488" s="17" t="str">
        <f aca="false">IF($A1488="","",COUNTIFS(Orders!$C$2:$C$20001,$A1488,Orders!$E$2:$E$20001,"Prepaid",Orders!$F$2:$F$20001,"Delivered")+COUNTIFS(Orders!$C$2:$C$20001,$A1488,Orders!$E$2:$E$20001,"Prepaid",Orders!$F$2:$F$20001,"RTO"))</f>
        <v/>
      </c>
      <c r="F1488" s="17" t="str">
        <f aca="false">IF($A1488="","",COUNTIFS(Orders!$C$2:$C$20001,$A1488,Orders!$E$2:$E$20001,"Prepaid",Orders!$F$2:$F$20001,"RTO"))</f>
        <v/>
      </c>
      <c r="G1488" s="18" t="str">
        <f aca="false">IF($A1488="","",IFERROR(F1488/E1488,0))</f>
        <v/>
      </c>
      <c r="H1488" s="19" t="str">
        <f aca="false">IF($A1488="","",C1488*Settings!$B$11)</f>
        <v/>
      </c>
      <c r="I1488" s="20" t="str">
        <f aca="false">IF($A1488="","",IF(N(H1488)=0,"",RANK(H1488,$H$5:$H$2004)))</f>
        <v/>
      </c>
      <c r="J1488" s="21" t="str">
        <f aca="false">IF($A1488="","",IF(B1488=0,"No COD orders",IF(B1488&lt;Settings!$B$8,"Too few orders",IF(D1488&gt;=Settings!$B$9,"Restrict COD or verify","Keep COD"))))</f>
        <v/>
      </c>
    </row>
    <row r="1489" customFormat="false" ht="15" hidden="false" customHeight="false" outlineLevel="0" collapsed="false">
      <c r="A1489" s="27"/>
      <c r="B1489" s="17" t="str">
        <f aca="false">IF($A1489="","",COUNTIFS(Orders!$C$2:$C$20001,$A1489,Orders!$E$2:$E$20001,"COD",Orders!$F$2:$F$20001,"Delivered")+COUNTIFS(Orders!$C$2:$C$20001,$A1489,Orders!$E$2:$E$20001,"COD",Orders!$F$2:$F$20001,"RTO"))</f>
        <v/>
      </c>
      <c r="C1489" s="17" t="str">
        <f aca="false">IF($A1489="","",COUNTIFS(Orders!$C$2:$C$20001,$A1489,Orders!$E$2:$E$20001,"COD",Orders!$F$2:$F$20001,"RTO"))</f>
        <v/>
      </c>
      <c r="D1489" s="18" t="str">
        <f aca="false">IF($A1489="","",IFERROR(C1489/B1489,0))</f>
        <v/>
      </c>
      <c r="E1489" s="17" t="str">
        <f aca="false">IF($A1489="","",COUNTIFS(Orders!$C$2:$C$20001,$A1489,Orders!$E$2:$E$20001,"Prepaid",Orders!$F$2:$F$20001,"Delivered")+COUNTIFS(Orders!$C$2:$C$20001,$A1489,Orders!$E$2:$E$20001,"Prepaid",Orders!$F$2:$F$20001,"RTO"))</f>
        <v/>
      </c>
      <c r="F1489" s="17" t="str">
        <f aca="false">IF($A1489="","",COUNTIFS(Orders!$C$2:$C$20001,$A1489,Orders!$E$2:$E$20001,"Prepaid",Orders!$F$2:$F$20001,"RTO"))</f>
        <v/>
      </c>
      <c r="G1489" s="18" t="str">
        <f aca="false">IF($A1489="","",IFERROR(F1489/E1489,0))</f>
        <v/>
      </c>
      <c r="H1489" s="19" t="str">
        <f aca="false">IF($A1489="","",C1489*Settings!$B$11)</f>
        <v/>
      </c>
      <c r="I1489" s="20" t="str">
        <f aca="false">IF($A1489="","",IF(N(H1489)=0,"",RANK(H1489,$H$5:$H$2004)))</f>
        <v/>
      </c>
      <c r="J1489" s="21" t="str">
        <f aca="false">IF($A1489="","",IF(B1489=0,"No COD orders",IF(B1489&lt;Settings!$B$8,"Too few orders",IF(D1489&gt;=Settings!$B$9,"Restrict COD or verify","Keep COD"))))</f>
        <v/>
      </c>
    </row>
    <row r="1490" customFormat="false" ht="15" hidden="false" customHeight="false" outlineLevel="0" collapsed="false">
      <c r="A1490" s="27"/>
      <c r="B1490" s="17" t="str">
        <f aca="false">IF($A1490="","",COUNTIFS(Orders!$C$2:$C$20001,$A1490,Orders!$E$2:$E$20001,"COD",Orders!$F$2:$F$20001,"Delivered")+COUNTIFS(Orders!$C$2:$C$20001,$A1490,Orders!$E$2:$E$20001,"COD",Orders!$F$2:$F$20001,"RTO"))</f>
        <v/>
      </c>
      <c r="C1490" s="17" t="str">
        <f aca="false">IF($A1490="","",COUNTIFS(Orders!$C$2:$C$20001,$A1490,Orders!$E$2:$E$20001,"COD",Orders!$F$2:$F$20001,"RTO"))</f>
        <v/>
      </c>
      <c r="D1490" s="18" t="str">
        <f aca="false">IF($A1490="","",IFERROR(C1490/B1490,0))</f>
        <v/>
      </c>
      <c r="E1490" s="17" t="str">
        <f aca="false">IF($A1490="","",COUNTIFS(Orders!$C$2:$C$20001,$A1490,Orders!$E$2:$E$20001,"Prepaid",Orders!$F$2:$F$20001,"Delivered")+COUNTIFS(Orders!$C$2:$C$20001,$A1490,Orders!$E$2:$E$20001,"Prepaid",Orders!$F$2:$F$20001,"RTO"))</f>
        <v/>
      </c>
      <c r="F1490" s="17" t="str">
        <f aca="false">IF($A1490="","",COUNTIFS(Orders!$C$2:$C$20001,$A1490,Orders!$E$2:$E$20001,"Prepaid",Orders!$F$2:$F$20001,"RTO"))</f>
        <v/>
      </c>
      <c r="G1490" s="18" t="str">
        <f aca="false">IF($A1490="","",IFERROR(F1490/E1490,0))</f>
        <v/>
      </c>
      <c r="H1490" s="19" t="str">
        <f aca="false">IF($A1490="","",C1490*Settings!$B$11)</f>
        <v/>
      </c>
      <c r="I1490" s="20" t="str">
        <f aca="false">IF($A1490="","",IF(N(H1490)=0,"",RANK(H1490,$H$5:$H$2004)))</f>
        <v/>
      </c>
      <c r="J1490" s="21" t="str">
        <f aca="false">IF($A1490="","",IF(B1490=0,"No COD orders",IF(B1490&lt;Settings!$B$8,"Too few orders",IF(D1490&gt;=Settings!$B$9,"Restrict COD or verify","Keep COD"))))</f>
        <v/>
      </c>
    </row>
    <row r="1491" customFormat="false" ht="15" hidden="false" customHeight="false" outlineLevel="0" collapsed="false">
      <c r="A1491" s="27"/>
      <c r="B1491" s="17" t="str">
        <f aca="false">IF($A1491="","",COUNTIFS(Orders!$C$2:$C$20001,$A1491,Orders!$E$2:$E$20001,"COD",Orders!$F$2:$F$20001,"Delivered")+COUNTIFS(Orders!$C$2:$C$20001,$A1491,Orders!$E$2:$E$20001,"COD",Orders!$F$2:$F$20001,"RTO"))</f>
        <v/>
      </c>
      <c r="C1491" s="17" t="str">
        <f aca="false">IF($A1491="","",COUNTIFS(Orders!$C$2:$C$20001,$A1491,Orders!$E$2:$E$20001,"COD",Orders!$F$2:$F$20001,"RTO"))</f>
        <v/>
      </c>
      <c r="D1491" s="18" t="str">
        <f aca="false">IF($A1491="","",IFERROR(C1491/B1491,0))</f>
        <v/>
      </c>
      <c r="E1491" s="17" t="str">
        <f aca="false">IF($A1491="","",COUNTIFS(Orders!$C$2:$C$20001,$A1491,Orders!$E$2:$E$20001,"Prepaid",Orders!$F$2:$F$20001,"Delivered")+COUNTIFS(Orders!$C$2:$C$20001,$A1491,Orders!$E$2:$E$20001,"Prepaid",Orders!$F$2:$F$20001,"RTO"))</f>
        <v/>
      </c>
      <c r="F1491" s="17" t="str">
        <f aca="false">IF($A1491="","",COUNTIFS(Orders!$C$2:$C$20001,$A1491,Orders!$E$2:$E$20001,"Prepaid",Orders!$F$2:$F$20001,"RTO"))</f>
        <v/>
      </c>
      <c r="G1491" s="18" t="str">
        <f aca="false">IF($A1491="","",IFERROR(F1491/E1491,0))</f>
        <v/>
      </c>
      <c r="H1491" s="19" t="str">
        <f aca="false">IF($A1491="","",C1491*Settings!$B$11)</f>
        <v/>
      </c>
      <c r="I1491" s="20" t="str">
        <f aca="false">IF($A1491="","",IF(N(H1491)=0,"",RANK(H1491,$H$5:$H$2004)))</f>
        <v/>
      </c>
      <c r="J1491" s="21" t="str">
        <f aca="false">IF($A1491="","",IF(B1491=0,"No COD orders",IF(B1491&lt;Settings!$B$8,"Too few orders",IF(D1491&gt;=Settings!$B$9,"Restrict COD or verify","Keep COD"))))</f>
        <v/>
      </c>
    </row>
    <row r="1492" customFormat="false" ht="15" hidden="false" customHeight="false" outlineLevel="0" collapsed="false">
      <c r="A1492" s="27"/>
      <c r="B1492" s="17" t="str">
        <f aca="false">IF($A1492="","",COUNTIFS(Orders!$C$2:$C$20001,$A1492,Orders!$E$2:$E$20001,"COD",Orders!$F$2:$F$20001,"Delivered")+COUNTIFS(Orders!$C$2:$C$20001,$A1492,Orders!$E$2:$E$20001,"COD",Orders!$F$2:$F$20001,"RTO"))</f>
        <v/>
      </c>
      <c r="C1492" s="17" t="str">
        <f aca="false">IF($A1492="","",COUNTIFS(Orders!$C$2:$C$20001,$A1492,Orders!$E$2:$E$20001,"COD",Orders!$F$2:$F$20001,"RTO"))</f>
        <v/>
      </c>
      <c r="D1492" s="18" t="str">
        <f aca="false">IF($A1492="","",IFERROR(C1492/B1492,0))</f>
        <v/>
      </c>
      <c r="E1492" s="17" t="str">
        <f aca="false">IF($A1492="","",COUNTIFS(Orders!$C$2:$C$20001,$A1492,Orders!$E$2:$E$20001,"Prepaid",Orders!$F$2:$F$20001,"Delivered")+COUNTIFS(Orders!$C$2:$C$20001,$A1492,Orders!$E$2:$E$20001,"Prepaid",Orders!$F$2:$F$20001,"RTO"))</f>
        <v/>
      </c>
      <c r="F1492" s="17" t="str">
        <f aca="false">IF($A1492="","",COUNTIFS(Orders!$C$2:$C$20001,$A1492,Orders!$E$2:$E$20001,"Prepaid",Orders!$F$2:$F$20001,"RTO"))</f>
        <v/>
      </c>
      <c r="G1492" s="18" t="str">
        <f aca="false">IF($A1492="","",IFERROR(F1492/E1492,0))</f>
        <v/>
      </c>
      <c r="H1492" s="19" t="str">
        <f aca="false">IF($A1492="","",C1492*Settings!$B$11)</f>
        <v/>
      </c>
      <c r="I1492" s="20" t="str">
        <f aca="false">IF($A1492="","",IF(N(H1492)=0,"",RANK(H1492,$H$5:$H$2004)))</f>
        <v/>
      </c>
      <c r="J1492" s="21" t="str">
        <f aca="false">IF($A1492="","",IF(B1492=0,"No COD orders",IF(B1492&lt;Settings!$B$8,"Too few orders",IF(D1492&gt;=Settings!$B$9,"Restrict COD or verify","Keep COD"))))</f>
        <v/>
      </c>
    </row>
    <row r="1493" customFormat="false" ht="15" hidden="false" customHeight="false" outlineLevel="0" collapsed="false">
      <c r="A1493" s="27"/>
      <c r="B1493" s="17" t="str">
        <f aca="false">IF($A1493="","",COUNTIFS(Orders!$C$2:$C$20001,$A1493,Orders!$E$2:$E$20001,"COD",Orders!$F$2:$F$20001,"Delivered")+COUNTIFS(Orders!$C$2:$C$20001,$A1493,Orders!$E$2:$E$20001,"COD",Orders!$F$2:$F$20001,"RTO"))</f>
        <v/>
      </c>
      <c r="C1493" s="17" t="str">
        <f aca="false">IF($A1493="","",COUNTIFS(Orders!$C$2:$C$20001,$A1493,Orders!$E$2:$E$20001,"COD",Orders!$F$2:$F$20001,"RTO"))</f>
        <v/>
      </c>
      <c r="D1493" s="18" t="str">
        <f aca="false">IF($A1493="","",IFERROR(C1493/B1493,0))</f>
        <v/>
      </c>
      <c r="E1493" s="17" t="str">
        <f aca="false">IF($A1493="","",COUNTIFS(Orders!$C$2:$C$20001,$A1493,Orders!$E$2:$E$20001,"Prepaid",Orders!$F$2:$F$20001,"Delivered")+COUNTIFS(Orders!$C$2:$C$20001,$A1493,Orders!$E$2:$E$20001,"Prepaid",Orders!$F$2:$F$20001,"RTO"))</f>
        <v/>
      </c>
      <c r="F1493" s="17" t="str">
        <f aca="false">IF($A1493="","",COUNTIFS(Orders!$C$2:$C$20001,$A1493,Orders!$E$2:$E$20001,"Prepaid",Orders!$F$2:$F$20001,"RTO"))</f>
        <v/>
      </c>
      <c r="G1493" s="18" t="str">
        <f aca="false">IF($A1493="","",IFERROR(F1493/E1493,0))</f>
        <v/>
      </c>
      <c r="H1493" s="19" t="str">
        <f aca="false">IF($A1493="","",C1493*Settings!$B$11)</f>
        <v/>
      </c>
      <c r="I1493" s="20" t="str">
        <f aca="false">IF($A1493="","",IF(N(H1493)=0,"",RANK(H1493,$H$5:$H$2004)))</f>
        <v/>
      </c>
      <c r="J1493" s="21" t="str">
        <f aca="false">IF($A1493="","",IF(B1493=0,"No COD orders",IF(B1493&lt;Settings!$B$8,"Too few orders",IF(D1493&gt;=Settings!$B$9,"Restrict COD or verify","Keep COD"))))</f>
        <v/>
      </c>
    </row>
    <row r="1494" customFormat="false" ht="15" hidden="false" customHeight="false" outlineLevel="0" collapsed="false">
      <c r="A1494" s="27"/>
      <c r="B1494" s="17" t="str">
        <f aca="false">IF($A1494="","",COUNTIFS(Orders!$C$2:$C$20001,$A1494,Orders!$E$2:$E$20001,"COD",Orders!$F$2:$F$20001,"Delivered")+COUNTIFS(Orders!$C$2:$C$20001,$A1494,Orders!$E$2:$E$20001,"COD",Orders!$F$2:$F$20001,"RTO"))</f>
        <v/>
      </c>
      <c r="C1494" s="17" t="str">
        <f aca="false">IF($A1494="","",COUNTIFS(Orders!$C$2:$C$20001,$A1494,Orders!$E$2:$E$20001,"COD",Orders!$F$2:$F$20001,"RTO"))</f>
        <v/>
      </c>
      <c r="D1494" s="18" t="str">
        <f aca="false">IF($A1494="","",IFERROR(C1494/B1494,0))</f>
        <v/>
      </c>
      <c r="E1494" s="17" t="str">
        <f aca="false">IF($A1494="","",COUNTIFS(Orders!$C$2:$C$20001,$A1494,Orders!$E$2:$E$20001,"Prepaid",Orders!$F$2:$F$20001,"Delivered")+COUNTIFS(Orders!$C$2:$C$20001,$A1494,Orders!$E$2:$E$20001,"Prepaid",Orders!$F$2:$F$20001,"RTO"))</f>
        <v/>
      </c>
      <c r="F1494" s="17" t="str">
        <f aca="false">IF($A1494="","",COUNTIFS(Orders!$C$2:$C$20001,$A1494,Orders!$E$2:$E$20001,"Prepaid",Orders!$F$2:$F$20001,"RTO"))</f>
        <v/>
      </c>
      <c r="G1494" s="18" t="str">
        <f aca="false">IF($A1494="","",IFERROR(F1494/E1494,0))</f>
        <v/>
      </c>
      <c r="H1494" s="19" t="str">
        <f aca="false">IF($A1494="","",C1494*Settings!$B$11)</f>
        <v/>
      </c>
      <c r="I1494" s="20" t="str">
        <f aca="false">IF($A1494="","",IF(N(H1494)=0,"",RANK(H1494,$H$5:$H$2004)))</f>
        <v/>
      </c>
      <c r="J1494" s="21" t="str">
        <f aca="false">IF($A1494="","",IF(B1494=0,"No COD orders",IF(B1494&lt;Settings!$B$8,"Too few orders",IF(D1494&gt;=Settings!$B$9,"Restrict COD or verify","Keep COD"))))</f>
        <v/>
      </c>
    </row>
    <row r="1495" customFormat="false" ht="15" hidden="false" customHeight="false" outlineLevel="0" collapsed="false">
      <c r="A1495" s="27"/>
      <c r="B1495" s="17" t="str">
        <f aca="false">IF($A1495="","",COUNTIFS(Orders!$C$2:$C$20001,$A1495,Orders!$E$2:$E$20001,"COD",Orders!$F$2:$F$20001,"Delivered")+COUNTIFS(Orders!$C$2:$C$20001,$A1495,Orders!$E$2:$E$20001,"COD",Orders!$F$2:$F$20001,"RTO"))</f>
        <v/>
      </c>
      <c r="C1495" s="17" t="str">
        <f aca="false">IF($A1495="","",COUNTIFS(Orders!$C$2:$C$20001,$A1495,Orders!$E$2:$E$20001,"COD",Orders!$F$2:$F$20001,"RTO"))</f>
        <v/>
      </c>
      <c r="D1495" s="18" t="str">
        <f aca="false">IF($A1495="","",IFERROR(C1495/B1495,0))</f>
        <v/>
      </c>
      <c r="E1495" s="17" t="str">
        <f aca="false">IF($A1495="","",COUNTIFS(Orders!$C$2:$C$20001,$A1495,Orders!$E$2:$E$20001,"Prepaid",Orders!$F$2:$F$20001,"Delivered")+COUNTIFS(Orders!$C$2:$C$20001,$A1495,Orders!$E$2:$E$20001,"Prepaid",Orders!$F$2:$F$20001,"RTO"))</f>
        <v/>
      </c>
      <c r="F1495" s="17" t="str">
        <f aca="false">IF($A1495="","",COUNTIFS(Orders!$C$2:$C$20001,$A1495,Orders!$E$2:$E$20001,"Prepaid",Orders!$F$2:$F$20001,"RTO"))</f>
        <v/>
      </c>
      <c r="G1495" s="18" t="str">
        <f aca="false">IF($A1495="","",IFERROR(F1495/E1495,0))</f>
        <v/>
      </c>
      <c r="H1495" s="19" t="str">
        <f aca="false">IF($A1495="","",C1495*Settings!$B$11)</f>
        <v/>
      </c>
      <c r="I1495" s="20" t="str">
        <f aca="false">IF($A1495="","",IF(N(H1495)=0,"",RANK(H1495,$H$5:$H$2004)))</f>
        <v/>
      </c>
      <c r="J1495" s="21" t="str">
        <f aca="false">IF($A1495="","",IF(B1495=0,"No COD orders",IF(B1495&lt;Settings!$B$8,"Too few orders",IF(D1495&gt;=Settings!$B$9,"Restrict COD or verify","Keep COD"))))</f>
        <v/>
      </c>
    </row>
    <row r="1496" customFormat="false" ht="15" hidden="false" customHeight="false" outlineLevel="0" collapsed="false">
      <c r="A1496" s="27"/>
      <c r="B1496" s="17" t="str">
        <f aca="false">IF($A1496="","",COUNTIFS(Orders!$C$2:$C$20001,$A1496,Orders!$E$2:$E$20001,"COD",Orders!$F$2:$F$20001,"Delivered")+COUNTIFS(Orders!$C$2:$C$20001,$A1496,Orders!$E$2:$E$20001,"COD",Orders!$F$2:$F$20001,"RTO"))</f>
        <v/>
      </c>
      <c r="C1496" s="17" t="str">
        <f aca="false">IF($A1496="","",COUNTIFS(Orders!$C$2:$C$20001,$A1496,Orders!$E$2:$E$20001,"COD",Orders!$F$2:$F$20001,"RTO"))</f>
        <v/>
      </c>
      <c r="D1496" s="18" t="str">
        <f aca="false">IF($A1496="","",IFERROR(C1496/B1496,0))</f>
        <v/>
      </c>
      <c r="E1496" s="17" t="str">
        <f aca="false">IF($A1496="","",COUNTIFS(Orders!$C$2:$C$20001,$A1496,Orders!$E$2:$E$20001,"Prepaid",Orders!$F$2:$F$20001,"Delivered")+COUNTIFS(Orders!$C$2:$C$20001,$A1496,Orders!$E$2:$E$20001,"Prepaid",Orders!$F$2:$F$20001,"RTO"))</f>
        <v/>
      </c>
      <c r="F1496" s="17" t="str">
        <f aca="false">IF($A1496="","",COUNTIFS(Orders!$C$2:$C$20001,$A1496,Orders!$E$2:$E$20001,"Prepaid",Orders!$F$2:$F$20001,"RTO"))</f>
        <v/>
      </c>
      <c r="G1496" s="18" t="str">
        <f aca="false">IF($A1496="","",IFERROR(F1496/E1496,0))</f>
        <v/>
      </c>
      <c r="H1496" s="19" t="str">
        <f aca="false">IF($A1496="","",C1496*Settings!$B$11)</f>
        <v/>
      </c>
      <c r="I1496" s="20" t="str">
        <f aca="false">IF($A1496="","",IF(N(H1496)=0,"",RANK(H1496,$H$5:$H$2004)))</f>
        <v/>
      </c>
      <c r="J1496" s="21" t="str">
        <f aca="false">IF($A1496="","",IF(B1496=0,"No COD orders",IF(B1496&lt;Settings!$B$8,"Too few orders",IF(D1496&gt;=Settings!$B$9,"Restrict COD or verify","Keep COD"))))</f>
        <v/>
      </c>
    </row>
    <row r="1497" customFormat="false" ht="15" hidden="false" customHeight="false" outlineLevel="0" collapsed="false">
      <c r="A1497" s="27"/>
      <c r="B1497" s="17" t="str">
        <f aca="false">IF($A1497="","",COUNTIFS(Orders!$C$2:$C$20001,$A1497,Orders!$E$2:$E$20001,"COD",Orders!$F$2:$F$20001,"Delivered")+COUNTIFS(Orders!$C$2:$C$20001,$A1497,Orders!$E$2:$E$20001,"COD",Orders!$F$2:$F$20001,"RTO"))</f>
        <v/>
      </c>
      <c r="C1497" s="17" t="str">
        <f aca="false">IF($A1497="","",COUNTIFS(Orders!$C$2:$C$20001,$A1497,Orders!$E$2:$E$20001,"COD",Orders!$F$2:$F$20001,"RTO"))</f>
        <v/>
      </c>
      <c r="D1497" s="18" t="str">
        <f aca="false">IF($A1497="","",IFERROR(C1497/B1497,0))</f>
        <v/>
      </c>
      <c r="E1497" s="17" t="str">
        <f aca="false">IF($A1497="","",COUNTIFS(Orders!$C$2:$C$20001,$A1497,Orders!$E$2:$E$20001,"Prepaid",Orders!$F$2:$F$20001,"Delivered")+COUNTIFS(Orders!$C$2:$C$20001,$A1497,Orders!$E$2:$E$20001,"Prepaid",Orders!$F$2:$F$20001,"RTO"))</f>
        <v/>
      </c>
      <c r="F1497" s="17" t="str">
        <f aca="false">IF($A1497="","",COUNTIFS(Orders!$C$2:$C$20001,$A1497,Orders!$E$2:$E$20001,"Prepaid",Orders!$F$2:$F$20001,"RTO"))</f>
        <v/>
      </c>
      <c r="G1497" s="18" t="str">
        <f aca="false">IF($A1497="","",IFERROR(F1497/E1497,0))</f>
        <v/>
      </c>
      <c r="H1497" s="19" t="str">
        <f aca="false">IF($A1497="","",C1497*Settings!$B$11)</f>
        <v/>
      </c>
      <c r="I1497" s="20" t="str">
        <f aca="false">IF($A1497="","",IF(N(H1497)=0,"",RANK(H1497,$H$5:$H$2004)))</f>
        <v/>
      </c>
      <c r="J1497" s="21" t="str">
        <f aca="false">IF($A1497="","",IF(B1497=0,"No COD orders",IF(B1497&lt;Settings!$B$8,"Too few orders",IF(D1497&gt;=Settings!$B$9,"Restrict COD or verify","Keep COD"))))</f>
        <v/>
      </c>
    </row>
    <row r="1498" customFormat="false" ht="15" hidden="false" customHeight="false" outlineLevel="0" collapsed="false">
      <c r="A1498" s="27"/>
      <c r="B1498" s="17" t="str">
        <f aca="false">IF($A1498="","",COUNTIFS(Orders!$C$2:$C$20001,$A1498,Orders!$E$2:$E$20001,"COD",Orders!$F$2:$F$20001,"Delivered")+COUNTIFS(Orders!$C$2:$C$20001,$A1498,Orders!$E$2:$E$20001,"COD",Orders!$F$2:$F$20001,"RTO"))</f>
        <v/>
      </c>
      <c r="C1498" s="17" t="str">
        <f aca="false">IF($A1498="","",COUNTIFS(Orders!$C$2:$C$20001,$A1498,Orders!$E$2:$E$20001,"COD",Orders!$F$2:$F$20001,"RTO"))</f>
        <v/>
      </c>
      <c r="D1498" s="18" t="str">
        <f aca="false">IF($A1498="","",IFERROR(C1498/B1498,0))</f>
        <v/>
      </c>
      <c r="E1498" s="17" t="str">
        <f aca="false">IF($A1498="","",COUNTIFS(Orders!$C$2:$C$20001,$A1498,Orders!$E$2:$E$20001,"Prepaid",Orders!$F$2:$F$20001,"Delivered")+COUNTIFS(Orders!$C$2:$C$20001,$A1498,Orders!$E$2:$E$20001,"Prepaid",Orders!$F$2:$F$20001,"RTO"))</f>
        <v/>
      </c>
      <c r="F1498" s="17" t="str">
        <f aca="false">IF($A1498="","",COUNTIFS(Orders!$C$2:$C$20001,$A1498,Orders!$E$2:$E$20001,"Prepaid",Orders!$F$2:$F$20001,"RTO"))</f>
        <v/>
      </c>
      <c r="G1498" s="18" t="str">
        <f aca="false">IF($A1498="","",IFERROR(F1498/E1498,0))</f>
        <v/>
      </c>
      <c r="H1498" s="19" t="str">
        <f aca="false">IF($A1498="","",C1498*Settings!$B$11)</f>
        <v/>
      </c>
      <c r="I1498" s="20" t="str">
        <f aca="false">IF($A1498="","",IF(N(H1498)=0,"",RANK(H1498,$H$5:$H$2004)))</f>
        <v/>
      </c>
      <c r="J1498" s="21" t="str">
        <f aca="false">IF($A1498="","",IF(B1498=0,"No COD orders",IF(B1498&lt;Settings!$B$8,"Too few orders",IF(D1498&gt;=Settings!$B$9,"Restrict COD or verify","Keep COD"))))</f>
        <v/>
      </c>
    </row>
    <row r="1499" customFormat="false" ht="15" hidden="false" customHeight="false" outlineLevel="0" collapsed="false">
      <c r="A1499" s="27"/>
      <c r="B1499" s="17" t="str">
        <f aca="false">IF($A1499="","",COUNTIFS(Orders!$C$2:$C$20001,$A1499,Orders!$E$2:$E$20001,"COD",Orders!$F$2:$F$20001,"Delivered")+COUNTIFS(Orders!$C$2:$C$20001,$A1499,Orders!$E$2:$E$20001,"COD",Orders!$F$2:$F$20001,"RTO"))</f>
        <v/>
      </c>
      <c r="C1499" s="17" t="str">
        <f aca="false">IF($A1499="","",COUNTIFS(Orders!$C$2:$C$20001,$A1499,Orders!$E$2:$E$20001,"COD",Orders!$F$2:$F$20001,"RTO"))</f>
        <v/>
      </c>
      <c r="D1499" s="18" t="str">
        <f aca="false">IF($A1499="","",IFERROR(C1499/B1499,0))</f>
        <v/>
      </c>
      <c r="E1499" s="17" t="str">
        <f aca="false">IF($A1499="","",COUNTIFS(Orders!$C$2:$C$20001,$A1499,Orders!$E$2:$E$20001,"Prepaid",Orders!$F$2:$F$20001,"Delivered")+COUNTIFS(Orders!$C$2:$C$20001,$A1499,Orders!$E$2:$E$20001,"Prepaid",Orders!$F$2:$F$20001,"RTO"))</f>
        <v/>
      </c>
      <c r="F1499" s="17" t="str">
        <f aca="false">IF($A1499="","",COUNTIFS(Orders!$C$2:$C$20001,$A1499,Orders!$E$2:$E$20001,"Prepaid",Orders!$F$2:$F$20001,"RTO"))</f>
        <v/>
      </c>
      <c r="G1499" s="18" t="str">
        <f aca="false">IF($A1499="","",IFERROR(F1499/E1499,0))</f>
        <v/>
      </c>
      <c r="H1499" s="19" t="str">
        <f aca="false">IF($A1499="","",C1499*Settings!$B$11)</f>
        <v/>
      </c>
      <c r="I1499" s="20" t="str">
        <f aca="false">IF($A1499="","",IF(N(H1499)=0,"",RANK(H1499,$H$5:$H$2004)))</f>
        <v/>
      </c>
      <c r="J1499" s="21" t="str">
        <f aca="false">IF($A1499="","",IF(B1499=0,"No COD orders",IF(B1499&lt;Settings!$B$8,"Too few orders",IF(D1499&gt;=Settings!$B$9,"Restrict COD or verify","Keep COD"))))</f>
        <v/>
      </c>
    </row>
    <row r="1500" customFormat="false" ht="15" hidden="false" customHeight="false" outlineLevel="0" collapsed="false">
      <c r="A1500" s="27"/>
      <c r="B1500" s="17" t="str">
        <f aca="false">IF($A1500="","",COUNTIFS(Orders!$C$2:$C$20001,$A1500,Orders!$E$2:$E$20001,"COD",Orders!$F$2:$F$20001,"Delivered")+COUNTIFS(Orders!$C$2:$C$20001,$A1500,Orders!$E$2:$E$20001,"COD",Orders!$F$2:$F$20001,"RTO"))</f>
        <v/>
      </c>
      <c r="C1500" s="17" t="str">
        <f aca="false">IF($A1500="","",COUNTIFS(Orders!$C$2:$C$20001,$A1500,Orders!$E$2:$E$20001,"COD",Orders!$F$2:$F$20001,"RTO"))</f>
        <v/>
      </c>
      <c r="D1500" s="18" t="str">
        <f aca="false">IF($A1500="","",IFERROR(C1500/B1500,0))</f>
        <v/>
      </c>
      <c r="E1500" s="17" t="str">
        <f aca="false">IF($A1500="","",COUNTIFS(Orders!$C$2:$C$20001,$A1500,Orders!$E$2:$E$20001,"Prepaid",Orders!$F$2:$F$20001,"Delivered")+COUNTIFS(Orders!$C$2:$C$20001,$A1500,Orders!$E$2:$E$20001,"Prepaid",Orders!$F$2:$F$20001,"RTO"))</f>
        <v/>
      </c>
      <c r="F1500" s="17" t="str">
        <f aca="false">IF($A1500="","",COUNTIFS(Orders!$C$2:$C$20001,$A1500,Orders!$E$2:$E$20001,"Prepaid",Orders!$F$2:$F$20001,"RTO"))</f>
        <v/>
      </c>
      <c r="G1500" s="18" t="str">
        <f aca="false">IF($A1500="","",IFERROR(F1500/E1500,0))</f>
        <v/>
      </c>
      <c r="H1500" s="19" t="str">
        <f aca="false">IF($A1500="","",C1500*Settings!$B$11)</f>
        <v/>
      </c>
      <c r="I1500" s="20" t="str">
        <f aca="false">IF($A1500="","",IF(N(H1500)=0,"",RANK(H1500,$H$5:$H$2004)))</f>
        <v/>
      </c>
      <c r="J1500" s="21" t="str">
        <f aca="false">IF($A1500="","",IF(B1500=0,"No COD orders",IF(B1500&lt;Settings!$B$8,"Too few orders",IF(D1500&gt;=Settings!$B$9,"Restrict COD or verify","Keep COD"))))</f>
        <v/>
      </c>
    </row>
    <row r="1501" customFormat="false" ht="15" hidden="false" customHeight="false" outlineLevel="0" collapsed="false">
      <c r="A1501" s="27"/>
      <c r="B1501" s="17" t="str">
        <f aca="false">IF($A1501="","",COUNTIFS(Orders!$C$2:$C$20001,$A1501,Orders!$E$2:$E$20001,"COD",Orders!$F$2:$F$20001,"Delivered")+COUNTIFS(Orders!$C$2:$C$20001,$A1501,Orders!$E$2:$E$20001,"COD",Orders!$F$2:$F$20001,"RTO"))</f>
        <v/>
      </c>
      <c r="C1501" s="17" t="str">
        <f aca="false">IF($A1501="","",COUNTIFS(Orders!$C$2:$C$20001,$A1501,Orders!$E$2:$E$20001,"COD",Orders!$F$2:$F$20001,"RTO"))</f>
        <v/>
      </c>
      <c r="D1501" s="18" t="str">
        <f aca="false">IF($A1501="","",IFERROR(C1501/B1501,0))</f>
        <v/>
      </c>
      <c r="E1501" s="17" t="str">
        <f aca="false">IF($A1501="","",COUNTIFS(Orders!$C$2:$C$20001,$A1501,Orders!$E$2:$E$20001,"Prepaid",Orders!$F$2:$F$20001,"Delivered")+COUNTIFS(Orders!$C$2:$C$20001,$A1501,Orders!$E$2:$E$20001,"Prepaid",Orders!$F$2:$F$20001,"RTO"))</f>
        <v/>
      </c>
      <c r="F1501" s="17" t="str">
        <f aca="false">IF($A1501="","",COUNTIFS(Orders!$C$2:$C$20001,$A1501,Orders!$E$2:$E$20001,"Prepaid",Orders!$F$2:$F$20001,"RTO"))</f>
        <v/>
      </c>
      <c r="G1501" s="18" t="str">
        <f aca="false">IF($A1501="","",IFERROR(F1501/E1501,0))</f>
        <v/>
      </c>
      <c r="H1501" s="19" t="str">
        <f aca="false">IF($A1501="","",C1501*Settings!$B$11)</f>
        <v/>
      </c>
      <c r="I1501" s="20" t="str">
        <f aca="false">IF($A1501="","",IF(N(H1501)=0,"",RANK(H1501,$H$5:$H$2004)))</f>
        <v/>
      </c>
      <c r="J1501" s="21" t="str">
        <f aca="false">IF($A1501="","",IF(B1501=0,"No COD orders",IF(B1501&lt;Settings!$B$8,"Too few orders",IF(D1501&gt;=Settings!$B$9,"Restrict COD or verify","Keep COD"))))</f>
        <v/>
      </c>
    </row>
    <row r="1502" customFormat="false" ht="15" hidden="false" customHeight="false" outlineLevel="0" collapsed="false">
      <c r="A1502" s="27"/>
      <c r="B1502" s="17" t="str">
        <f aca="false">IF($A1502="","",COUNTIFS(Orders!$C$2:$C$20001,$A1502,Orders!$E$2:$E$20001,"COD",Orders!$F$2:$F$20001,"Delivered")+COUNTIFS(Orders!$C$2:$C$20001,$A1502,Orders!$E$2:$E$20001,"COD",Orders!$F$2:$F$20001,"RTO"))</f>
        <v/>
      </c>
      <c r="C1502" s="17" t="str">
        <f aca="false">IF($A1502="","",COUNTIFS(Orders!$C$2:$C$20001,$A1502,Orders!$E$2:$E$20001,"COD",Orders!$F$2:$F$20001,"RTO"))</f>
        <v/>
      </c>
      <c r="D1502" s="18" t="str">
        <f aca="false">IF($A1502="","",IFERROR(C1502/B1502,0))</f>
        <v/>
      </c>
      <c r="E1502" s="17" t="str">
        <f aca="false">IF($A1502="","",COUNTIFS(Orders!$C$2:$C$20001,$A1502,Orders!$E$2:$E$20001,"Prepaid",Orders!$F$2:$F$20001,"Delivered")+COUNTIFS(Orders!$C$2:$C$20001,$A1502,Orders!$E$2:$E$20001,"Prepaid",Orders!$F$2:$F$20001,"RTO"))</f>
        <v/>
      </c>
      <c r="F1502" s="17" t="str">
        <f aca="false">IF($A1502="","",COUNTIFS(Orders!$C$2:$C$20001,$A1502,Orders!$E$2:$E$20001,"Prepaid",Orders!$F$2:$F$20001,"RTO"))</f>
        <v/>
      </c>
      <c r="G1502" s="18" t="str">
        <f aca="false">IF($A1502="","",IFERROR(F1502/E1502,0))</f>
        <v/>
      </c>
      <c r="H1502" s="19" t="str">
        <f aca="false">IF($A1502="","",C1502*Settings!$B$11)</f>
        <v/>
      </c>
      <c r="I1502" s="20" t="str">
        <f aca="false">IF($A1502="","",IF(N(H1502)=0,"",RANK(H1502,$H$5:$H$2004)))</f>
        <v/>
      </c>
      <c r="J1502" s="21" t="str">
        <f aca="false">IF($A1502="","",IF(B1502=0,"No COD orders",IF(B1502&lt;Settings!$B$8,"Too few orders",IF(D1502&gt;=Settings!$B$9,"Restrict COD or verify","Keep COD"))))</f>
        <v/>
      </c>
    </row>
    <row r="1503" customFormat="false" ht="15" hidden="false" customHeight="false" outlineLevel="0" collapsed="false">
      <c r="A1503" s="27"/>
      <c r="B1503" s="17" t="str">
        <f aca="false">IF($A1503="","",COUNTIFS(Orders!$C$2:$C$20001,$A1503,Orders!$E$2:$E$20001,"COD",Orders!$F$2:$F$20001,"Delivered")+COUNTIFS(Orders!$C$2:$C$20001,$A1503,Orders!$E$2:$E$20001,"COD",Orders!$F$2:$F$20001,"RTO"))</f>
        <v/>
      </c>
      <c r="C1503" s="17" t="str">
        <f aca="false">IF($A1503="","",COUNTIFS(Orders!$C$2:$C$20001,$A1503,Orders!$E$2:$E$20001,"COD",Orders!$F$2:$F$20001,"RTO"))</f>
        <v/>
      </c>
      <c r="D1503" s="18" t="str">
        <f aca="false">IF($A1503="","",IFERROR(C1503/B1503,0))</f>
        <v/>
      </c>
      <c r="E1503" s="17" t="str">
        <f aca="false">IF($A1503="","",COUNTIFS(Orders!$C$2:$C$20001,$A1503,Orders!$E$2:$E$20001,"Prepaid",Orders!$F$2:$F$20001,"Delivered")+COUNTIFS(Orders!$C$2:$C$20001,$A1503,Orders!$E$2:$E$20001,"Prepaid",Orders!$F$2:$F$20001,"RTO"))</f>
        <v/>
      </c>
      <c r="F1503" s="17" t="str">
        <f aca="false">IF($A1503="","",COUNTIFS(Orders!$C$2:$C$20001,$A1503,Orders!$E$2:$E$20001,"Prepaid",Orders!$F$2:$F$20001,"RTO"))</f>
        <v/>
      </c>
      <c r="G1503" s="18" t="str">
        <f aca="false">IF($A1503="","",IFERROR(F1503/E1503,0))</f>
        <v/>
      </c>
      <c r="H1503" s="19" t="str">
        <f aca="false">IF($A1503="","",C1503*Settings!$B$11)</f>
        <v/>
      </c>
      <c r="I1503" s="20" t="str">
        <f aca="false">IF($A1503="","",IF(N(H1503)=0,"",RANK(H1503,$H$5:$H$2004)))</f>
        <v/>
      </c>
      <c r="J1503" s="21" t="str">
        <f aca="false">IF($A1503="","",IF(B1503=0,"No COD orders",IF(B1503&lt;Settings!$B$8,"Too few orders",IF(D1503&gt;=Settings!$B$9,"Restrict COD or verify","Keep COD"))))</f>
        <v/>
      </c>
    </row>
    <row r="1504" customFormat="false" ht="15" hidden="false" customHeight="false" outlineLevel="0" collapsed="false">
      <c r="A1504" s="27"/>
      <c r="B1504" s="17" t="str">
        <f aca="false">IF($A1504="","",COUNTIFS(Orders!$C$2:$C$20001,$A1504,Orders!$E$2:$E$20001,"COD",Orders!$F$2:$F$20001,"Delivered")+COUNTIFS(Orders!$C$2:$C$20001,$A1504,Orders!$E$2:$E$20001,"COD",Orders!$F$2:$F$20001,"RTO"))</f>
        <v/>
      </c>
      <c r="C1504" s="17" t="str">
        <f aca="false">IF($A1504="","",COUNTIFS(Orders!$C$2:$C$20001,$A1504,Orders!$E$2:$E$20001,"COD",Orders!$F$2:$F$20001,"RTO"))</f>
        <v/>
      </c>
      <c r="D1504" s="18" t="str">
        <f aca="false">IF($A1504="","",IFERROR(C1504/B1504,0))</f>
        <v/>
      </c>
      <c r="E1504" s="17" t="str">
        <f aca="false">IF($A1504="","",COUNTIFS(Orders!$C$2:$C$20001,$A1504,Orders!$E$2:$E$20001,"Prepaid",Orders!$F$2:$F$20001,"Delivered")+COUNTIFS(Orders!$C$2:$C$20001,$A1504,Orders!$E$2:$E$20001,"Prepaid",Orders!$F$2:$F$20001,"RTO"))</f>
        <v/>
      </c>
      <c r="F1504" s="17" t="str">
        <f aca="false">IF($A1504="","",COUNTIFS(Orders!$C$2:$C$20001,$A1504,Orders!$E$2:$E$20001,"Prepaid",Orders!$F$2:$F$20001,"RTO"))</f>
        <v/>
      </c>
      <c r="G1504" s="18" t="str">
        <f aca="false">IF($A1504="","",IFERROR(F1504/E1504,0))</f>
        <v/>
      </c>
      <c r="H1504" s="19" t="str">
        <f aca="false">IF($A1504="","",C1504*Settings!$B$11)</f>
        <v/>
      </c>
      <c r="I1504" s="20" t="str">
        <f aca="false">IF($A1504="","",IF(N(H1504)=0,"",RANK(H1504,$H$5:$H$2004)))</f>
        <v/>
      </c>
      <c r="J1504" s="21" t="str">
        <f aca="false">IF($A1504="","",IF(B1504=0,"No COD orders",IF(B1504&lt;Settings!$B$8,"Too few orders",IF(D1504&gt;=Settings!$B$9,"Restrict COD or verify","Keep COD"))))</f>
        <v/>
      </c>
    </row>
    <row r="1505" customFormat="false" ht="15" hidden="false" customHeight="false" outlineLevel="0" collapsed="false">
      <c r="A1505" s="27"/>
      <c r="B1505" s="17" t="str">
        <f aca="false">IF($A1505="","",COUNTIFS(Orders!$C$2:$C$20001,$A1505,Orders!$E$2:$E$20001,"COD",Orders!$F$2:$F$20001,"Delivered")+COUNTIFS(Orders!$C$2:$C$20001,$A1505,Orders!$E$2:$E$20001,"COD",Orders!$F$2:$F$20001,"RTO"))</f>
        <v/>
      </c>
      <c r="C1505" s="17" t="str">
        <f aca="false">IF($A1505="","",COUNTIFS(Orders!$C$2:$C$20001,$A1505,Orders!$E$2:$E$20001,"COD",Orders!$F$2:$F$20001,"RTO"))</f>
        <v/>
      </c>
      <c r="D1505" s="18" t="str">
        <f aca="false">IF($A1505="","",IFERROR(C1505/B1505,0))</f>
        <v/>
      </c>
      <c r="E1505" s="17" t="str">
        <f aca="false">IF($A1505="","",COUNTIFS(Orders!$C$2:$C$20001,$A1505,Orders!$E$2:$E$20001,"Prepaid",Orders!$F$2:$F$20001,"Delivered")+COUNTIFS(Orders!$C$2:$C$20001,$A1505,Orders!$E$2:$E$20001,"Prepaid",Orders!$F$2:$F$20001,"RTO"))</f>
        <v/>
      </c>
      <c r="F1505" s="17" t="str">
        <f aca="false">IF($A1505="","",COUNTIFS(Orders!$C$2:$C$20001,$A1505,Orders!$E$2:$E$20001,"Prepaid",Orders!$F$2:$F$20001,"RTO"))</f>
        <v/>
      </c>
      <c r="G1505" s="18" t="str">
        <f aca="false">IF($A1505="","",IFERROR(F1505/E1505,0))</f>
        <v/>
      </c>
      <c r="H1505" s="19" t="str">
        <f aca="false">IF($A1505="","",C1505*Settings!$B$11)</f>
        <v/>
      </c>
      <c r="I1505" s="20" t="str">
        <f aca="false">IF($A1505="","",IF(N(H1505)=0,"",RANK(H1505,$H$5:$H$2004)))</f>
        <v/>
      </c>
      <c r="J1505" s="21" t="str">
        <f aca="false">IF($A1505="","",IF(B1505=0,"No COD orders",IF(B1505&lt;Settings!$B$8,"Too few orders",IF(D1505&gt;=Settings!$B$9,"Restrict COD or verify","Keep COD"))))</f>
        <v/>
      </c>
    </row>
    <row r="1506" customFormat="false" ht="15" hidden="false" customHeight="false" outlineLevel="0" collapsed="false">
      <c r="A1506" s="27"/>
      <c r="B1506" s="17" t="str">
        <f aca="false">IF($A1506="","",COUNTIFS(Orders!$C$2:$C$20001,$A1506,Orders!$E$2:$E$20001,"COD",Orders!$F$2:$F$20001,"Delivered")+COUNTIFS(Orders!$C$2:$C$20001,$A1506,Orders!$E$2:$E$20001,"COD",Orders!$F$2:$F$20001,"RTO"))</f>
        <v/>
      </c>
      <c r="C1506" s="17" t="str">
        <f aca="false">IF($A1506="","",COUNTIFS(Orders!$C$2:$C$20001,$A1506,Orders!$E$2:$E$20001,"COD",Orders!$F$2:$F$20001,"RTO"))</f>
        <v/>
      </c>
      <c r="D1506" s="18" t="str">
        <f aca="false">IF($A1506="","",IFERROR(C1506/B1506,0))</f>
        <v/>
      </c>
      <c r="E1506" s="17" t="str">
        <f aca="false">IF($A1506="","",COUNTIFS(Orders!$C$2:$C$20001,$A1506,Orders!$E$2:$E$20001,"Prepaid",Orders!$F$2:$F$20001,"Delivered")+COUNTIFS(Orders!$C$2:$C$20001,$A1506,Orders!$E$2:$E$20001,"Prepaid",Orders!$F$2:$F$20001,"RTO"))</f>
        <v/>
      </c>
      <c r="F1506" s="17" t="str">
        <f aca="false">IF($A1506="","",COUNTIFS(Orders!$C$2:$C$20001,$A1506,Orders!$E$2:$E$20001,"Prepaid",Orders!$F$2:$F$20001,"RTO"))</f>
        <v/>
      </c>
      <c r="G1506" s="18" t="str">
        <f aca="false">IF($A1506="","",IFERROR(F1506/E1506,0))</f>
        <v/>
      </c>
      <c r="H1506" s="19" t="str">
        <f aca="false">IF($A1506="","",C1506*Settings!$B$11)</f>
        <v/>
      </c>
      <c r="I1506" s="20" t="str">
        <f aca="false">IF($A1506="","",IF(N(H1506)=0,"",RANK(H1506,$H$5:$H$2004)))</f>
        <v/>
      </c>
      <c r="J1506" s="21" t="str">
        <f aca="false">IF($A1506="","",IF(B1506=0,"No COD orders",IF(B1506&lt;Settings!$B$8,"Too few orders",IF(D1506&gt;=Settings!$B$9,"Restrict COD or verify","Keep COD"))))</f>
        <v/>
      </c>
    </row>
    <row r="1507" customFormat="false" ht="15" hidden="false" customHeight="false" outlineLevel="0" collapsed="false">
      <c r="A1507" s="27"/>
      <c r="B1507" s="17" t="str">
        <f aca="false">IF($A1507="","",COUNTIFS(Orders!$C$2:$C$20001,$A1507,Orders!$E$2:$E$20001,"COD",Orders!$F$2:$F$20001,"Delivered")+COUNTIFS(Orders!$C$2:$C$20001,$A1507,Orders!$E$2:$E$20001,"COD",Orders!$F$2:$F$20001,"RTO"))</f>
        <v/>
      </c>
      <c r="C1507" s="17" t="str">
        <f aca="false">IF($A1507="","",COUNTIFS(Orders!$C$2:$C$20001,$A1507,Orders!$E$2:$E$20001,"COD",Orders!$F$2:$F$20001,"RTO"))</f>
        <v/>
      </c>
      <c r="D1507" s="18" t="str">
        <f aca="false">IF($A1507="","",IFERROR(C1507/B1507,0))</f>
        <v/>
      </c>
      <c r="E1507" s="17" t="str">
        <f aca="false">IF($A1507="","",COUNTIFS(Orders!$C$2:$C$20001,$A1507,Orders!$E$2:$E$20001,"Prepaid",Orders!$F$2:$F$20001,"Delivered")+COUNTIFS(Orders!$C$2:$C$20001,$A1507,Orders!$E$2:$E$20001,"Prepaid",Orders!$F$2:$F$20001,"RTO"))</f>
        <v/>
      </c>
      <c r="F1507" s="17" t="str">
        <f aca="false">IF($A1507="","",COUNTIFS(Orders!$C$2:$C$20001,$A1507,Orders!$E$2:$E$20001,"Prepaid",Orders!$F$2:$F$20001,"RTO"))</f>
        <v/>
      </c>
      <c r="G1507" s="18" t="str">
        <f aca="false">IF($A1507="","",IFERROR(F1507/E1507,0))</f>
        <v/>
      </c>
      <c r="H1507" s="19" t="str">
        <f aca="false">IF($A1507="","",C1507*Settings!$B$11)</f>
        <v/>
      </c>
      <c r="I1507" s="20" t="str">
        <f aca="false">IF($A1507="","",IF(N(H1507)=0,"",RANK(H1507,$H$5:$H$2004)))</f>
        <v/>
      </c>
      <c r="J1507" s="21" t="str">
        <f aca="false">IF($A1507="","",IF(B1507=0,"No COD orders",IF(B1507&lt;Settings!$B$8,"Too few orders",IF(D1507&gt;=Settings!$B$9,"Restrict COD or verify","Keep COD"))))</f>
        <v/>
      </c>
    </row>
    <row r="1508" customFormat="false" ht="15" hidden="false" customHeight="false" outlineLevel="0" collapsed="false">
      <c r="A1508" s="27"/>
      <c r="B1508" s="17" t="str">
        <f aca="false">IF($A1508="","",COUNTIFS(Orders!$C$2:$C$20001,$A1508,Orders!$E$2:$E$20001,"COD",Orders!$F$2:$F$20001,"Delivered")+COUNTIFS(Orders!$C$2:$C$20001,$A1508,Orders!$E$2:$E$20001,"COD",Orders!$F$2:$F$20001,"RTO"))</f>
        <v/>
      </c>
      <c r="C1508" s="17" t="str">
        <f aca="false">IF($A1508="","",COUNTIFS(Orders!$C$2:$C$20001,$A1508,Orders!$E$2:$E$20001,"COD",Orders!$F$2:$F$20001,"RTO"))</f>
        <v/>
      </c>
      <c r="D1508" s="18" t="str">
        <f aca="false">IF($A1508="","",IFERROR(C1508/B1508,0))</f>
        <v/>
      </c>
      <c r="E1508" s="17" t="str">
        <f aca="false">IF($A1508="","",COUNTIFS(Orders!$C$2:$C$20001,$A1508,Orders!$E$2:$E$20001,"Prepaid",Orders!$F$2:$F$20001,"Delivered")+COUNTIFS(Orders!$C$2:$C$20001,$A1508,Orders!$E$2:$E$20001,"Prepaid",Orders!$F$2:$F$20001,"RTO"))</f>
        <v/>
      </c>
      <c r="F1508" s="17" t="str">
        <f aca="false">IF($A1508="","",COUNTIFS(Orders!$C$2:$C$20001,$A1508,Orders!$E$2:$E$20001,"Prepaid",Orders!$F$2:$F$20001,"RTO"))</f>
        <v/>
      </c>
      <c r="G1508" s="18" t="str">
        <f aca="false">IF($A1508="","",IFERROR(F1508/E1508,0))</f>
        <v/>
      </c>
      <c r="H1508" s="19" t="str">
        <f aca="false">IF($A1508="","",C1508*Settings!$B$11)</f>
        <v/>
      </c>
      <c r="I1508" s="20" t="str">
        <f aca="false">IF($A1508="","",IF(N(H1508)=0,"",RANK(H1508,$H$5:$H$2004)))</f>
        <v/>
      </c>
      <c r="J1508" s="21" t="str">
        <f aca="false">IF($A1508="","",IF(B1508=0,"No COD orders",IF(B1508&lt;Settings!$B$8,"Too few orders",IF(D1508&gt;=Settings!$B$9,"Restrict COD or verify","Keep COD"))))</f>
        <v/>
      </c>
    </row>
    <row r="1509" customFormat="false" ht="15" hidden="false" customHeight="false" outlineLevel="0" collapsed="false">
      <c r="A1509" s="27"/>
      <c r="B1509" s="17" t="str">
        <f aca="false">IF($A1509="","",COUNTIFS(Orders!$C$2:$C$20001,$A1509,Orders!$E$2:$E$20001,"COD",Orders!$F$2:$F$20001,"Delivered")+COUNTIFS(Orders!$C$2:$C$20001,$A1509,Orders!$E$2:$E$20001,"COD",Orders!$F$2:$F$20001,"RTO"))</f>
        <v/>
      </c>
      <c r="C1509" s="17" t="str">
        <f aca="false">IF($A1509="","",COUNTIFS(Orders!$C$2:$C$20001,$A1509,Orders!$E$2:$E$20001,"COD",Orders!$F$2:$F$20001,"RTO"))</f>
        <v/>
      </c>
      <c r="D1509" s="18" t="str">
        <f aca="false">IF($A1509="","",IFERROR(C1509/B1509,0))</f>
        <v/>
      </c>
      <c r="E1509" s="17" t="str">
        <f aca="false">IF($A1509="","",COUNTIFS(Orders!$C$2:$C$20001,$A1509,Orders!$E$2:$E$20001,"Prepaid",Orders!$F$2:$F$20001,"Delivered")+COUNTIFS(Orders!$C$2:$C$20001,$A1509,Orders!$E$2:$E$20001,"Prepaid",Orders!$F$2:$F$20001,"RTO"))</f>
        <v/>
      </c>
      <c r="F1509" s="17" t="str">
        <f aca="false">IF($A1509="","",COUNTIFS(Orders!$C$2:$C$20001,$A1509,Orders!$E$2:$E$20001,"Prepaid",Orders!$F$2:$F$20001,"RTO"))</f>
        <v/>
      </c>
      <c r="G1509" s="18" t="str">
        <f aca="false">IF($A1509="","",IFERROR(F1509/E1509,0))</f>
        <v/>
      </c>
      <c r="H1509" s="19" t="str">
        <f aca="false">IF($A1509="","",C1509*Settings!$B$11)</f>
        <v/>
      </c>
      <c r="I1509" s="20" t="str">
        <f aca="false">IF($A1509="","",IF(N(H1509)=0,"",RANK(H1509,$H$5:$H$2004)))</f>
        <v/>
      </c>
      <c r="J1509" s="21" t="str">
        <f aca="false">IF($A1509="","",IF(B1509=0,"No COD orders",IF(B1509&lt;Settings!$B$8,"Too few orders",IF(D1509&gt;=Settings!$B$9,"Restrict COD or verify","Keep COD"))))</f>
        <v/>
      </c>
    </row>
    <row r="1510" customFormat="false" ht="15" hidden="false" customHeight="false" outlineLevel="0" collapsed="false">
      <c r="A1510" s="27"/>
      <c r="B1510" s="17" t="str">
        <f aca="false">IF($A1510="","",COUNTIFS(Orders!$C$2:$C$20001,$A1510,Orders!$E$2:$E$20001,"COD",Orders!$F$2:$F$20001,"Delivered")+COUNTIFS(Orders!$C$2:$C$20001,$A1510,Orders!$E$2:$E$20001,"COD",Orders!$F$2:$F$20001,"RTO"))</f>
        <v/>
      </c>
      <c r="C1510" s="17" t="str">
        <f aca="false">IF($A1510="","",COUNTIFS(Orders!$C$2:$C$20001,$A1510,Orders!$E$2:$E$20001,"COD",Orders!$F$2:$F$20001,"RTO"))</f>
        <v/>
      </c>
      <c r="D1510" s="18" t="str">
        <f aca="false">IF($A1510="","",IFERROR(C1510/B1510,0))</f>
        <v/>
      </c>
      <c r="E1510" s="17" t="str">
        <f aca="false">IF($A1510="","",COUNTIFS(Orders!$C$2:$C$20001,$A1510,Orders!$E$2:$E$20001,"Prepaid",Orders!$F$2:$F$20001,"Delivered")+COUNTIFS(Orders!$C$2:$C$20001,$A1510,Orders!$E$2:$E$20001,"Prepaid",Orders!$F$2:$F$20001,"RTO"))</f>
        <v/>
      </c>
      <c r="F1510" s="17" t="str">
        <f aca="false">IF($A1510="","",COUNTIFS(Orders!$C$2:$C$20001,$A1510,Orders!$E$2:$E$20001,"Prepaid",Orders!$F$2:$F$20001,"RTO"))</f>
        <v/>
      </c>
      <c r="G1510" s="18" t="str">
        <f aca="false">IF($A1510="","",IFERROR(F1510/E1510,0))</f>
        <v/>
      </c>
      <c r="H1510" s="19" t="str">
        <f aca="false">IF($A1510="","",C1510*Settings!$B$11)</f>
        <v/>
      </c>
      <c r="I1510" s="20" t="str">
        <f aca="false">IF($A1510="","",IF(N(H1510)=0,"",RANK(H1510,$H$5:$H$2004)))</f>
        <v/>
      </c>
      <c r="J1510" s="21" t="str">
        <f aca="false">IF($A1510="","",IF(B1510=0,"No COD orders",IF(B1510&lt;Settings!$B$8,"Too few orders",IF(D1510&gt;=Settings!$B$9,"Restrict COD or verify","Keep COD"))))</f>
        <v/>
      </c>
    </row>
    <row r="1511" customFormat="false" ht="15" hidden="false" customHeight="false" outlineLevel="0" collapsed="false">
      <c r="A1511" s="27"/>
      <c r="B1511" s="17" t="str">
        <f aca="false">IF($A1511="","",COUNTIFS(Orders!$C$2:$C$20001,$A1511,Orders!$E$2:$E$20001,"COD",Orders!$F$2:$F$20001,"Delivered")+COUNTIFS(Orders!$C$2:$C$20001,$A1511,Orders!$E$2:$E$20001,"COD",Orders!$F$2:$F$20001,"RTO"))</f>
        <v/>
      </c>
      <c r="C1511" s="17" t="str">
        <f aca="false">IF($A1511="","",COUNTIFS(Orders!$C$2:$C$20001,$A1511,Orders!$E$2:$E$20001,"COD",Orders!$F$2:$F$20001,"RTO"))</f>
        <v/>
      </c>
      <c r="D1511" s="18" t="str">
        <f aca="false">IF($A1511="","",IFERROR(C1511/B1511,0))</f>
        <v/>
      </c>
      <c r="E1511" s="17" t="str">
        <f aca="false">IF($A1511="","",COUNTIFS(Orders!$C$2:$C$20001,$A1511,Orders!$E$2:$E$20001,"Prepaid",Orders!$F$2:$F$20001,"Delivered")+COUNTIFS(Orders!$C$2:$C$20001,$A1511,Orders!$E$2:$E$20001,"Prepaid",Orders!$F$2:$F$20001,"RTO"))</f>
        <v/>
      </c>
      <c r="F1511" s="17" t="str">
        <f aca="false">IF($A1511="","",COUNTIFS(Orders!$C$2:$C$20001,$A1511,Orders!$E$2:$E$20001,"Prepaid",Orders!$F$2:$F$20001,"RTO"))</f>
        <v/>
      </c>
      <c r="G1511" s="18" t="str">
        <f aca="false">IF($A1511="","",IFERROR(F1511/E1511,0))</f>
        <v/>
      </c>
      <c r="H1511" s="19" t="str">
        <f aca="false">IF($A1511="","",C1511*Settings!$B$11)</f>
        <v/>
      </c>
      <c r="I1511" s="20" t="str">
        <f aca="false">IF($A1511="","",IF(N(H1511)=0,"",RANK(H1511,$H$5:$H$2004)))</f>
        <v/>
      </c>
      <c r="J1511" s="21" t="str">
        <f aca="false">IF($A1511="","",IF(B1511=0,"No COD orders",IF(B1511&lt;Settings!$B$8,"Too few orders",IF(D1511&gt;=Settings!$B$9,"Restrict COD or verify","Keep COD"))))</f>
        <v/>
      </c>
    </row>
    <row r="1512" customFormat="false" ht="15" hidden="false" customHeight="false" outlineLevel="0" collapsed="false">
      <c r="A1512" s="27"/>
      <c r="B1512" s="17" t="str">
        <f aca="false">IF($A1512="","",COUNTIFS(Orders!$C$2:$C$20001,$A1512,Orders!$E$2:$E$20001,"COD",Orders!$F$2:$F$20001,"Delivered")+COUNTIFS(Orders!$C$2:$C$20001,$A1512,Orders!$E$2:$E$20001,"COD",Orders!$F$2:$F$20001,"RTO"))</f>
        <v/>
      </c>
      <c r="C1512" s="17" t="str">
        <f aca="false">IF($A1512="","",COUNTIFS(Orders!$C$2:$C$20001,$A1512,Orders!$E$2:$E$20001,"COD",Orders!$F$2:$F$20001,"RTO"))</f>
        <v/>
      </c>
      <c r="D1512" s="18" t="str">
        <f aca="false">IF($A1512="","",IFERROR(C1512/B1512,0))</f>
        <v/>
      </c>
      <c r="E1512" s="17" t="str">
        <f aca="false">IF($A1512="","",COUNTIFS(Orders!$C$2:$C$20001,$A1512,Orders!$E$2:$E$20001,"Prepaid",Orders!$F$2:$F$20001,"Delivered")+COUNTIFS(Orders!$C$2:$C$20001,$A1512,Orders!$E$2:$E$20001,"Prepaid",Orders!$F$2:$F$20001,"RTO"))</f>
        <v/>
      </c>
      <c r="F1512" s="17" t="str">
        <f aca="false">IF($A1512="","",COUNTIFS(Orders!$C$2:$C$20001,$A1512,Orders!$E$2:$E$20001,"Prepaid",Orders!$F$2:$F$20001,"RTO"))</f>
        <v/>
      </c>
      <c r="G1512" s="18" t="str">
        <f aca="false">IF($A1512="","",IFERROR(F1512/E1512,0))</f>
        <v/>
      </c>
      <c r="H1512" s="19" t="str">
        <f aca="false">IF($A1512="","",C1512*Settings!$B$11)</f>
        <v/>
      </c>
      <c r="I1512" s="20" t="str">
        <f aca="false">IF($A1512="","",IF(N(H1512)=0,"",RANK(H1512,$H$5:$H$2004)))</f>
        <v/>
      </c>
      <c r="J1512" s="21" t="str">
        <f aca="false">IF($A1512="","",IF(B1512=0,"No COD orders",IF(B1512&lt;Settings!$B$8,"Too few orders",IF(D1512&gt;=Settings!$B$9,"Restrict COD or verify","Keep COD"))))</f>
        <v/>
      </c>
    </row>
    <row r="1513" customFormat="false" ht="15" hidden="false" customHeight="false" outlineLevel="0" collapsed="false">
      <c r="A1513" s="27"/>
      <c r="B1513" s="17" t="str">
        <f aca="false">IF($A1513="","",COUNTIFS(Orders!$C$2:$C$20001,$A1513,Orders!$E$2:$E$20001,"COD",Orders!$F$2:$F$20001,"Delivered")+COUNTIFS(Orders!$C$2:$C$20001,$A1513,Orders!$E$2:$E$20001,"COD",Orders!$F$2:$F$20001,"RTO"))</f>
        <v/>
      </c>
      <c r="C1513" s="17" t="str">
        <f aca="false">IF($A1513="","",COUNTIFS(Orders!$C$2:$C$20001,$A1513,Orders!$E$2:$E$20001,"COD",Orders!$F$2:$F$20001,"RTO"))</f>
        <v/>
      </c>
      <c r="D1513" s="18" t="str">
        <f aca="false">IF($A1513="","",IFERROR(C1513/B1513,0))</f>
        <v/>
      </c>
      <c r="E1513" s="17" t="str">
        <f aca="false">IF($A1513="","",COUNTIFS(Orders!$C$2:$C$20001,$A1513,Orders!$E$2:$E$20001,"Prepaid",Orders!$F$2:$F$20001,"Delivered")+COUNTIFS(Orders!$C$2:$C$20001,$A1513,Orders!$E$2:$E$20001,"Prepaid",Orders!$F$2:$F$20001,"RTO"))</f>
        <v/>
      </c>
      <c r="F1513" s="17" t="str">
        <f aca="false">IF($A1513="","",COUNTIFS(Orders!$C$2:$C$20001,$A1513,Orders!$E$2:$E$20001,"Prepaid",Orders!$F$2:$F$20001,"RTO"))</f>
        <v/>
      </c>
      <c r="G1513" s="18" t="str">
        <f aca="false">IF($A1513="","",IFERROR(F1513/E1513,0))</f>
        <v/>
      </c>
      <c r="H1513" s="19" t="str">
        <f aca="false">IF($A1513="","",C1513*Settings!$B$11)</f>
        <v/>
      </c>
      <c r="I1513" s="20" t="str">
        <f aca="false">IF($A1513="","",IF(N(H1513)=0,"",RANK(H1513,$H$5:$H$2004)))</f>
        <v/>
      </c>
      <c r="J1513" s="21" t="str">
        <f aca="false">IF($A1513="","",IF(B1513=0,"No COD orders",IF(B1513&lt;Settings!$B$8,"Too few orders",IF(D1513&gt;=Settings!$B$9,"Restrict COD or verify","Keep COD"))))</f>
        <v/>
      </c>
    </row>
    <row r="1514" customFormat="false" ht="15" hidden="false" customHeight="false" outlineLevel="0" collapsed="false">
      <c r="A1514" s="27"/>
      <c r="B1514" s="17" t="str">
        <f aca="false">IF($A1514="","",COUNTIFS(Orders!$C$2:$C$20001,$A1514,Orders!$E$2:$E$20001,"COD",Orders!$F$2:$F$20001,"Delivered")+COUNTIFS(Orders!$C$2:$C$20001,$A1514,Orders!$E$2:$E$20001,"COD",Orders!$F$2:$F$20001,"RTO"))</f>
        <v/>
      </c>
      <c r="C1514" s="17" t="str">
        <f aca="false">IF($A1514="","",COUNTIFS(Orders!$C$2:$C$20001,$A1514,Orders!$E$2:$E$20001,"COD",Orders!$F$2:$F$20001,"RTO"))</f>
        <v/>
      </c>
      <c r="D1514" s="18" t="str">
        <f aca="false">IF($A1514="","",IFERROR(C1514/B1514,0))</f>
        <v/>
      </c>
      <c r="E1514" s="17" t="str">
        <f aca="false">IF($A1514="","",COUNTIFS(Orders!$C$2:$C$20001,$A1514,Orders!$E$2:$E$20001,"Prepaid",Orders!$F$2:$F$20001,"Delivered")+COUNTIFS(Orders!$C$2:$C$20001,$A1514,Orders!$E$2:$E$20001,"Prepaid",Orders!$F$2:$F$20001,"RTO"))</f>
        <v/>
      </c>
      <c r="F1514" s="17" t="str">
        <f aca="false">IF($A1514="","",COUNTIFS(Orders!$C$2:$C$20001,$A1514,Orders!$E$2:$E$20001,"Prepaid",Orders!$F$2:$F$20001,"RTO"))</f>
        <v/>
      </c>
      <c r="G1514" s="18" t="str">
        <f aca="false">IF($A1514="","",IFERROR(F1514/E1514,0))</f>
        <v/>
      </c>
      <c r="H1514" s="19" t="str">
        <f aca="false">IF($A1514="","",C1514*Settings!$B$11)</f>
        <v/>
      </c>
      <c r="I1514" s="20" t="str">
        <f aca="false">IF($A1514="","",IF(N(H1514)=0,"",RANK(H1514,$H$5:$H$2004)))</f>
        <v/>
      </c>
      <c r="J1514" s="21" t="str">
        <f aca="false">IF($A1514="","",IF(B1514=0,"No COD orders",IF(B1514&lt;Settings!$B$8,"Too few orders",IF(D1514&gt;=Settings!$B$9,"Restrict COD or verify","Keep COD"))))</f>
        <v/>
      </c>
    </row>
    <row r="1515" customFormat="false" ht="15" hidden="false" customHeight="false" outlineLevel="0" collapsed="false">
      <c r="A1515" s="27"/>
      <c r="B1515" s="17" t="str">
        <f aca="false">IF($A1515="","",COUNTIFS(Orders!$C$2:$C$20001,$A1515,Orders!$E$2:$E$20001,"COD",Orders!$F$2:$F$20001,"Delivered")+COUNTIFS(Orders!$C$2:$C$20001,$A1515,Orders!$E$2:$E$20001,"COD",Orders!$F$2:$F$20001,"RTO"))</f>
        <v/>
      </c>
      <c r="C1515" s="17" t="str">
        <f aca="false">IF($A1515="","",COUNTIFS(Orders!$C$2:$C$20001,$A1515,Orders!$E$2:$E$20001,"COD",Orders!$F$2:$F$20001,"RTO"))</f>
        <v/>
      </c>
      <c r="D1515" s="18" t="str">
        <f aca="false">IF($A1515="","",IFERROR(C1515/B1515,0))</f>
        <v/>
      </c>
      <c r="E1515" s="17" t="str">
        <f aca="false">IF($A1515="","",COUNTIFS(Orders!$C$2:$C$20001,$A1515,Orders!$E$2:$E$20001,"Prepaid",Orders!$F$2:$F$20001,"Delivered")+COUNTIFS(Orders!$C$2:$C$20001,$A1515,Orders!$E$2:$E$20001,"Prepaid",Orders!$F$2:$F$20001,"RTO"))</f>
        <v/>
      </c>
      <c r="F1515" s="17" t="str">
        <f aca="false">IF($A1515="","",COUNTIFS(Orders!$C$2:$C$20001,$A1515,Orders!$E$2:$E$20001,"Prepaid",Orders!$F$2:$F$20001,"RTO"))</f>
        <v/>
      </c>
      <c r="G1515" s="18" t="str">
        <f aca="false">IF($A1515="","",IFERROR(F1515/E1515,0))</f>
        <v/>
      </c>
      <c r="H1515" s="19" t="str">
        <f aca="false">IF($A1515="","",C1515*Settings!$B$11)</f>
        <v/>
      </c>
      <c r="I1515" s="20" t="str">
        <f aca="false">IF($A1515="","",IF(N(H1515)=0,"",RANK(H1515,$H$5:$H$2004)))</f>
        <v/>
      </c>
      <c r="J1515" s="21" t="str">
        <f aca="false">IF($A1515="","",IF(B1515=0,"No COD orders",IF(B1515&lt;Settings!$B$8,"Too few orders",IF(D1515&gt;=Settings!$B$9,"Restrict COD or verify","Keep COD"))))</f>
        <v/>
      </c>
    </row>
    <row r="1516" customFormat="false" ht="15" hidden="false" customHeight="false" outlineLevel="0" collapsed="false">
      <c r="A1516" s="27"/>
      <c r="B1516" s="17" t="str">
        <f aca="false">IF($A1516="","",COUNTIFS(Orders!$C$2:$C$20001,$A1516,Orders!$E$2:$E$20001,"COD",Orders!$F$2:$F$20001,"Delivered")+COUNTIFS(Orders!$C$2:$C$20001,$A1516,Orders!$E$2:$E$20001,"COD",Orders!$F$2:$F$20001,"RTO"))</f>
        <v/>
      </c>
      <c r="C1516" s="17" t="str">
        <f aca="false">IF($A1516="","",COUNTIFS(Orders!$C$2:$C$20001,$A1516,Orders!$E$2:$E$20001,"COD",Orders!$F$2:$F$20001,"RTO"))</f>
        <v/>
      </c>
      <c r="D1516" s="18" t="str">
        <f aca="false">IF($A1516="","",IFERROR(C1516/B1516,0))</f>
        <v/>
      </c>
      <c r="E1516" s="17" t="str">
        <f aca="false">IF($A1516="","",COUNTIFS(Orders!$C$2:$C$20001,$A1516,Orders!$E$2:$E$20001,"Prepaid",Orders!$F$2:$F$20001,"Delivered")+COUNTIFS(Orders!$C$2:$C$20001,$A1516,Orders!$E$2:$E$20001,"Prepaid",Orders!$F$2:$F$20001,"RTO"))</f>
        <v/>
      </c>
      <c r="F1516" s="17" t="str">
        <f aca="false">IF($A1516="","",COUNTIFS(Orders!$C$2:$C$20001,$A1516,Orders!$E$2:$E$20001,"Prepaid",Orders!$F$2:$F$20001,"RTO"))</f>
        <v/>
      </c>
      <c r="G1516" s="18" t="str">
        <f aca="false">IF($A1516="","",IFERROR(F1516/E1516,0))</f>
        <v/>
      </c>
      <c r="H1516" s="19" t="str">
        <f aca="false">IF($A1516="","",C1516*Settings!$B$11)</f>
        <v/>
      </c>
      <c r="I1516" s="20" t="str">
        <f aca="false">IF($A1516="","",IF(N(H1516)=0,"",RANK(H1516,$H$5:$H$2004)))</f>
        <v/>
      </c>
      <c r="J1516" s="21" t="str">
        <f aca="false">IF($A1516="","",IF(B1516=0,"No COD orders",IF(B1516&lt;Settings!$B$8,"Too few orders",IF(D1516&gt;=Settings!$B$9,"Restrict COD or verify","Keep COD"))))</f>
        <v/>
      </c>
    </row>
    <row r="1517" customFormat="false" ht="15" hidden="false" customHeight="false" outlineLevel="0" collapsed="false">
      <c r="A1517" s="27"/>
      <c r="B1517" s="17" t="str">
        <f aca="false">IF($A1517="","",COUNTIFS(Orders!$C$2:$C$20001,$A1517,Orders!$E$2:$E$20001,"COD",Orders!$F$2:$F$20001,"Delivered")+COUNTIFS(Orders!$C$2:$C$20001,$A1517,Orders!$E$2:$E$20001,"COD",Orders!$F$2:$F$20001,"RTO"))</f>
        <v/>
      </c>
      <c r="C1517" s="17" t="str">
        <f aca="false">IF($A1517="","",COUNTIFS(Orders!$C$2:$C$20001,$A1517,Orders!$E$2:$E$20001,"COD",Orders!$F$2:$F$20001,"RTO"))</f>
        <v/>
      </c>
      <c r="D1517" s="18" t="str">
        <f aca="false">IF($A1517="","",IFERROR(C1517/B1517,0))</f>
        <v/>
      </c>
      <c r="E1517" s="17" t="str">
        <f aca="false">IF($A1517="","",COUNTIFS(Orders!$C$2:$C$20001,$A1517,Orders!$E$2:$E$20001,"Prepaid",Orders!$F$2:$F$20001,"Delivered")+COUNTIFS(Orders!$C$2:$C$20001,$A1517,Orders!$E$2:$E$20001,"Prepaid",Orders!$F$2:$F$20001,"RTO"))</f>
        <v/>
      </c>
      <c r="F1517" s="17" t="str">
        <f aca="false">IF($A1517="","",COUNTIFS(Orders!$C$2:$C$20001,$A1517,Orders!$E$2:$E$20001,"Prepaid",Orders!$F$2:$F$20001,"RTO"))</f>
        <v/>
      </c>
      <c r="G1517" s="18" t="str">
        <f aca="false">IF($A1517="","",IFERROR(F1517/E1517,0))</f>
        <v/>
      </c>
      <c r="H1517" s="19" t="str">
        <f aca="false">IF($A1517="","",C1517*Settings!$B$11)</f>
        <v/>
      </c>
      <c r="I1517" s="20" t="str">
        <f aca="false">IF($A1517="","",IF(N(H1517)=0,"",RANK(H1517,$H$5:$H$2004)))</f>
        <v/>
      </c>
      <c r="J1517" s="21" t="str">
        <f aca="false">IF($A1517="","",IF(B1517=0,"No COD orders",IF(B1517&lt;Settings!$B$8,"Too few orders",IF(D1517&gt;=Settings!$B$9,"Restrict COD or verify","Keep COD"))))</f>
        <v/>
      </c>
    </row>
    <row r="1518" customFormat="false" ht="15" hidden="false" customHeight="false" outlineLevel="0" collapsed="false">
      <c r="A1518" s="27"/>
      <c r="B1518" s="17" t="str">
        <f aca="false">IF($A1518="","",COUNTIFS(Orders!$C$2:$C$20001,$A1518,Orders!$E$2:$E$20001,"COD",Orders!$F$2:$F$20001,"Delivered")+COUNTIFS(Orders!$C$2:$C$20001,$A1518,Orders!$E$2:$E$20001,"COD",Orders!$F$2:$F$20001,"RTO"))</f>
        <v/>
      </c>
      <c r="C1518" s="17" t="str">
        <f aca="false">IF($A1518="","",COUNTIFS(Orders!$C$2:$C$20001,$A1518,Orders!$E$2:$E$20001,"COD",Orders!$F$2:$F$20001,"RTO"))</f>
        <v/>
      </c>
      <c r="D1518" s="18" t="str">
        <f aca="false">IF($A1518="","",IFERROR(C1518/B1518,0))</f>
        <v/>
      </c>
      <c r="E1518" s="17" t="str">
        <f aca="false">IF($A1518="","",COUNTIFS(Orders!$C$2:$C$20001,$A1518,Orders!$E$2:$E$20001,"Prepaid",Orders!$F$2:$F$20001,"Delivered")+COUNTIFS(Orders!$C$2:$C$20001,$A1518,Orders!$E$2:$E$20001,"Prepaid",Orders!$F$2:$F$20001,"RTO"))</f>
        <v/>
      </c>
      <c r="F1518" s="17" t="str">
        <f aca="false">IF($A1518="","",COUNTIFS(Orders!$C$2:$C$20001,$A1518,Orders!$E$2:$E$20001,"Prepaid",Orders!$F$2:$F$20001,"RTO"))</f>
        <v/>
      </c>
      <c r="G1518" s="18" t="str">
        <f aca="false">IF($A1518="","",IFERROR(F1518/E1518,0))</f>
        <v/>
      </c>
      <c r="H1518" s="19" t="str">
        <f aca="false">IF($A1518="","",C1518*Settings!$B$11)</f>
        <v/>
      </c>
      <c r="I1518" s="20" t="str">
        <f aca="false">IF($A1518="","",IF(N(H1518)=0,"",RANK(H1518,$H$5:$H$2004)))</f>
        <v/>
      </c>
      <c r="J1518" s="21" t="str">
        <f aca="false">IF($A1518="","",IF(B1518=0,"No COD orders",IF(B1518&lt;Settings!$B$8,"Too few orders",IF(D1518&gt;=Settings!$B$9,"Restrict COD or verify","Keep COD"))))</f>
        <v/>
      </c>
    </row>
    <row r="1519" customFormat="false" ht="15" hidden="false" customHeight="false" outlineLevel="0" collapsed="false">
      <c r="A1519" s="27"/>
      <c r="B1519" s="17" t="str">
        <f aca="false">IF($A1519="","",COUNTIFS(Orders!$C$2:$C$20001,$A1519,Orders!$E$2:$E$20001,"COD",Orders!$F$2:$F$20001,"Delivered")+COUNTIFS(Orders!$C$2:$C$20001,$A1519,Orders!$E$2:$E$20001,"COD",Orders!$F$2:$F$20001,"RTO"))</f>
        <v/>
      </c>
      <c r="C1519" s="17" t="str">
        <f aca="false">IF($A1519="","",COUNTIFS(Orders!$C$2:$C$20001,$A1519,Orders!$E$2:$E$20001,"COD",Orders!$F$2:$F$20001,"RTO"))</f>
        <v/>
      </c>
      <c r="D1519" s="18" t="str">
        <f aca="false">IF($A1519="","",IFERROR(C1519/B1519,0))</f>
        <v/>
      </c>
      <c r="E1519" s="17" t="str">
        <f aca="false">IF($A1519="","",COUNTIFS(Orders!$C$2:$C$20001,$A1519,Orders!$E$2:$E$20001,"Prepaid",Orders!$F$2:$F$20001,"Delivered")+COUNTIFS(Orders!$C$2:$C$20001,$A1519,Orders!$E$2:$E$20001,"Prepaid",Orders!$F$2:$F$20001,"RTO"))</f>
        <v/>
      </c>
      <c r="F1519" s="17" t="str">
        <f aca="false">IF($A1519="","",COUNTIFS(Orders!$C$2:$C$20001,$A1519,Orders!$E$2:$E$20001,"Prepaid",Orders!$F$2:$F$20001,"RTO"))</f>
        <v/>
      </c>
      <c r="G1519" s="18" t="str">
        <f aca="false">IF($A1519="","",IFERROR(F1519/E1519,0))</f>
        <v/>
      </c>
      <c r="H1519" s="19" t="str">
        <f aca="false">IF($A1519="","",C1519*Settings!$B$11)</f>
        <v/>
      </c>
      <c r="I1519" s="20" t="str">
        <f aca="false">IF($A1519="","",IF(N(H1519)=0,"",RANK(H1519,$H$5:$H$2004)))</f>
        <v/>
      </c>
      <c r="J1519" s="21" t="str">
        <f aca="false">IF($A1519="","",IF(B1519=0,"No COD orders",IF(B1519&lt;Settings!$B$8,"Too few orders",IF(D1519&gt;=Settings!$B$9,"Restrict COD or verify","Keep COD"))))</f>
        <v/>
      </c>
    </row>
    <row r="1520" customFormat="false" ht="15" hidden="false" customHeight="false" outlineLevel="0" collapsed="false">
      <c r="A1520" s="27"/>
      <c r="B1520" s="17" t="str">
        <f aca="false">IF($A1520="","",COUNTIFS(Orders!$C$2:$C$20001,$A1520,Orders!$E$2:$E$20001,"COD",Orders!$F$2:$F$20001,"Delivered")+COUNTIFS(Orders!$C$2:$C$20001,$A1520,Orders!$E$2:$E$20001,"COD",Orders!$F$2:$F$20001,"RTO"))</f>
        <v/>
      </c>
      <c r="C1520" s="17" t="str">
        <f aca="false">IF($A1520="","",COUNTIFS(Orders!$C$2:$C$20001,$A1520,Orders!$E$2:$E$20001,"COD",Orders!$F$2:$F$20001,"RTO"))</f>
        <v/>
      </c>
      <c r="D1520" s="18" t="str">
        <f aca="false">IF($A1520="","",IFERROR(C1520/B1520,0))</f>
        <v/>
      </c>
      <c r="E1520" s="17" t="str">
        <f aca="false">IF($A1520="","",COUNTIFS(Orders!$C$2:$C$20001,$A1520,Orders!$E$2:$E$20001,"Prepaid",Orders!$F$2:$F$20001,"Delivered")+COUNTIFS(Orders!$C$2:$C$20001,$A1520,Orders!$E$2:$E$20001,"Prepaid",Orders!$F$2:$F$20001,"RTO"))</f>
        <v/>
      </c>
      <c r="F1520" s="17" t="str">
        <f aca="false">IF($A1520="","",COUNTIFS(Orders!$C$2:$C$20001,$A1520,Orders!$E$2:$E$20001,"Prepaid",Orders!$F$2:$F$20001,"RTO"))</f>
        <v/>
      </c>
      <c r="G1520" s="18" t="str">
        <f aca="false">IF($A1520="","",IFERROR(F1520/E1520,0))</f>
        <v/>
      </c>
      <c r="H1520" s="19" t="str">
        <f aca="false">IF($A1520="","",C1520*Settings!$B$11)</f>
        <v/>
      </c>
      <c r="I1520" s="20" t="str">
        <f aca="false">IF($A1520="","",IF(N(H1520)=0,"",RANK(H1520,$H$5:$H$2004)))</f>
        <v/>
      </c>
      <c r="J1520" s="21" t="str">
        <f aca="false">IF($A1520="","",IF(B1520=0,"No COD orders",IF(B1520&lt;Settings!$B$8,"Too few orders",IF(D1520&gt;=Settings!$B$9,"Restrict COD or verify","Keep COD"))))</f>
        <v/>
      </c>
    </row>
    <row r="1521" customFormat="false" ht="15" hidden="false" customHeight="false" outlineLevel="0" collapsed="false">
      <c r="A1521" s="27"/>
      <c r="B1521" s="17" t="str">
        <f aca="false">IF($A1521="","",COUNTIFS(Orders!$C$2:$C$20001,$A1521,Orders!$E$2:$E$20001,"COD",Orders!$F$2:$F$20001,"Delivered")+COUNTIFS(Orders!$C$2:$C$20001,$A1521,Orders!$E$2:$E$20001,"COD",Orders!$F$2:$F$20001,"RTO"))</f>
        <v/>
      </c>
      <c r="C1521" s="17" t="str">
        <f aca="false">IF($A1521="","",COUNTIFS(Orders!$C$2:$C$20001,$A1521,Orders!$E$2:$E$20001,"COD",Orders!$F$2:$F$20001,"RTO"))</f>
        <v/>
      </c>
      <c r="D1521" s="18" t="str">
        <f aca="false">IF($A1521="","",IFERROR(C1521/B1521,0))</f>
        <v/>
      </c>
      <c r="E1521" s="17" t="str">
        <f aca="false">IF($A1521="","",COUNTIFS(Orders!$C$2:$C$20001,$A1521,Orders!$E$2:$E$20001,"Prepaid",Orders!$F$2:$F$20001,"Delivered")+COUNTIFS(Orders!$C$2:$C$20001,$A1521,Orders!$E$2:$E$20001,"Prepaid",Orders!$F$2:$F$20001,"RTO"))</f>
        <v/>
      </c>
      <c r="F1521" s="17" t="str">
        <f aca="false">IF($A1521="","",COUNTIFS(Orders!$C$2:$C$20001,$A1521,Orders!$E$2:$E$20001,"Prepaid",Orders!$F$2:$F$20001,"RTO"))</f>
        <v/>
      </c>
      <c r="G1521" s="18" t="str">
        <f aca="false">IF($A1521="","",IFERROR(F1521/E1521,0))</f>
        <v/>
      </c>
      <c r="H1521" s="19" t="str">
        <f aca="false">IF($A1521="","",C1521*Settings!$B$11)</f>
        <v/>
      </c>
      <c r="I1521" s="20" t="str">
        <f aca="false">IF($A1521="","",IF(N(H1521)=0,"",RANK(H1521,$H$5:$H$2004)))</f>
        <v/>
      </c>
      <c r="J1521" s="21" t="str">
        <f aca="false">IF($A1521="","",IF(B1521=0,"No COD orders",IF(B1521&lt;Settings!$B$8,"Too few orders",IF(D1521&gt;=Settings!$B$9,"Restrict COD or verify","Keep COD"))))</f>
        <v/>
      </c>
    </row>
    <row r="1522" customFormat="false" ht="15" hidden="false" customHeight="false" outlineLevel="0" collapsed="false">
      <c r="A1522" s="27"/>
      <c r="B1522" s="17" t="str">
        <f aca="false">IF($A1522="","",COUNTIFS(Orders!$C$2:$C$20001,$A1522,Orders!$E$2:$E$20001,"COD",Orders!$F$2:$F$20001,"Delivered")+COUNTIFS(Orders!$C$2:$C$20001,$A1522,Orders!$E$2:$E$20001,"COD",Orders!$F$2:$F$20001,"RTO"))</f>
        <v/>
      </c>
      <c r="C1522" s="17" t="str">
        <f aca="false">IF($A1522="","",COUNTIFS(Orders!$C$2:$C$20001,$A1522,Orders!$E$2:$E$20001,"COD",Orders!$F$2:$F$20001,"RTO"))</f>
        <v/>
      </c>
      <c r="D1522" s="18" t="str">
        <f aca="false">IF($A1522="","",IFERROR(C1522/B1522,0))</f>
        <v/>
      </c>
      <c r="E1522" s="17" t="str">
        <f aca="false">IF($A1522="","",COUNTIFS(Orders!$C$2:$C$20001,$A1522,Orders!$E$2:$E$20001,"Prepaid",Orders!$F$2:$F$20001,"Delivered")+COUNTIFS(Orders!$C$2:$C$20001,$A1522,Orders!$E$2:$E$20001,"Prepaid",Orders!$F$2:$F$20001,"RTO"))</f>
        <v/>
      </c>
      <c r="F1522" s="17" t="str">
        <f aca="false">IF($A1522="","",COUNTIFS(Orders!$C$2:$C$20001,$A1522,Orders!$E$2:$E$20001,"Prepaid",Orders!$F$2:$F$20001,"RTO"))</f>
        <v/>
      </c>
      <c r="G1522" s="18" t="str">
        <f aca="false">IF($A1522="","",IFERROR(F1522/E1522,0))</f>
        <v/>
      </c>
      <c r="H1522" s="19" t="str">
        <f aca="false">IF($A1522="","",C1522*Settings!$B$11)</f>
        <v/>
      </c>
      <c r="I1522" s="20" t="str">
        <f aca="false">IF($A1522="","",IF(N(H1522)=0,"",RANK(H1522,$H$5:$H$2004)))</f>
        <v/>
      </c>
      <c r="J1522" s="21" t="str">
        <f aca="false">IF($A1522="","",IF(B1522=0,"No COD orders",IF(B1522&lt;Settings!$B$8,"Too few orders",IF(D1522&gt;=Settings!$B$9,"Restrict COD or verify","Keep COD"))))</f>
        <v/>
      </c>
    </row>
    <row r="1523" customFormat="false" ht="15" hidden="false" customHeight="false" outlineLevel="0" collapsed="false">
      <c r="A1523" s="27"/>
      <c r="B1523" s="17" t="str">
        <f aca="false">IF($A1523="","",COUNTIFS(Orders!$C$2:$C$20001,$A1523,Orders!$E$2:$E$20001,"COD",Orders!$F$2:$F$20001,"Delivered")+COUNTIFS(Orders!$C$2:$C$20001,$A1523,Orders!$E$2:$E$20001,"COD",Orders!$F$2:$F$20001,"RTO"))</f>
        <v/>
      </c>
      <c r="C1523" s="17" t="str">
        <f aca="false">IF($A1523="","",COUNTIFS(Orders!$C$2:$C$20001,$A1523,Orders!$E$2:$E$20001,"COD",Orders!$F$2:$F$20001,"RTO"))</f>
        <v/>
      </c>
      <c r="D1523" s="18" t="str">
        <f aca="false">IF($A1523="","",IFERROR(C1523/B1523,0))</f>
        <v/>
      </c>
      <c r="E1523" s="17" t="str">
        <f aca="false">IF($A1523="","",COUNTIFS(Orders!$C$2:$C$20001,$A1523,Orders!$E$2:$E$20001,"Prepaid",Orders!$F$2:$F$20001,"Delivered")+COUNTIFS(Orders!$C$2:$C$20001,$A1523,Orders!$E$2:$E$20001,"Prepaid",Orders!$F$2:$F$20001,"RTO"))</f>
        <v/>
      </c>
      <c r="F1523" s="17" t="str">
        <f aca="false">IF($A1523="","",COUNTIFS(Orders!$C$2:$C$20001,$A1523,Orders!$E$2:$E$20001,"Prepaid",Orders!$F$2:$F$20001,"RTO"))</f>
        <v/>
      </c>
      <c r="G1523" s="18" t="str">
        <f aca="false">IF($A1523="","",IFERROR(F1523/E1523,0))</f>
        <v/>
      </c>
      <c r="H1523" s="19" t="str">
        <f aca="false">IF($A1523="","",C1523*Settings!$B$11)</f>
        <v/>
      </c>
      <c r="I1523" s="20" t="str">
        <f aca="false">IF($A1523="","",IF(N(H1523)=0,"",RANK(H1523,$H$5:$H$2004)))</f>
        <v/>
      </c>
      <c r="J1523" s="21" t="str">
        <f aca="false">IF($A1523="","",IF(B1523=0,"No COD orders",IF(B1523&lt;Settings!$B$8,"Too few orders",IF(D1523&gt;=Settings!$B$9,"Restrict COD or verify","Keep COD"))))</f>
        <v/>
      </c>
    </row>
    <row r="1524" customFormat="false" ht="15" hidden="false" customHeight="false" outlineLevel="0" collapsed="false">
      <c r="A1524" s="27"/>
      <c r="B1524" s="17" t="str">
        <f aca="false">IF($A1524="","",COUNTIFS(Orders!$C$2:$C$20001,$A1524,Orders!$E$2:$E$20001,"COD",Orders!$F$2:$F$20001,"Delivered")+COUNTIFS(Orders!$C$2:$C$20001,$A1524,Orders!$E$2:$E$20001,"COD",Orders!$F$2:$F$20001,"RTO"))</f>
        <v/>
      </c>
      <c r="C1524" s="17" t="str">
        <f aca="false">IF($A1524="","",COUNTIFS(Orders!$C$2:$C$20001,$A1524,Orders!$E$2:$E$20001,"COD",Orders!$F$2:$F$20001,"RTO"))</f>
        <v/>
      </c>
      <c r="D1524" s="18" t="str">
        <f aca="false">IF($A1524="","",IFERROR(C1524/B1524,0))</f>
        <v/>
      </c>
      <c r="E1524" s="17" t="str">
        <f aca="false">IF($A1524="","",COUNTIFS(Orders!$C$2:$C$20001,$A1524,Orders!$E$2:$E$20001,"Prepaid",Orders!$F$2:$F$20001,"Delivered")+COUNTIFS(Orders!$C$2:$C$20001,$A1524,Orders!$E$2:$E$20001,"Prepaid",Orders!$F$2:$F$20001,"RTO"))</f>
        <v/>
      </c>
      <c r="F1524" s="17" t="str">
        <f aca="false">IF($A1524="","",COUNTIFS(Orders!$C$2:$C$20001,$A1524,Orders!$E$2:$E$20001,"Prepaid",Orders!$F$2:$F$20001,"RTO"))</f>
        <v/>
      </c>
      <c r="G1524" s="18" t="str">
        <f aca="false">IF($A1524="","",IFERROR(F1524/E1524,0))</f>
        <v/>
      </c>
      <c r="H1524" s="19" t="str">
        <f aca="false">IF($A1524="","",C1524*Settings!$B$11)</f>
        <v/>
      </c>
      <c r="I1524" s="20" t="str">
        <f aca="false">IF($A1524="","",IF(N(H1524)=0,"",RANK(H1524,$H$5:$H$2004)))</f>
        <v/>
      </c>
      <c r="J1524" s="21" t="str">
        <f aca="false">IF($A1524="","",IF(B1524=0,"No COD orders",IF(B1524&lt;Settings!$B$8,"Too few orders",IF(D1524&gt;=Settings!$B$9,"Restrict COD or verify","Keep COD"))))</f>
        <v/>
      </c>
    </row>
    <row r="1525" customFormat="false" ht="15" hidden="false" customHeight="false" outlineLevel="0" collapsed="false">
      <c r="A1525" s="27"/>
      <c r="B1525" s="17" t="str">
        <f aca="false">IF($A1525="","",COUNTIFS(Orders!$C$2:$C$20001,$A1525,Orders!$E$2:$E$20001,"COD",Orders!$F$2:$F$20001,"Delivered")+COUNTIFS(Orders!$C$2:$C$20001,$A1525,Orders!$E$2:$E$20001,"COD",Orders!$F$2:$F$20001,"RTO"))</f>
        <v/>
      </c>
      <c r="C1525" s="17" t="str">
        <f aca="false">IF($A1525="","",COUNTIFS(Orders!$C$2:$C$20001,$A1525,Orders!$E$2:$E$20001,"COD",Orders!$F$2:$F$20001,"RTO"))</f>
        <v/>
      </c>
      <c r="D1525" s="18" t="str">
        <f aca="false">IF($A1525="","",IFERROR(C1525/B1525,0))</f>
        <v/>
      </c>
      <c r="E1525" s="17" t="str">
        <f aca="false">IF($A1525="","",COUNTIFS(Orders!$C$2:$C$20001,$A1525,Orders!$E$2:$E$20001,"Prepaid",Orders!$F$2:$F$20001,"Delivered")+COUNTIFS(Orders!$C$2:$C$20001,$A1525,Orders!$E$2:$E$20001,"Prepaid",Orders!$F$2:$F$20001,"RTO"))</f>
        <v/>
      </c>
      <c r="F1525" s="17" t="str">
        <f aca="false">IF($A1525="","",COUNTIFS(Orders!$C$2:$C$20001,$A1525,Orders!$E$2:$E$20001,"Prepaid",Orders!$F$2:$F$20001,"RTO"))</f>
        <v/>
      </c>
      <c r="G1525" s="18" t="str">
        <f aca="false">IF($A1525="","",IFERROR(F1525/E1525,0))</f>
        <v/>
      </c>
      <c r="H1525" s="19" t="str">
        <f aca="false">IF($A1525="","",C1525*Settings!$B$11)</f>
        <v/>
      </c>
      <c r="I1525" s="20" t="str">
        <f aca="false">IF($A1525="","",IF(N(H1525)=0,"",RANK(H1525,$H$5:$H$2004)))</f>
        <v/>
      </c>
      <c r="J1525" s="21" t="str">
        <f aca="false">IF($A1525="","",IF(B1525=0,"No COD orders",IF(B1525&lt;Settings!$B$8,"Too few orders",IF(D1525&gt;=Settings!$B$9,"Restrict COD or verify","Keep COD"))))</f>
        <v/>
      </c>
    </row>
    <row r="1526" customFormat="false" ht="15" hidden="false" customHeight="false" outlineLevel="0" collapsed="false">
      <c r="A1526" s="27"/>
      <c r="B1526" s="17" t="str">
        <f aca="false">IF($A1526="","",COUNTIFS(Orders!$C$2:$C$20001,$A1526,Orders!$E$2:$E$20001,"COD",Orders!$F$2:$F$20001,"Delivered")+COUNTIFS(Orders!$C$2:$C$20001,$A1526,Orders!$E$2:$E$20001,"COD",Orders!$F$2:$F$20001,"RTO"))</f>
        <v/>
      </c>
      <c r="C1526" s="17" t="str">
        <f aca="false">IF($A1526="","",COUNTIFS(Orders!$C$2:$C$20001,$A1526,Orders!$E$2:$E$20001,"COD",Orders!$F$2:$F$20001,"RTO"))</f>
        <v/>
      </c>
      <c r="D1526" s="18" t="str">
        <f aca="false">IF($A1526="","",IFERROR(C1526/B1526,0))</f>
        <v/>
      </c>
      <c r="E1526" s="17" t="str">
        <f aca="false">IF($A1526="","",COUNTIFS(Orders!$C$2:$C$20001,$A1526,Orders!$E$2:$E$20001,"Prepaid",Orders!$F$2:$F$20001,"Delivered")+COUNTIFS(Orders!$C$2:$C$20001,$A1526,Orders!$E$2:$E$20001,"Prepaid",Orders!$F$2:$F$20001,"RTO"))</f>
        <v/>
      </c>
      <c r="F1526" s="17" t="str">
        <f aca="false">IF($A1526="","",COUNTIFS(Orders!$C$2:$C$20001,$A1526,Orders!$E$2:$E$20001,"Prepaid",Orders!$F$2:$F$20001,"RTO"))</f>
        <v/>
      </c>
      <c r="G1526" s="18" t="str">
        <f aca="false">IF($A1526="","",IFERROR(F1526/E1526,0))</f>
        <v/>
      </c>
      <c r="H1526" s="19" t="str">
        <f aca="false">IF($A1526="","",C1526*Settings!$B$11)</f>
        <v/>
      </c>
      <c r="I1526" s="20" t="str">
        <f aca="false">IF($A1526="","",IF(N(H1526)=0,"",RANK(H1526,$H$5:$H$2004)))</f>
        <v/>
      </c>
      <c r="J1526" s="21" t="str">
        <f aca="false">IF($A1526="","",IF(B1526=0,"No COD orders",IF(B1526&lt;Settings!$B$8,"Too few orders",IF(D1526&gt;=Settings!$B$9,"Restrict COD or verify","Keep COD"))))</f>
        <v/>
      </c>
    </row>
    <row r="1527" customFormat="false" ht="15" hidden="false" customHeight="false" outlineLevel="0" collapsed="false">
      <c r="A1527" s="27"/>
      <c r="B1527" s="17" t="str">
        <f aca="false">IF($A1527="","",COUNTIFS(Orders!$C$2:$C$20001,$A1527,Orders!$E$2:$E$20001,"COD",Orders!$F$2:$F$20001,"Delivered")+COUNTIFS(Orders!$C$2:$C$20001,$A1527,Orders!$E$2:$E$20001,"COD",Orders!$F$2:$F$20001,"RTO"))</f>
        <v/>
      </c>
      <c r="C1527" s="17" t="str">
        <f aca="false">IF($A1527="","",COUNTIFS(Orders!$C$2:$C$20001,$A1527,Orders!$E$2:$E$20001,"COD",Orders!$F$2:$F$20001,"RTO"))</f>
        <v/>
      </c>
      <c r="D1527" s="18" t="str">
        <f aca="false">IF($A1527="","",IFERROR(C1527/B1527,0))</f>
        <v/>
      </c>
      <c r="E1527" s="17" t="str">
        <f aca="false">IF($A1527="","",COUNTIFS(Orders!$C$2:$C$20001,$A1527,Orders!$E$2:$E$20001,"Prepaid",Orders!$F$2:$F$20001,"Delivered")+COUNTIFS(Orders!$C$2:$C$20001,$A1527,Orders!$E$2:$E$20001,"Prepaid",Orders!$F$2:$F$20001,"RTO"))</f>
        <v/>
      </c>
      <c r="F1527" s="17" t="str">
        <f aca="false">IF($A1527="","",COUNTIFS(Orders!$C$2:$C$20001,$A1527,Orders!$E$2:$E$20001,"Prepaid",Orders!$F$2:$F$20001,"RTO"))</f>
        <v/>
      </c>
      <c r="G1527" s="18" t="str">
        <f aca="false">IF($A1527="","",IFERROR(F1527/E1527,0))</f>
        <v/>
      </c>
      <c r="H1527" s="19" t="str">
        <f aca="false">IF($A1527="","",C1527*Settings!$B$11)</f>
        <v/>
      </c>
      <c r="I1527" s="20" t="str">
        <f aca="false">IF($A1527="","",IF(N(H1527)=0,"",RANK(H1527,$H$5:$H$2004)))</f>
        <v/>
      </c>
      <c r="J1527" s="21" t="str">
        <f aca="false">IF($A1527="","",IF(B1527=0,"No COD orders",IF(B1527&lt;Settings!$B$8,"Too few orders",IF(D1527&gt;=Settings!$B$9,"Restrict COD or verify","Keep COD"))))</f>
        <v/>
      </c>
    </row>
    <row r="1528" customFormat="false" ht="15" hidden="false" customHeight="false" outlineLevel="0" collapsed="false">
      <c r="A1528" s="27"/>
      <c r="B1528" s="17" t="str">
        <f aca="false">IF($A1528="","",COUNTIFS(Orders!$C$2:$C$20001,$A1528,Orders!$E$2:$E$20001,"COD",Orders!$F$2:$F$20001,"Delivered")+COUNTIFS(Orders!$C$2:$C$20001,$A1528,Orders!$E$2:$E$20001,"COD",Orders!$F$2:$F$20001,"RTO"))</f>
        <v/>
      </c>
      <c r="C1528" s="17" t="str">
        <f aca="false">IF($A1528="","",COUNTIFS(Orders!$C$2:$C$20001,$A1528,Orders!$E$2:$E$20001,"COD",Orders!$F$2:$F$20001,"RTO"))</f>
        <v/>
      </c>
      <c r="D1528" s="18" t="str">
        <f aca="false">IF($A1528="","",IFERROR(C1528/B1528,0))</f>
        <v/>
      </c>
      <c r="E1528" s="17" t="str">
        <f aca="false">IF($A1528="","",COUNTIFS(Orders!$C$2:$C$20001,$A1528,Orders!$E$2:$E$20001,"Prepaid",Orders!$F$2:$F$20001,"Delivered")+COUNTIFS(Orders!$C$2:$C$20001,$A1528,Orders!$E$2:$E$20001,"Prepaid",Orders!$F$2:$F$20001,"RTO"))</f>
        <v/>
      </c>
      <c r="F1528" s="17" t="str">
        <f aca="false">IF($A1528="","",COUNTIFS(Orders!$C$2:$C$20001,$A1528,Orders!$E$2:$E$20001,"Prepaid",Orders!$F$2:$F$20001,"RTO"))</f>
        <v/>
      </c>
      <c r="G1528" s="18" t="str">
        <f aca="false">IF($A1528="","",IFERROR(F1528/E1528,0))</f>
        <v/>
      </c>
      <c r="H1528" s="19" t="str">
        <f aca="false">IF($A1528="","",C1528*Settings!$B$11)</f>
        <v/>
      </c>
      <c r="I1528" s="20" t="str">
        <f aca="false">IF($A1528="","",IF(N(H1528)=0,"",RANK(H1528,$H$5:$H$2004)))</f>
        <v/>
      </c>
      <c r="J1528" s="21" t="str">
        <f aca="false">IF($A1528="","",IF(B1528=0,"No COD orders",IF(B1528&lt;Settings!$B$8,"Too few orders",IF(D1528&gt;=Settings!$B$9,"Restrict COD or verify","Keep COD"))))</f>
        <v/>
      </c>
    </row>
    <row r="1529" customFormat="false" ht="15" hidden="false" customHeight="false" outlineLevel="0" collapsed="false">
      <c r="A1529" s="27"/>
      <c r="B1529" s="17" t="str">
        <f aca="false">IF($A1529="","",COUNTIFS(Orders!$C$2:$C$20001,$A1529,Orders!$E$2:$E$20001,"COD",Orders!$F$2:$F$20001,"Delivered")+COUNTIFS(Orders!$C$2:$C$20001,$A1529,Orders!$E$2:$E$20001,"COD",Orders!$F$2:$F$20001,"RTO"))</f>
        <v/>
      </c>
      <c r="C1529" s="17" t="str">
        <f aca="false">IF($A1529="","",COUNTIFS(Orders!$C$2:$C$20001,$A1529,Orders!$E$2:$E$20001,"COD",Orders!$F$2:$F$20001,"RTO"))</f>
        <v/>
      </c>
      <c r="D1529" s="18" t="str">
        <f aca="false">IF($A1529="","",IFERROR(C1529/B1529,0))</f>
        <v/>
      </c>
      <c r="E1529" s="17" t="str">
        <f aca="false">IF($A1529="","",COUNTIFS(Orders!$C$2:$C$20001,$A1529,Orders!$E$2:$E$20001,"Prepaid",Orders!$F$2:$F$20001,"Delivered")+COUNTIFS(Orders!$C$2:$C$20001,$A1529,Orders!$E$2:$E$20001,"Prepaid",Orders!$F$2:$F$20001,"RTO"))</f>
        <v/>
      </c>
      <c r="F1529" s="17" t="str">
        <f aca="false">IF($A1529="","",COUNTIFS(Orders!$C$2:$C$20001,$A1529,Orders!$E$2:$E$20001,"Prepaid",Orders!$F$2:$F$20001,"RTO"))</f>
        <v/>
      </c>
      <c r="G1529" s="18" t="str">
        <f aca="false">IF($A1529="","",IFERROR(F1529/E1529,0))</f>
        <v/>
      </c>
      <c r="H1529" s="19" t="str">
        <f aca="false">IF($A1529="","",C1529*Settings!$B$11)</f>
        <v/>
      </c>
      <c r="I1529" s="20" t="str">
        <f aca="false">IF($A1529="","",IF(N(H1529)=0,"",RANK(H1529,$H$5:$H$2004)))</f>
        <v/>
      </c>
      <c r="J1529" s="21" t="str">
        <f aca="false">IF($A1529="","",IF(B1529=0,"No COD orders",IF(B1529&lt;Settings!$B$8,"Too few orders",IF(D1529&gt;=Settings!$B$9,"Restrict COD or verify","Keep COD"))))</f>
        <v/>
      </c>
    </row>
    <row r="1530" customFormat="false" ht="15" hidden="false" customHeight="false" outlineLevel="0" collapsed="false">
      <c r="A1530" s="27"/>
      <c r="B1530" s="17" t="str">
        <f aca="false">IF($A1530="","",COUNTIFS(Orders!$C$2:$C$20001,$A1530,Orders!$E$2:$E$20001,"COD",Orders!$F$2:$F$20001,"Delivered")+COUNTIFS(Orders!$C$2:$C$20001,$A1530,Orders!$E$2:$E$20001,"COD",Orders!$F$2:$F$20001,"RTO"))</f>
        <v/>
      </c>
      <c r="C1530" s="17" t="str">
        <f aca="false">IF($A1530="","",COUNTIFS(Orders!$C$2:$C$20001,$A1530,Orders!$E$2:$E$20001,"COD",Orders!$F$2:$F$20001,"RTO"))</f>
        <v/>
      </c>
      <c r="D1530" s="18" t="str">
        <f aca="false">IF($A1530="","",IFERROR(C1530/B1530,0))</f>
        <v/>
      </c>
      <c r="E1530" s="17" t="str">
        <f aca="false">IF($A1530="","",COUNTIFS(Orders!$C$2:$C$20001,$A1530,Orders!$E$2:$E$20001,"Prepaid",Orders!$F$2:$F$20001,"Delivered")+COUNTIFS(Orders!$C$2:$C$20001,$A1530,Orders!$E$2:$E$20001,"Prepaid",Orders!$F$2:$F$20001,"RTO"))</f>
        <v/>
      </c>
      <c r="F1530" s="17" t="str">
        <f aca="false">IF($A1530="","",COUNTIFS(Orders!$C$2:$C$20001,$A1530,Orders!$E$2:$E$20001,"Prepaid",Orders!$F$2:$F$20001,"RTO"))</f>
        <v/>
      </c>
      <c r="G1530" s="18" t="str">
        <f aca="false">IF($A1530="","",IFERROR(F1530/E1530,0))</f>
        <v/>
      </c>
      <c r="H1530" s="19" t="str">
        <f aca="false">IF($A1530="","",C1530*Settings!$B$11)</f>
        <v/>
      </c>
      <c r="I1530" s="20" t="str">
        <f aca="false">IF($A1530="","",IF(N(H1530)=0,"",RANK(H1530,$H$5:$H$2004)))</f>
        <v/>
      </c>
      <c r="J1530" s="21" t="str">
        <f aca="false">IF($A1530="","",IF(B1530=0,"No COD orders",IF(B1530&lt;Settings!$B$8,"Too few orders",IF(D1530&gt;=Settings!$B$9,"Restrict COD or verify","Keep COD"))))</f>
        <v/>
      </c>
    </row>
    <row r="1531" customFormat="false" ht="15" hidden="false" customHeight="false" outlineLevel="0" collapsed="false">
      <c r="A1531" s="27"/>
      <c r="B1531" s="17" t="str">
        <f aca="false">IF($A1531="","",COUNTIFS(Orders!$C$2:$C$20001,$A1531,Orders!$E$2:$E$20001,"COD",Orders!$F$2:$F$20001,"Delivered")+COUNTIFS(Orders!$C$2:$C$20001,$A1531,Orders!$E$2:$E$20001,"COD",Orders!$F$2:$F$20001,"RTO"))</f>
        <v/>
      </c>
      <c r="C1531" s="17" t="str">
        <f aca="false">IF($A1531="","",COUNTIFS(Orders!$C$2:$C$20001,$A1531,Orders!$E$2:$E$20001,"COD",Orders!$F$2:$F$20001,"RTO"))</f>
        <v/>
      </c>
      <c r="D1531" s="18" t="str">
        <f aca="false">IF($A1531="","",IFERROR(C1531/B1531,0))</f>
        <v/>
      </c>
      <c r="E1531" s="17" t="str">
        <f aca="false">IF($A1531="","",COUNTIFS(Orders!$C$2:$C$20001,$A1531,Orders!$E$2:$E$20001,"Prepaid",Orders!$F$2:$F$20001,"Delivered")+COUNTIFS(Orders!$C$2:$C$20001,$A1531,Orders!$E$2:$E$20001,"Prepaid",Orders!$F$2:$F$20001,"RTO"))</f>
        <v/>
      </c>
      <c r="F1531" s="17" t="str">
        <f aca="false">IF($A1531="","",COUNTIFS(Orders!$C$2:$C$20001,$A1531,Orders!$E$2:$E$20001,"Prepaid",Orders!$F$2:$F$20001,"RTO"))</f>
        <v/>
      </c>
      <c r="G1531" s="18" t="str">
        <f aca="false">IF($A1531="","",IFERROR(F1531/E1531,0))</f>
        <v/>
      </c>
      <c r="H1531" s="19" t="str">
        <f aca="false">IF($A1531="","",C1531*Settings!$B$11)</f>
        <v/>
      </c>
      <c r="I1531" s="20" t="str">
        <f aca="false">IF($A1531="","",IF(N(H1531)=0,"",RANK(H1531,$H$5:$H$2004)))</f>
        <v/>
      </c>
      <c r="J1531" s="21" t="str">
        <f aca="false">IF($A1531="","",IF(B1531=0,"No COD orders",IF(B1531&lt;Settings!$B$8,"Too few orders",IF(D1531&gt;=Settings!$B$9,"Restrict COD or verify","Keep COD"))))</f>
        <v/>
      </c>
    </row>
    <row r="1532" customFormat="false" ht="15" hidden="false" customHeight="false" outlineLevel="0" collapsed="false">
      <c r="A1532" s="27"/>
      <c r="B1532" s="17" t="str">
        <f aca="false">IF($A1532="","",COUNTIFS(Orders!$C$2:$C$20001,$A1532,Orders!$E$2:$E$20001,"COD",Orders!$F$2:$F$20001,"Delivered")+COUNTIFS(Orders!$C$2:$C$20001,$A1532,Orders!$E$2:$E$20001,"COD",Orders!$F$2:$F$20001,"RTO"))</f>
        <v/>
      </c>
      <c r="C1532" s="17" t="str">
        <f aca="false">IF($A1532="","",COUNTIFS(Orders!$C$2:$C$20001,$A1532,Orders!$E$2:$E$20001,"COD",Orders!$F$2:$F$20001,"RTO"))</f>
        <v/>
      </c>
      <c r="D1532" s="18" t="str">
        <f aca="false">IF($A1532="","",IFERROR(C1532/B1532,0))</f>
        <v/>
      </c>
      <c r="E1532" s="17" t="str">
        <f aca="false">IF($A1532="","",COUNTIFS(Orders!$C$2:$C$20001,$A1532,Orders!$E$2:$E$20001,"Prepaid",Orders!$F$2:$F$20001,"Delivered")+COUNTIFS(Orders!$C$2:$C$20001,$A1532,Orders!$E$2:$E$20001,"Prepaid",Orders!$F$2:$F$20001,"RTO"))</f>
        <v/>
      </c>
      <c r="F1532" s="17" t="str">
        <f aca="false">IF($A1532="","",COUNTIFS(Orders!$C$2:$C$20001,$A1532,Orders!$E$2:$E$20001,"Prepaid",Orders!$F$2:$F$20001,"RTO"))</f>
        <v/>
      </c>
      <c r="G1532" s="18" t="str">
        <f aca="false">IF($A1532="","",IFERROR(F1532/E1532,0))</f>
        <v/>
      </c>
      <c r="H1532" s="19" t="str">
        <f aca="false">IF($A1532="","",C1532*Settings!$B$11)</f>
        <v/>
      </c>
      <c r="I1532" s="20" t="str">
        <f aca="false">IF($A1532="","",IF(N(H1532)=0,"",RANK(H1532,$H$5:$H$2004)))</f>
        <v/>
      </c>
      <c r="J1532" s="21" t="str">
        <f aca="false">IF($A1532="","",IF(B1532=0,"No COD orders",IF(B1532&lt;Settings!$B$8,"Too few orders",IF(D1532&gt;=Settings!$B$9,"Restrict COD or verify","Keep COD"))))</f>
        <v/>
      </c>
    </row>
    <row r="1533" customFormat="false" ht="15" hidden="false" customHeight="false" outlineLevel="0" collapsed="false">
      <c r="A1533" s="27"/>
      <c r="B1533" s="17" t="str">
        <f aca="false">IF($A1533="","",COUNTIFS(Orders!$C$2:$C$20001,$A1533,Orders!$E$2:$E$20001,"COD",Orders!$F$2:$F$20001,"Delivered")+COUNTIFS(Orders!$C$2:$C$20001,$A1533,Orders!$E$2:$E$20001,"COD",Orders!$F$2:$F$20001,"RTO"))</f>
        <v/>
      </c>
      <c r="C1533" s="17" t="str">
        <f aca="false">IF($A1533="","",COUNTIFS(Orders!$C$2:$C$20001,$A1533,Orders!$E$2:$E$20001,"COD",Orders!$F$2:$F$20001,"RTO"))</f>
        <v/>
      </c>
      <c r="D1533" s="18" t="str">
        <f aca="false">IF($A1533="","",IFERROR(C1533/B1533,0))</f>
        <v/>
      </c>
      <c r="E1533" s="17" t="str">
        <f aca="false">IF($A1533="","",COUNTIFS(Orders!$C$2:$C$20001,$A1533,Orders!$E$2:$E$20001,"Prepaid",Orders!$F$2:$F$20001,"Delivered")+COUNTIFS(Orders!$C$2:$C$20001,$A1533,Orders!$E$2:$E$20001,"Prepaid",Orders!$F$2:$F$20001,"RTO"))</f>
        <v/>
      </c>
      <c r="F1533" s="17" t="str">
        <f aca="false">IF($A1533="","",COUNTIFS(Orders!$C$2:$C$20001,$A1533,Orders!$E$2:$E$20001,"Prepaid",Orders!$F$2:$F$20001,"RTO"))</f>
        <v/>
      </c>
      <c r="G1533" s="18" t="str">
        <f aca="false">IF($A1533="","",IFERROR(F1533/E1533,0))</f>
        <v/>
      </c>
      <c r="H1533" s="19" t="str">
        <f aca="false">IF($A1533="","",C1533*Settings!$B$11)</f>
        <v/>
      </c>
      <c r="I1533" s="20" t="str">
        <f aca="false">IF($A1533="","",IF(N(H1533)=0,"",RANK(H1533,$H$5:$H$2004)))</f>
        <v/>
      </c>
      <c r="J1533" s="21" t="str">
        <f aca="false">IF($A1533="","",IF(B1533=0,"No COD orders",IF(B1533&lt;Settings!$B$8,"Too few orders",IF(D1533&gt;=Settings!$B$9,"Restrict COD or verify","Keep COD"))))</f>
        <v/>
      </c>
    </row>
    <row r="1534" customFormat="false" ht="15" hidden="false" customHeight="false" outlineLevel="0" collapsed="false">
      <c r="A1534" s="27"/>
      <c r="B1534" s="17" t="str">
        <f aca="false">IF($A1534="","",COUNTIFS(Orders!$C$2:$C$20001,$A1534,Orders!$E$2:$E$20001,"COD",Orders!$F$2:$F$20001,"Delivered")+COUNTIFS(Orders!$C$2:$C$20001,$A1534,Orders!$E$2:$E$20001,"COD",Orders!$F$2:$F$20001,"RTO"))</f>
        <v/>
      </c>
      <c r="C1534" s="17" t="str">
        <f aca="false">IF($A1534="","",COUNTIFS(Orders!$C$2:$C$20001,$A1534,Orders!$E$2:$E$20001,"COD",Orders!$F$2:$F$20001,"RTO"))</f>
        <v/>
      </c>
      <c r="D1534" s="18" t="str">
        <f aca="false">IF($A1534="","",IFERROR(C1534/B1534,0))</f>
        <v/>
      </c>
      <c r="E1534" s="17" t="str">
        <f aca="false">IF($A1534="","",COUNTIFS(Orders!$C$2:$C$20001,$A1534,Orders!$E$2:$E$20001,"Prepaid",Orders!$F$2:$F$20001,"Delivered")+COUNTIFS(Orders!$C$2:$C$20001,$A1534,Orders!$E$2:$E$20001,"Prepaid",Orders!$F$2:$F$20001,"RTO"))</f>
        <v/>
      </c>
      <c r="F1534" s="17" t="str">
        <f aca="false">IF($A1534="","",COUNTIFS(Orders!$C$2:$C$20001,$A1534,Orders!$E$2:$E$20001,"Prepaid",Orders!$F$2:$F$20001,"RTO"))</f>
        <v/>
      </c>
      <c r="G1534" s="18" t="str">
        <f aca="false">IF($A1534="","",IFERROR(F1534/E1534,0))</f>
        <v/>
      </c>
      <c r="H1534" s="19" t="str">
        <f aca="false">IF($A1534="","",C1534*Settings!$B$11)</f>
        <v/>
      </c>
      <c r="I1534" s="20" t="str">
        <f aca="false">IF($A1534="","",IF(N(H1534)=0,"",RANK(H1534,$H$5:$H$2004)))</f>
        <v/>
      </c>
      <c r="J1534" s="21" t="str">
        <f aca="false">IF($A1534="","",IF(B1534=0,"No COD orders",IF(B1534&lt;Settings!$B$8,"Too few orders",IF(D1534&gt;=Settings!$B$9,"Restrict COD or verify","Keep COD"))))</f>
        <v/>
      </c>
    </row>
    <row r="1535" customFormat="false" ht="15" hidden="false" customHeight="false" outlineLevel="0" collapsed="false">
      <c r="A1535" s="27"/>
      <c r="B1535" s="17" t="str">
        <f aca="false">IF($A1535="","",COUNTIFS(Orders!$C$2:$C$20001,$A1535,Orders!$E$2:$E$20001,"COD",Orders!$F$2:$F$20001,"Delivered")+COUNTIFS(Orders!$C$2:$C$20001,$A1535,Orders!$E$2:$E$20001,"COD",Orders!$F$2:$F$20001,"RTO"))</f>
        <v/>
      </c>
      <c r="C1535" s="17" t="str">
        <f aca="false">IF($A1535="","",COUNTIFS(Orders!$C$2:$C$20001,$A1535,Orders!$E$2:$E$20001,"COD",Orders!$F$2:$F$20001,"RTO"))</f>
        <v/>
      </c>
      <c r="D1535" s="18" t="str">
        <f aca="false">IF($A1535="","",IFERROR(C1535/B1535,0))</f>
        <v/>
      </c>
      <c r="E1535" s="17" t="str">
        <f aca="false">IF($A1535="","",COUNTIFS(Orders!$C$2:$C$20001,$A1535,Orders!$E$2:$E$20001,"Prepaid",Orders!$F$2:$F$20001,"Delivered")+COUNTIFS(Orders!$C$2:$C$20001,$A1535,Orders!$E$2:$E$20001,"Prepaid",Orders!$F$2:$F$20001,"RTO"))</f>
        <v/>
      </c>
      <c r="F1535" s="17" t="str">
        <f aca="false">IF($A1535="","",COUNTIFS(Orders!$C$2:$C$20001,$A1535,Orders!$E$2:$E$20001,"Prepaid",Orders!$F$2:$F$20001,"RTO"))</f>
        <v/>
      </c>
      <c r="G1535" s="18" t="str">
        <f aca="false">IF($A1535="","",IFERROR(F1535/E1535,0))</f>
        <v/>
      </c>
      <c r="H1535" s="19" t="str">
        <f aca="false">IF($A1535="","",C1535*Settings!$B$11)</f>
        <v/>
      </c>
      <c r="I1535" s="20" t="str">
        <f aca="false">IF($A1535="","",IF(N(H1535)=0,"",RANK(H1535,$H$5:$H$2004)))</f>
        <v/>
      </c>
      <c r="J1535" s="21" t="str">
        <f aca="false">IF($A1535="","",IF(B1535=0,"No COD orders",IF(B1535&lt;Settings!$B$8,"Too few orders",IF(D1535&gt;=Settings!$B$9,"Restrict COD or verify","Keep COD"))))</f>
        <v/>
      </c>
    </row>
    <row r="1536" customFormat="false" ht="15" hidden="false" customHeight="false" outlineLevel="0" collapsed="false">
      <c r="A1536" s="27"/>
      <c r="B1536" s="17" t="str">
        <f aca="false">IF($A1536="","",COUNTIFS(Orders!$C$2:$C$20001,$A1536,Orders!$E$2:$E$20001,"COD",Orders!$F$2:$F$20001,"Delivered")+COUNTIFS(Orders!$C$2:$C$20001,$A1536,Orders!$E$2:$E$20001,"COD",Orders!$F$2:$F$20001,"RTO"))</f>
        <v/>
      </c>
      <c r="C1536" s="17" t="str">
        <f aca="false">IF($A1536="","",COUNTIFS(Orders!$C$2:$C$20001,$A1536,Orders!$E$2:$E$20001,"COD",Orders!$F$2:$F$20001,"RTO"))</f>
        <v/>
      </c>
      <c r="D1536" s="18" t="str">
        <f aca="false">IF($A1536="","",IFERROR(C1536/B1536,0))</f>
        <v/>
      </c>
      <c r="E1536" s="17" t="str">
        <f aca="false">IF($A1536="","",COUNTIFS(Orders!$C$2:$C$20001,$A1536,Orders!$E$2:$E$20001,"Prepaid",Orders!$F$2:$F$20001,"Delivered")+COUNTIFS(Orders!$C$2:$C$20001,$A1536,Orders!$E$2:$E$20001,"Prepaid",Orders!$F$2:$F$20001,"RTO"))</f>
        <v/>
      </c>
      <c r="F1536" s="17" t="str">
        <f aca="false">IF($A1536="","",COUNTIFS(Orders!$C$2:$C$20001,$A1536,Orders!$E$2:$E$20001,"Prepaid",Orders!$F$2:$F$20001,"RTO"))</f>
        <v/>
      </c>
      <c r="G1536" s="18" t="str">
        <f aca="false">IF($A1536="","",IFERROR(F1536/E1536,0))</f>
        <v/>
      </c>
      <c r="H1536" s="19" t="str">
        <f aca="false">IF($A1536="","",C1536*Settings!$B$11)</f>
        <v/>
      </c>
      <c r="I1536" s="20" t="str">
        <f aca="false">IF($A1536="","",IF(N(H1536)=0,"",RANK(H1536,$H$5:$H$2004)))</f>
        <v/>
      </c>
      <c r="J1536" s="21" t="str">
        <f aca="false">IF($A1536="","",IF(B1536=0,"No COD orders",IF(B1536&lt;Settings!$B$8,"Too few orders",IF(D1536&gt;=Settings!$B$9,"Restrict COD or verify","Keep COD"))))</f>
        <v/>
      </c>
    </row>
    <row r="1537" customFormat="false" ht="15" hidden="false" customHeight="false" outlineLevel="0" collapsed="false">
      <c r="A1537" s="27"/>
      <c r="B1537" s="17" t="str">
        <f aca="false">IF($A1537="","",COUNTIFS(Orders!$C$2:$C$20001,$A1537,Orders!$E$2:$E$20001,"COD",Orders!$F$2:$F$20001,"Delivered")+COUNTIFS(Orders!$C$2:$C$20001,$A1537,Orders!$E$2:$E$20001,"COD",Orders!$F$2:$F$20001,"RTO"))</f>
        <v/>
      </c>
      <c r="C1537" s="17" t="str">
        <f aca="false">IF($A1537="","",COUNTIFS(Orders!$C$2:$C$20001,$A1537,Orders!$E$2:$E$20001,"COD",Orders!$F$2:$F$20001,"RTO"))</f>
        <v/>
      </c>
      <c r="D1537" s="18" t="str">
        <f aca="false">IF($A1537="","",IFERROR(C1537/B1537,0))</f>
        <v/>
      </c>
      <c r="E1537" s="17" t="str">
        <f aca="false">IF($A1537="","",COUNTIFS(Orders!$C$2:$C$20001,$A1537,Orders!$E$2:$E$20001,"Prepaid",Orders!$F$2:$F$20001,"Delivered")+COUNTIFS(Orders!$C$2:$C$20001,$A1537,Orders!$E$2:$E$20001,"Prepaid",Orders!$F$2:$F$20001,"RTO"))</f>
        <v/>
      </c>
      <c r="F1537" s="17" t="str">
        <f aca="false">IF($A1537="","",COUNTIFS(Orders!$C$2:$C$20001,$A1537,Orders!$E$2:$E$20001,"Prepaid",Orders!$F$2:$F$20001,"RTO"))</f>
        <v/>
      </c>
      <c r="G1537" s="18" t="str">
        <f aca="false">IF($A1537="","",IFERROR(F1537/E1537,0))</f>
        <v/>
      </c>
      <c r="H1537" s="19" t="str">
        <f aca="false">IF($A1537="","",C1537*Settings!$B$11)</f>
        <v/>
      </c>
      <c r="I1537" s="20" t="str">
        <f aca="false">IF($A1537="","",IF(N(H1537)=0,"",RANK(H1537,$H$5:$H$2004)))</f>
        <v/>
      </c>
      <c r="J1537" s="21" t="str">
        <f aca="false">IF($A1537="","",IF(B1537=0,"No COD orders",IF(B1537&lt;Settings!$B$8,"Too few orders",IF(D1537&gt;=Settings!$B$9,"Restrict COD or verify","Keep COD"))))</f>
        <v/>
      </c>
    </row>
    <row r="1538" customFormat="false" ht="15" hidden="false" customHeight="false" outlineLevel="0" collapsed="false">
      <c r="A1538" s="27"/>
      <c r="B1538" s="17" t="str">
        <f aca="false">IF($A1538="","",COUNTIFS(Orders!$C$2:$C$20001,$A1538,Orders!$E$2:$E$20001,"COD",Orders!$F$2:$F$20001,"Delivered")+COUNTIFS(Orders!$C$2:$C$20001,$A1538,Orders!$E$2:$E$20001,"COD",Orders!$F$2:$F$20001,"RTO"))</f>
        <v/>
      </c>
      <c r="C1538" s="17" t="str">
        <f aca="false">IF($A1538="","",COUNTIFS(Orders!$C$2:$C$20001,$A1538,Orders!$E$2:$E$20001,"COD",Orders!$F$2:$F$20001,"RTO"))</f>
        <v/>
      </c>
      <c r="D1538" s="18" t="str">
        <f aca="false">IF($A1538="","",IFERROR(C1538/B1538,0))</f>
        <v/>
      </c>
      <c r="E1538" s="17" t="str">
        <f aca="false">IF($A1538="","",COUNTIFS(Orders!$C$2:$C$20001,$A1538,Orders!$E$2:$E$20001,"Prepaid",Orders!$F$2:$F$20001,"Delivered")+COUNTIFS(Orders!$C$2:$C$20001,$A1538,Orders!$E$2:$E$20001,"Prepaid",Orders!$F$2:$F$20001,"RTO"))</f>
        <v/>
      </c>
      <c r="F1538" s="17" t="str">
        <f aca="false">IF($A1538="","",COUNTIFS(Orders!$C$2:$C$20001,$A1538,Orders!$E$2:$E$20001,"Prepaid",Orders!$F$2:$F$20001,"RTO"))</f>
        <v/>
      </c>
      <c r="G1538" s="18" t="str">
        <f aca="false">IF($A1538="","",IFERROR(F1538/E1538,0))</f>
        <v/>
      </c>
      <c r="H1538" s="19" t="str">
        <f aca="false">IF($A1538="","",C1538*Settings!$B$11)</f>
        <v/>
      </c>
      <c r="I1538" s="20" t="str">
        <f aca="false">IF($A1538="","",IF(N(H1538)=0,"",RANK(H1538,$H$5:$H$2004)))</f>
        <v/>
      </c>
      <c r="J1538" s="21" t="str">
        <f aca="false">IF($A1538="","",IF(B1538=0,"No COD orders",IF(B1538&lt;Settings!$B$8,"Too few orders",IF(D1538&gt;=Settings!$B$9,"Restrict COD or verify","Keep COD"))))</f>
        <v/>
      </c>
    </row>
    <row r="1539" customFormat="false" ht="15" hidden="false" customHeight="false" outlineLevel="0" collapsed="false">
      <c r="A1539" s="27"/>
      <c r="B1539" s="17" t="str">
        <f aca="false">IF($A1539="","",COUNTIFS(Orders!$C$2:$C$20001,$A1539,Orders!$E$2:$E$20001,"COD",Orders!$F$2:$F$20001,"Delivered")+COUNTIFS(Orders!$C$2:$C$20001,$A1539,Orders!$E$2:$E$20001,"COD",Orders!$F$2:$F$20001,"RTO"))</f>
        <v/>
      </c>
      <c r="C1539" s="17" t="str">
        <f aca="false">IF($A1539="","",COUNTIFS(Orders!$C$2:$C$20001,$A1539,Orders!$E$2:$E$20001,"COD",Orders!$F$2:$F$20001,"RTO"))</f>
        <v/>
      </c>
      <c r="D1539" s="18" t="str">
        <f aca="false">IF($A1539="","",IFERROR(C1539/B1539,0))</f>
        <v/>
      </c>
      <c r="E1539" s="17" t="str">
        <f aca="false">IF($A1539="","",COUNTIFS(Orders!$C$2:$C$20001,$A1539,Orders!$E$2:$E$20001,"Prepaid",Orders!$F$2:$F$20001,"Delivered")+COUNTIFS(Orders!$C$2:$C$20001,$A1539,Orders!$E$2:$E$20001,"Prepaid",Orders!$F$2:$F$20001,"RTO"))</f>
        <v/>
      </c>
      <c r="F1539" s="17" t="str">
        <f aca="false">IF($A1539="","",COUNTIFS(Orders!$C$2:$C$20001,$A1539,Orders!$E$2:$E$20001,"Prepaid",Orders!$F$2:$F$20001,"RTO"))</f>
        <v/>
      </c>
      <c r="G1539" s="18" t="str">
        <f aca="false">IF($A1539="","",IFERROR(F1539/E1539,0))</f>
        <v/>
      </c>
      <c r="H1539" s="19" t="str">
        <f aca="false">IF($A1539="","",C1539*Settings!$B$11)</f>
        <v/>
      </c>
      <c r="I1539" s="20" t="str">
        <f aca="false">IF($A1539="","",IF(N(H1539)=0,"",RANK(H1539,$H$5:$H$2004)))</f>
        <v/>
      </c>
      <c r="J1539" s="21" t="str">
        <f aca="false">IF($A1539="","",IF(B1539=0,"No COD orders",IF(B1539&lt;Settings!$B$8,"Too few orders",IF(D1539&gt;=Settings!$B$9,"Restrict COD or verify","Keep COD"))))</f>
        <v/>
      </c>
    </row>
    <row r="1540" customFormat="false" ht="15" hidden="false" customHeight="false" outlineLevel="0" collapsed="false">
      <c r="A1540" s="27"/>
      <c r="B1540" s="17" t="str">
        <f aca="false">IF($A1540="","",COUNTIFS(Orders!$C$2:$C$20001,$A1540,Orders!$E$2:$E$20001,"COD",Orders!$F$2:$F$20001,"Delivered")+COUNTIFS(Orders!$C$2:$C$20001,$A1540,Orders!$E$2:$E$20001,"COD",Orders!$F$2:$F$20001,"RTO"))</f>
        <v/>
      </c>
      <c r="C1540" s="17" t="str">
        <f aca="false">IF($A1540="","",COUNTIFS(Orders!$C$2:$C$20001,$A1540,Orders!$E$2:$E$20001,"COD",Orders!$F$2:$F$20001,"RTO"))</f>
        <v/>
      </c>
      <c r="D1540" s="18" t="str">
        <f aca="false">IF($A1540="","",IFERROR(C1540/B1540,0))</f>
        <v/>
      </c>
      <c r="E1540" s="17" t="str">
        <f aca="false">IF($A1540="","",COUNTIFS(Orders!$C$2:$C$20001,$A1540,Orders!$E$2:$E$20001,"Prepaid",Orders!$F$2:$F$20001,"Delivered")+COUNTIFS(Orders!$C$2:$C$20001,$A1540,Orders!$E$2:$E$20001,"Prepaid",Orders!$F$2:$F$20001,"RTO"))</f>
        <v/>
      </c>
      <c r="F1540" s="17" t="str">
        <f aca="false">IF($A1540="","",COUNTIFS(Orders!$C$2:$C$20001,$A1540,Orders!$E$2:$E$20001,"Prepaid",Orders!$F$2:$F$20001,"RTO"))</f>
        <v/>
      </c>
      <c r="G1540" s="18" t="str">
        <f aca="false">IF($A1540="","",IFERROR(F1540/E1540,0))</f>
        <v/>
      </c>
      <c r="H1540" s="19" t="str">
        <f aca="false">IF($A1540="","",C1540*Settings!$B$11)</f>
        <v/>
      </c>
      <c r="I1540" s="20" t="str">
        <f aca="false">IF($A1540="","",IF(N(H1540)=0,"",RANK(H1540,$H$5:$H$2004)))</f>
        <v/>
      </c>
      <c r="J1540" s="21" t="str">
        <f aca="false">IF($A1540="","",IF(B1540=0,"No COD orders",IF(B1540&lt;Settings!$B$8,"Too few orders",IF(D1540&gt;=Settings!$B$9,"Restrict COD or verify","Keep COD"))))</f>
        <v/>
      </c>
    </row>
    <row r="1541" customFormat="false" ht="15" hidden="false" customHeight="false" outlineLevel="0" collapsed="false">
      <c r="A1541" s="27"/>
      <c r="B1541" s="17" t="str">
        <f aca="false">IF($A1541="","",COUNTIFS(Orders!$C$2:$C$20001,$A1541,Orders!$E$2:$E$20001,"COD",Orders!$F$2:$F$20001,"Delivered")+COUNTIFS(Orders!$C$2:$C$20001,$A1541,Orders!$E$2:$E$20001,"COD",Orders!$F$2:$F$20001,"RTO"))</f>
        <v/>
      </c>
      <c r="C1541" s="17" t="str">
        <f aca="false">IF($A1541="","",COUNTIFS(Orders!$C$2:$C$20001,$A1541,Orders!$E$2:$E$20001,"COD",Orders!$F$2:$F$20001,"RTO"))</f>
        <v/>
      </c>
      <c r="D1541" s="18" t="str">
        <f aca="false">IF($A1541="","",IFERROR(C1541/B1541,0))</f>
        <v/>
      </c>
      <c r="E1541" s="17" t="str">
        <f aca="false">IF($A1541="","",COUNTIFS(Orders!$C$2:$C$20001,$A1541,Orders!$E$2:$E$20001,"Prepaid",Orders!$F$2:$F$20001,"Delivered")+COUNTIFS(Orders!$C$2:$C$20001,$A1541,Orders!$E$2:$E$20001,"Prepaid",Orders!$F$2:$F$20001,"RTO"))</f>
        <v/>
      </c>
      <c r="F1541" s="17" t="str">
        <f aca="false">IF($A1541="","",COUNTIFS(Orders!$C$2:$C$20001,$A1541,Orders!$E$2:$E$20001,"Prepaid",Orders!$F$2:$F$20001,"RTO"))</f>
        <v/>
      </c>
      <c r="G1541" s="18" t="str">
        <f aca="false">IF($A1541="","",IFERROR(F1541/E1541,0))</f>
        <v/>
      </c>
      <c r="H1541" s="19" t="str">
        <f aca="false">IF($A1541="","",C1541*Settings!$B$11)</f>
        <v/>
      </c>
      <c r="I1541" s="20" t="str">
        <f aca="false">IF($A1541="","",IF(N(H1541)=0,"",RANK(H1541,$H$5:$H$2004)))</f>
        <v/>
      </c>
      <c r="J1541" s="21" t="str">
        <f aca="false">IF($A1541="","",IF(B1541=0,"No COD orders",IF(B1541&lt;Settings!$B$8,"Too few orders",IF(D1541&gt;=Settings!$B$9,"Restrict COD or verify","Keep COD"))))</f>
        <v/>
      </c>
    </row>
    <row r="1542" customFormat="false" ht="15" hidden="false" customHeight="false" outlineLevel="0" collapsed="false">
      <c r="A1542" s="27"/>
      <c r="B1542" s="17" t="str">
        <f aca="false">IF($A1542="","",COUNTIFS(Orders!$C$2:$C$20001,$A1542,Orders!$E$2:$E$20001,"COD",Orders!$F$2:$F$20001,"Delivered")+COUNTIFS(Orders!$C$2:$C$20001,$A1542,Orders!$E$2:$E$20001,"COD",Orders!$F$2:$F$20001,"RTO"))</f>
        <v/>
      </c>
      <c r="C1542" s="17" t="str">
        <f aca="false">IF($A1542="","",COUNTIFS(Orders!$C$2:$C$20001,$A1542,Orders!$E$2:$E$20001,"COD",Orders!$F$2:$F$20001,"RTO"))</f>
        <v/>
      </c>
      <c r="D1542" s="18" t="str">
        <f aca="false">IF($A1542="","",IFERROR(C1542/B1542,0))</f>
        <v/>
      </c>
      <c r="E1542" s="17" t="str">
        <f aca="false">IF($A1542="","",COUNTIFS(Orders!$C$2:$C$20001,$A1542,Orders!$E$2:$E$20001,"Prepaid",Orders!$F$2:$F$20001,"Delivered")+COUNTIFS(Orders!$C$2:$C$20001,$A1542,Orders!$E$2:$E$20001,"Prepaid",Orders!$F$2:$F$20001,"RTO"))</f>
        <v/>
      </c>
      <c r="F1542" s="17" t="str">
        <f aca="false">IF($A1542="","",COUNTIFS(Orders!$C$2:$C$20001,$A1542,Orders!$E$2:$E$20001,"Prepaid",Orders!$F$2:$F$20001,"RTO"))</f>
        <v/>
      </c>
      <c r="G1542" s="18" t="str">
        <f aca="false">IF($A1542="","",IFERROR(F1542/E1542,0))</f>
        <v/>
      </c>
      <c r="H1542" s="19" t="str">
        <f aca="false">IF($A1542="","",C1542*Settings!$B$11)</f>
        <v/>
      </c>
      <c r="I1542" s="20" t="str">
        <f aca="false">IF($A1542="","",IF(N(H1542)=0,"",RANK(H1542,$H$5:$H$2004)))</f>
        <v/>
      </c>
      <c r="J1542" s="21" t="str">
        <f aca="false">IF($A1542="","",IF(B1542=0,"No COD orders",IF(B1542&lt;Settings!$B$8,"Too few orders",IF(D1542&gt;=Settings!$B$9,"Restrict COD or verify","Keep COD"))))</f>
        <v/>
      </c>
    </row>
    <row r="1543" customFormat="false" ht="15" hidden="false" customHeight="false" outlineLevel="0" collapsed="false">
      <c r="A1543" s="27"/>
      <c r="B1543" s="17" t="str">
        <f aca="false">IF($A1543="","",COUNTIFS(Orders!$C$2:$C$20001,$A1543,Orders!$E$2:$E$20001,"COD",Orders!$F$2:$F$20001,"Delivered")+COUNTIFS(Orders!$C$2:$C$20001,$A1543,Orders!$E$2:$E$20001,"COD",Orders!$F$2:$F$20001,"RTO"))</f>
        <v/>
      </c>
      <c r="C1543" s="17" t="str">
        <f aca="false">IF($A1543="","",COUNTIFS(Orders!$C$2:$C$20001,$A1543,Orders!$E$2:$E$20001,"COD",Orders!$F$2:$F$20001,"RTO"))</f>
        <v/>
      </c>
      <c r="D1543" s="18" t="str">
        <f aca="false">IF($A1543="","",IFERROR(C1543/B1543,0))</f>
        <v/>
      </c>
      <c r="E1543" s="17" t="str">
        <f aca="false">IF($A1543="","",COUNTIFS(Orders!$C$2:$C$20001,$A1543,Orders!$E$2:$E$20001,"Prepaid",Orders!$F$2:$F$20001,"Delivered")+COUNTIFS(Orders!$C$2:$C$20001,$A1543,Orders!$E$2:$E$20001,"Prepaid",Orders!$F$2:$F$20001,"RTO"))</f>
        <v/>
      </c>
      <c r="F1543" s="17" t="str">
        <f aca="false">IF($A1543="","",COUNTIFS(Orders!$C$2:$C$20001,$A1543,Orders!$E$2:$E$20001,"Prepaid",Orders!$F$2:$F$20001,"RTO"))</f>
        <v/>
      </c>
      <c r="G1543" s="18" t="str">
        <f aca="false">IF($A1543="","",IFERROR(F1543/E1543,0))</f>
        <v/>
      </c>
      <c r="H1543" s="19" t="str">
        <f aca="false">IF($A1543="","",C1543*Settings!$B$11)</f>
        <v/>
      </c>
      <c r="I1543" s="20" t="str">
        <f aca="false">IF($A1543="","",IF(N(H1543)=0,"",RANK(H1543,$H$5:$H$2004)))</f>
        <v/>
      </c>
      <c r="J1543" s="21" t="str">
        <f aca="false">IF($A1543="","",IF(B1543=0,"No COD orders",IF(B1543&lt;Settings!$B$8,"Too few orders",IF(D1543&gt;=Settings!$B$9,"Restrict COD or verify","Keep COD"))))</f>
        <v/>
      </c>
    </row>
    <row r="1544" customFormat="false" ht="15" hidden="false" customHeight="false" outlineLevel="0" collapsed="false">
      <c r="A1544" s="27"/>
      <c r="B1544" s="17" t="str">
        <f aca="false">IF($A1544="","",COUNTIFS(Orders!$C$2:$C$20001,$A1544,Orders!$E$2:$E$20001,"COD",Orders!$F$2:$F$20001,"Delivered")+COUNTIFS(Orders!$C$2:$C$20001,$A1544,Orders!$E$2:$E$20001,"COD",Orders!$F$2:$F$20001,"RTO"))</f>
        <v/>
      </c>
      <c r="C1544" s="17" t="str">
        <f aca="false">IF($A1544="","",COUNTIFS(Orders!$C$2:$C$20001,$A1544,Orders!$E$2:$E$20001,"COD",Orders!$F$2:$F$20001,"RTO"))</f>
        <v/>
      </c>
      <c r="D1544" s="18" t="str">
        <f aca="false">IF($A1544="","",IFERROR(C1544/B1544,0))</f>
        <v/>
      </c>
      <c r="E1544" s="17" t="str">
        <f aca="false">IF($A1544="","",COUNTIFS(Orders!$C$2:$C$20001,$A1544,Orders!$E$2:$E$20001,"Prepaid",Orders!$F$2:$F$20001,"Delivered")+COUNTIFS(Orders!$C$2:$C$20001,$A1544,Orders!$E$2:$E$20001,"Prepaid",Orders!$F$2:$F$20001,"RTO"))</f>
        <v/>
      </c>
      <c r="F1544" s="17" t="str">
        <f aca="false">IF($A1544="","",COUNTIFS(Orders!$C$2:$C$20001,$A1544,Orders!$E$2:$E$20001,"Prepaid",Orders!$F$2:$F$20001,"RTO"))</f>
        <v/>
      </c>
      <c r="G1544" s="18" t="str">
        <f aca="false">IF($A1544="","",IFERROR(F1544/E1544,0))</f>
        <v/>
      </c>
      <c r="H1544" s="19" t="str">
        <f aca="false">IF($A1544="","",C1544*Settings!$B$11)</f>
        <v/>
      </c>
      <c r="I1544" s="20" t="str">
        <f aca="false">IF($A1544="","",IF(N(H1544)=0,"",RANK(H1544,$H$5:$H$2004)))</f>
        <v/>
      </c>
      <c r="J1544" s="21" t="str">
        <f aca="false">IF($A1544="","",IF(B1544=0,"No COD orders",IF(B1544&lt;Settings!$B$8,"Too few orders",IF(D1544&gt;=Settings!$B$9,"Restrict COD or verify","Keep COD"))))</f>
        <v/>
      </c>
    </row>
    <row r="1545" customFormat="false" ht="15" hidden="false" customHeight="false" outlineLevel="0" collapsed="false">
      <c r="A1545" s="27"/>
      <c r="B1545" s="17" t="str">
        <f aca="false">IF($A1545="","",COUNTIFS(Orders!$C$2:$C$20001,$A1545,Orders!$E$2:$E$20001,"COD",Orders!$F$2:$F$20001,"Delivered")+COUNTIFS(Orders!$C$2:$C$20001,$A1545,Orders!$E$2:$E$20001,"COD",Orders!$F$2:$F$20001,"RTO"))</f>
        <v/>
      </c>
      <c r="C1545" s="17" t="str">
        <f aca="false">IF($A1545="","",COUNTIFS(Orders!$C$2:$C$20001,$A1545,Orders!$E$2:$E$20001,"COD",Orders!$F$2:$F$20001,"RTO"))</f>
        <v/>
      </c>
      <c r="D1545" s="18" t="str">
        <f aca="false">IF($A1545="","",IFERROR(C1545/B1545,0))</f>
        <v/>
      </c>
      <c r="E1545" s="17" t="str">
        <f aca="false">IF($A1545="","",COUNTIFS(Orders!$C$2:$C$20001,$A1545,Orders!$E$2:$E$20001,"Prepaid",Orders!$F$2:$F$20001,"Delivered")+COUNTIFS(Orders!$C$2:$C$20001,$A1545,Orders!$E$2:$E$20001,"Prepaid",Orders!$F$2:$F$20001,"RTO"))</f>
        <v/>
      </c>
      <c r="F1545" s="17" t="str">
        <f aca="false">IF($A1545="","",COUNTIFS(Orders!$C$2:$C$20001,$A1545,Orders!$E$2:$E$20001,"Prepaid",Orders!$F$2:$F$20001,"RTO"))</f>
        <v/>
      </c>
      <c r="G1545" s="18" t="str">
        <f aca="false">IF($A1545="","",IFERROR(F1545/E1545,0))</f>
        <v/>
      </c>
      <c r="H1545" s="19" t="str">
        <f aca="false">IF($A1545="","",C1545*Settings!$B$11)</f>
        <v/>
      </c>
      <c r="I1545" s="20" t="str">
        <f aca="false">IF($A1545="","",IF(N(H1545)=0,"",RANK(H1545,$H$5:$H$2004)))</f>
        <v/>
      </c>
      <c r="J1545" s="21" t="str">
        <f aca="false">IF($A1545="","",IF(B1545=0,"No COD orders",IF(B1545&lt;Settings!$B$8,"Too few orders",IF(D1545&gt;=Settings!$B$9,"Restrict COD or verify","Keep COD"))))</f>
        <v/>
      </c>
    </row>
    <row r="1546" customFormat="false" ht="15" hidden="false" customHeight="false" outlineLevel="0" collapsed="false">
      <c r="A1546" s="27"/>
      <c r="B1546" s="17" t="str">
        <f aca="false">IF($A1546="","",COUNTIFS(Orders!$C$2:$C$20001,$A1546,Orders!$E$2:$E$20001,"COD",Orders!$F$2:$F$20001,"Delivered")+COUNTIFS(Orders!$C$2:$C$20001,$A1546,Orders!$E$2:$E$20001,"COD",Orders!$F$2:$F$20001,"RTO"))</f>
        <v/>
      </c>
      <c r="C1546" s="17" t="str">
        <f aca="false">IF($A1546="","",COUNTIFS(Orders!$C$2:$C$20001,$A1546,Orders!$E$2:$E$20001,"COD",Orders!$F$2:$F$20001,"RTO"))</f>
        <v/>
      </c>
      <c r="D1546" s="18" t="str">
        <f aca="false">IF($A1546="","",IFERROR(C1546/B1546,0))</f>
        <v/>
      </c>
      <c r="E1546" s="17" t="str">
        <f aca="false">IF($A1546="","",COUNTIFS(Orders!$C$2:$C$20001,$A1546,Orders!$E$2:$E$20001,"Prepaid",Orders!$F$2:$F$20001,"Delivered")+COUNTIFS(Orders!$C$2:$C$20001,$A1546,Orders!$E$2:$E$20001,"Prepaid",Orders!$F$2:$F$20001,"RTO"))</f>
        <v/>
      </c>
      <c r="F1546" s="17" t="str">
        <f aca="false">IF($A1546="","",COUNTIFS(Orders!$C$2:$C$20001,$A1546,Orders!$E$2:$E$20001,"Prepaid",Orders!$F$2:$F$20001,"RTO"))</f>
        <v/>
      </c>
      <c r="G1546" s="18" t="str">
        <f aca="false">IF($A1546="","",IFERROR(F1546/E1546,0))</f>
        <v/>
      </c>
      <c r="H1546" s="19" t="str">
        <f aca="false">IF($A1546="","",C1546*Settings!$B$11)</f>
        <v/>
      </c>
      <c r="I1546" s="20" t="str">
        <f aca="false">IF($A1546="","",IF(N(H1546)=0,"",RANK(H1546,$H$5:$H$2004)))</f>
        <v/>
      </c>
      <c r="J1546" s="21" t="str">
        <f aca="false">IF($A1546="","",IF(B1546=0,"No COD orders",IF(B1546&lt;Settings!$B$8,"Too few orders",IF(D1546&gt;=Settings!$B$9,"Restrict COD or verify","Keep COD"))))</f>
        <v/>
      </c>
    </row>
    <row r="1547" customFormat="false" ht="15" hidden="false" customHeight="false" outlineLevel="0" collapsed="false">
      <c r="A1547" s="27"/>
      <c r="B1547" s="17" t="str">
        <f aca="false">IF($A1547="","",COUNTIFS(Orders!$C$2:$C$20001,$A1547,Orders!$E$2:$E$20001,"COD",Orders!$F$2:$F$20001,"Delivered")+COUNTIFS(Orders!$C$2:$C$20001,$A1547,Orders!$E$2:$E$20001,"COD",Orders!$F$2:$F$20001,"RTO"))</f>
        <v/>
      </c>
      <c r="C1547" s="17" t="str">
        <f aca="false">IF($A1547="","",COUNTIFS(Orders!$C$2:$C$20001,$A1547,Orders!$E$2:$E$20001,"COD",Orders!$F$2:$F$20001,"RTO"))</f>
        <v/>
      </c>
      <c r="D1547" s="18" t="str">
        <f aca="false">IF($A1547="","",IFERROR(C1547/B1547,0))</f>
        <v/>
      </c>
      <c r="E1547" s="17" t="str">
        <f aca="false">IF($A1547="","",COUNTIFS(Orders!$C$2:$C$20001,$A1547,Orders!$E$2:$E$20001,"Prepaid",Orders!$F$2:$F$20001,"Delivered")+COUNTIFS(Orders!$C$2:$C$20001,$A1547,Orders!$E$2:$E$20001,"Prepaid",Orders!$F$2:$F$20001,"RTO"))</f>
        <v/>
      </c>
      <c r="F1547" s="17" t="str">
        <f aca="false">IF($A1547="","",COUNTIFS(Orders!$C$2:$C$20001,$A1547,Orders!$E$2:$E$20001,"Prepaid",Orders!$F$2:$F$20001,"RTO"))</f>
        <v/>
      </c>
      <c r="G1547" s="18" t="str">
        <f aca="false">IF($A1547="","",IFERROR(F1547/E1547,0))</f>
        <v/>
      </c>
      <c r="H1547" s="19" t="str">
        <f aca="false">IF($A1547="","",C1547*Settings!$B$11)</f>
        <v/>
      </c>
      <c r="I1547" s="20" t="str">
        <f aca="false">IF($A1547="","",IF(N(H1547)=0,"",RANK(H1547,$H$5:$H$2004)))</f>
        <v/>
      </c>
      <c r="J1547" s="21" t="str">
        <f aca="false">IF($A1547="","",IF(B1547=0,"No COD orders",IF(B1547&lt;Settings!$B$8,"Too few orders",IF(D1547&gt;=Settings!$B$9,"Restrict COD or verify","Keep COD"))))</f>
        <v/>
      </c>
    </row>
    <row r="1548" customFormat="false" ht="15" hidden="false" customHeight="false" outlineLevel="0" collapsed="false">
      <c r="A1548" s="27"/>
      <c r="B1548" s="17" t="str">
        <f aca="false">IF($A1548="","",COUNTIFS(Orders!$C$2:$C$20001,$A1548,Orders!$E$2:$E$20001,"COD",Orders!$F$2:$F$20001,"Delivered")+COUNTIFS(Orders!$C$2:$C$20001,$A1548,Orders!$E$2:$E$20001,"COD",Orders!$F$2:$F$20001,"RTO"))</f>
        <v/>
      </c>
      <c r="C1548" s="17" t="str">
        <f aca="false">IF($A1548="","",COUNTIFS(Orders!$C$2:$C$20001,$A1548,Orders!$E$2:$E$20001,"COD",Orders!$F$2:$F$20001,"RTO"))</f>
        <v/>
      </c>
      <c r="D1548" s="18" t="str">
        <f aca="false">IF($A1548="","",IFERROR(C1548/B1548,0))</f>
        <v/>
      </c>
      <c r="E1548" s="17" t="str">
        <f aca="false">IF($A1548="","",COUNTIFS(Orders!$C$2:$C$20001,$A1548,Orders!$E$2:$E$20001,"Prepaid",Orders!$F$2:$F$20001,"Delivered")+COUNTIFS(Orders!$C$2:$C$20001,$A1548,Orders!$E$2:$E$20001,"Prepaid",Orders!$F$2:$F$20001,"RTO"))</f>
        <v/>
      </c>
      <c r="F1548" s="17" t="str">
        <f aca="false">IF($A1548="","",COUNTIFS(Orders!$C$2:$C$20001,$A1548,Orders!$E$2:$E$20001,"Prepaid",Orders!$F$2:$F$20001,"RTO"))</f>
        <v/>
      </c>
      <c r="G1548" s="18" t="str">
        <f aca="false">IF($A1548="","",IFERROR(F1548/E1548,0))</f>
        <v/>
      </c>
      <c r="H1548" s="19" t="str">
        <f aca="false">IF($A1548="","",C1548*Settings!$B$11)</f>
        <v/>
      </c>
      <c r="I1548" s="20" t="str">
        <f aca="false">IF($A1548="","",IF(N(H1548)=0,"",RANK(H1548,$H$5:$H$2004)))</f>
        <v/>
      </c>
      <c r="J1548" s="21" t="str">
        <f aca="false">IF($A1548="","",IF(B1548=0,"No COD orders",IF(B1548&lt;Settings!$B$8,"Too few orders",IF(D1548&gt;=Settings!$B$9,"Restrict COD or verify","Keep COD"))))</f>
        <v/>
      </c>
    </row>
    <row r="1549" customFormat="false" ht="15" hidden="false" customHeight="false" outlineLevel="0" collapsed="false">
      <c r="A1549" s="27"/>
      <c r="B1549" s="17" t="str">
        <f aca="false">IF($A1549="","",COUNTIFS(Orders!$C$2:$C$20001,$A1549,Orders!$E$2:$E$20001,"COD",Orders!$F$2:$F$20001,"Delivered")+COUNTIFS(Orders!$C$2:$C$20001,$A1549,Orders!$E$2:$E$20001,"COD",Orders!$F$2:$F$20001,"RTO"))</f>
        <v/>
      </c>
      <c r="C1549" s="17" t="str">
        <f aca="false">IF($A1549="","",COUNTIFS(Orders!$C$2:$C$20001,$A1549,Orders!$E$2:$E$20001,"COD",Orders!$F$2:$F$20001,"RTO"))</f>
        <v/>
      </c>
      <c r="D1549" s="18" t="str">
        <f aca="false">IF($A1549="","",IFERROR(C1549/B1549,0))</f>
        <v/>
      </c>
      <c r="E1549" s="17" t="str">
        <f aca="false">IF($A1549="","",COUNTIFS(Orders!$C$2:$C$20001,$A1549,Orders!$E$2:$E$20001,"Prepaid",Orders!$F$2:$F$20001,"Delivered")+COUNTIFS(Orders!$C$2:$C$20001,$A1549,Orders!$E$2:$E$20001,"Prepaid",Orders!$F$2:$F$20001,"RTO"))</f>
        <v/>
      </c>
      <c r="F1549" s="17" t="str">
        <f aca="false">IF($A1549="","",COUNTIFS(Orders!$C$2:$C$20001,$A1549,Orders!$E$2:$E$20001,"Prepaid",Orders!$F$2:$F$20001,"RTO"))</f>
        <v/>
      </c>
      <c r="G1549" s="18" t="str">
        <f aca="false">IF($A1549="","",IFERROR(F1549/E1549,0))</f>
        <v/>
      </c>
      <c r="H1549" s="19" t="str">
        <f aca="false">IF($A1549="","",C1549*Settings!$B$11)</f>
        <v/>
      </c>
      <c r="I1549" s="20" t="str">
        <f aca="false">IF($A1549="","",IF(N(H1549)=0,"",RANK(H1549,$H$5:$H$2004)))</f>
        <v/>
      </c>
      <c r="J1549" s="21" t="str">
        <f aca="false">IF($A1549="","",IF(B1549=0,"No COD orders",IF(B1549&lt;Settings!$B$8,"Too few orders",IF(D1549&gt;=Settings!$B$9,"Restrict COD or verify","Keep COD"))))</f>
        <v/>
      </c>
    </row>
    <row r="1550" customFormat="false" ht="15" hidden="false" customHeight="false" outlineLevel="0" collapsed="false">
      <c r="A1550" s="27"/>
      <c r="B1550" s="17" t="str">
        <f aca="false">IF($A1550="","",COUNTIFS(Orders!$C$2:$C$20001,$A1550,Orders!$E$2:$E$20001,"COD",Orders!$F$2:$F$20001,"Delivered")+COUNTIFS(Orders!$C$2:$C$20001,$A1550,Orders!$E$2:$E$20001,"COD",Orders!$F$2:$F$20001,"RTO"))</f>
        <v/>
      </c>
      <c r="C1550" s="17" t="str">
        <f aca="false">IF($A1550="","",COUNTIFS(Orders!$C$2:$C$20001,$A1550,Orders!$E$2:$E$20001,"COD",Orders!$F$2:$F$20001,"RTO"))</f>
        <v/>
      </c>
      <c r="D1550" s="18" t="str">
        <f aca="false">IF($A1550="","",IFERROR(C1550/B1550,0))</f>
        <v/>
      </c>
      <c r="E1550" s="17" t="str">
        <f aca="false">IF($A1550="","",COUNTIFS(Orders!$C$2:$C$20001,$A1550,Orders!$E$2:$E$20001,"Prepaid",Orders!$F$2:$F$20001,"Delivered")+COUNTIFS(Orders!$C$2:$C$20001,$A1550,Orders!$E$2:$E$20001,"Prepaid",Orders!$F$2:$F$20001,"RTO"))</f>
        <v/>
      </c>
      <c r="F1550" s="17" t="str">
        <f aca="false">IF($A1550="","",COUNTIFS(Orders!$C$2:$C$20001,$A1550,Orders!$E$2:$E$20001,"Prepaid",Orders!$F$2:$F$20001,"RTO"))</f>
        <v/>
      </c>
      <c r="G1550" s="18" t="str">
        <f aca="false">IF($A1550="","",IFERROR(F1550/E1550,0))</f>
        <v/>
      </c>
      <c r="H1550" s="19" t="str">
        <f aca="false">IF($A1550="","",C1550*Settings!$B$11)</f>
        <v/>
      </c>
      <c r="I1550" s="20" t="str">
        <f aca="false">IF($A1550="","",IF(N(H1550)=0,"",RANK(H1550,$H$5:$H$2004)))</f>
        <v/>
      </c>
      <c r="J1550" s="21" t="str">
        <f aca="false">IF($A1550="","",IF(B1550=0,"No COD orders",IF(B1550&lt;Settings!$B$8,"Too few orders",IF(D1550&gt;=Settings!$B$9,"Restrict COD or verify","Keep COD"))))</f>
        <v/>
      </c>
    </row>
    <row r="1551" customFormat="false" ht="15" hidden="false" customHeight="false" outlineLevel="0" collapsed="false">
      <c r="A1551" s="27"/>
      <c r="B1551" s="17" t="str">
        <f aca="false">IF($A1551="","",COUNTIFS(Orders!$C$2:$C$20001,$A1551,Orders!$E$2:$E$20001,"COD",Orders!$F$2:$F$20001,"Delivered")+COUNTIFS(Orders!$C$2:$C$20001,$A1551,Orders!$E$2:$E$20001,"COD",Orders!$F$2:$F$20001,"RTO"))</f>
        <v/>
      </c>
      <c r="C1551" s="17" t="str">
        <f aca="false">IF($A1551="","",COUNTIFS(Orders!$C$2:$C$20001,$A1551,Orders!$E$2:$E$20001,"COD",Orders!$F$2:$F$20001,"RTO"))</f>
        <v/>
      </c>
      <c r="D1551" s="18" t="str">
        <f aca="false">IF($A1551="","",IFERROR(C1551/B1551,0))</f>
        <v/>
      </c>
      <c r="E1551" s="17" t="str">
        <f aca="false">IF($A1551="","",COUNTIFS(Orders!$C$2:$C$20001,$A1551,Orders!$E$2:$E$20001,"Prepaid",Orders!$F$2:$F$20001,"Delivered")+COUNTIFS(Orders!$C$2:$C$20001,$A1551,Orders!$E$2:$E$20001,"Prepaid",Orders!$F$2:$F$20001,"RTO"))</f>
        <v/>
      </c>
      <c r="F1551" s="17" t="str">
        <f aca="false">IF($A1551="","",COUNTIFS(Orders!$C$2:$C$20001,$A1551,Orders!$E$2:$E$20001,"Prepaid",Orders!$F$2:$F$20001,"RTO"))</f>
        <v/>
      </c>
      <c r="G1551" s="18" t="str">
        <f aca="false">IF($A1551="","",IFERROR(F1551/E1551,0))</f>
        <v/>
      </c>
      <c r="H1551" s="19" t="str">
        <f aca="false">IF($A1551="","",C1551*Settings!$B$11)</f>
        <v/>
      </c>
      <c r="I1551" s="20" t="str">
        <f aca="false">IF($A1551="","",IF(N(H1551)=0,"",RANK(H1551,$H$5:$H$2004)))</f>
        <v/>
      </c>
      <c r="J1551" s="21" t="str">
        <f aca="false">IF($A1551="","",IF(B1551=0,"No COD orders",IF(B1551&lt;Settings!$B$8,"Too few orders",IF(D1551&gt;=Settings!$B$9,"Restrict COD or verify","Keep COD"))))</f>
        <v/>
      </c>
    </row>
    <row r="1552" customFormat="false" ht="15" hidden="false" customHeight="false" outlineLevel="0" collapsed="false">
      <c r="A1552" s="27"/>
      <c r="B1552" s="17" t="str">
        <f aca="false">IF($A1552="","",COUNTIFS(Orders!$C$2:$C$20001,$A1552,Orders!$E$2:$E$20001,"COD",Orders!$F$2:$F$20001,"Delivered")+COUNTIFS(Orders!$C$2:$C$20001,$A1552,Orders!$E$2:$E$20001,"COD",Orders!$F$2:$F$20001,"RTO"))</f>
        <v/>
      </c>
      <c r="C1552" s="17" t="str">
        <f aca="false">IF($A1552="","",COUNTIFS(Orders!$C$2:$C$20001,$A1552,Orders!$E$2:$E$20001,"COD",Orders!$F$2:$F$20001,"RTO"))</f>
        <v/>
      </c>
      <c r="D1552" s="18" t="str">
        <f aca="false">IF($A1552="","",IFERROR(C1552/B1552,0))</f>
        <v/>
      </c>
      <c r="E1552" s="17" t="str">
        <f aca="false">IF($A1552="","",COUNTIFS(Orders!$C$2:$C$20001,$A1552,Orders!$E$2:$E$20001,"Prepaid",Orders!$F$2:$F$20001,"Delivered")+COUNTIFS(Orders!$C$2:$C$20001,$A1552,Orders!$E$2:$E$20001,"Prepaid",Orders!$F$2:$F$20001,"RTO"))</f>
        <v/>
      </c>
      <c r="F1552" s="17" t="str">
        <f aca="false">IF($A1552="","",COUNTIFS(Orders!$C$2:$C$20001,$A1552,Orders!$E$2:$E$20001,"Prepaid",Orders!$F$2:$F$20001,"RTO"))</f>
        <v/>
      </c>
      <c r="G1552" s="18" t="str">
        <f aca="false">IF($A1552="","",IFERROR(F1552/E1552,0))</f>
        <v/>
      </c>
      <c r="H1552" s="19" t="str">
        <f aca="false">IF($A1552="","",C1552*Settings!$B$11)</f>
        <v/>
      </c>
      <c r="I1552" s="20" t="str">
        <f aca="false">IF($A1552="","",IF(N(H1552)=0,"",RANK(H1552,$H$5:$H$2004)))</f>
        <v/>
      </c>
      <c r="J1552" s="21" t="str">
        <f aca="false">IF($A1552="","",IF(B1552=0,"No COD orders",IF(B1552&lt;Settings!$B$8,"Too few orders",IF(D1552&gt;=Settings!$B$9,"Restrict COD or verify","Keep COD"))))</f>
        <v/>
      </c>
    </row>
    <row r="1553" customFormat="false" ht="15" hidden="false" customHeight="false" outlineLevel="0" collapsed="false">
      <c r="A1553" s="27"/>
      <c r="B1553" s="17" t="str">
        <f aca="false">IF($A1553="","",COUNTIFS(Orders!$C$2:$C$20001,$A1553,Orders!$E$2:$E$20001,"COD",Orders!$F$2:$F$20001,"Delivered")+COUNTIFS(Orders!$C$2:$C$20001,$A1553,Orders!$E$2:$E$20001,"COD",Orders!$F$2:$F$20001,"RTO"))</f>
        <v/>
      </c>
      <c r="C1553" s="17" t="str">
        <f aca="false">IF($A1553="","",COUNTIFS(Orders!$C$2:$C$20001,$A1553,Orders!$E$2:$E$20001,"COD",Orders!$F$2:$F$20001,"RTO"))</f>
        <v/>
      </c>
      <c r="D1553" s="18" t="str">
        <f aca="false">IF($A1553="","",IFERROR(C1553/B1553,0))</f>
        <v/>
      </c>
      <c r="E1553" s="17" t="str">
        <f aca="false">IF($A1553="","",COUNTIFS(Orders!$C$2:$C$20001,$A1553,Orders!$E$2:$E$20001,"Prepaid",Orders!$F$2:$F$20001,"Delivered")+COUNTIFS(Orders!$C$2:$C$20001,$A1553,Orders!$E$2:$E$20001,"Prepaid",Orders!$F$2:$F$20001,"RTO"))</f>
        <v/>
      </c>
      <c r="F1553" s="17" t="str">
        <f aca="false">IF($A1553="","",COUNTIFS(Orders!$C$2:$C$20001,$A1553,Orders!$E$2:$E$20001,"Prepaid",Orders!$F$2:$F$20001,"RTO"))</f>
        <v/>
      </c>
      <c r="G1553" s="18" t="str">
        <f aca="false">IF($A1553="","",IFERROR(F1553/E1553,0))</f>
        <v/>
      </c>
      <c r="H1553" s="19" t="str">
        <f aca="false">IF($A1553="","",C1553*Settings!$B$11)</f>
        <v/>
      </c>
      <c r="I1553" s="20" t="str">
        <f aca="false">IF($A1553="","",IF(N(H1553)=0,"",RANK(H1553,$H$5:$H$2004)))</f>
        <v/>
      </c>
      <c r="J1553" s="21" t="str">
        <f aca="false">IF($A1553="","",IF(B1553=0,"No COD orders",IF(B1553&lt;Settings!$B$8,"Too few orders",IF(D1553&gt;=Settings!$B$9,"Restrict COD or verify","Keep COD"))))</f>
        <v/>
      </c>
    </row>
    <row r="1554" customFormat="false" ht="15" hidden="false" customHeight="false" outlineLevel="0" collapsed="false">
      <c r="A1554" s="27"/>
      <c r="B1554" s="17" t="str">
        <f aca="false">IF($A1554="","",COUNTIFS(Orders!$C$2:$C$20001,$A1554,Orders!$E$2:$E$20001,"COD",Orders!$F$2:$F$20001,"Delivered")+COUNTIFS(Orders!$C$2:$C$20001,$A1554,Orders!$E$2:$E$20001,"COD",Orders!$F$2:$F$20001,"RTO"))</f>
        <v/>
      </c>
      <c r="C1554" s="17" t="str">
        <f aca="false">IF($A1554="","",COUNTIFS(Orders!$C$2:$C$20001,$A1554,Orders!$E$2:$E$20001,"COD",Orders!$F$2:$F$20001,"RTO"))</f>
        <v/>
      </c>
      <c r="D1554" s="18" t="str">
        <f aca="false">IF($A1554="","",IFERROR(C1554/B1554,0))</f>
        <v/>
      </c>
      <c r="E1554" s="17" t="str">
        <f aca="false">IF($A1554="","",COUNTIFS(Orders!$C$2:$C$20001,$A1554,Orders!$E$2:$E$20001,"Prepaid",Orders!$F$2:$F$20001,"Delivered")+COUNTIFS(Orders!$C$2:$C$20001,$A1554,Orders!$E$2:$E$20001,"Prepaid",Orders!$F$2:$F$20001,"RTO"))</f>
        <v/>
      </c>
      <c r="F1554" s="17" t="str">
        <f aca="false">IF($A1554="","",COUNTIFS(Orders!$C$2:$C$20001,$A1554,Orders!$E$2:$E$20001,"Prepaid",Orders!$F$2:$F$20001,"RTO"))</f>
        <v/>
      </c>
      <c r="G1554" s="18" t="str">
        <f aca="false">IF($A1554="","",IFERROR(F1554/E1554,0))</f>
        <v/>
      </c>
      <c r="H1554" s="19" t="str">
        <f aca="false">IF($A1554="","",C1554*Settings!$B$11)</f>
        <v/>
      </c>
      <c r="I1554" s="20" t="str">
        <f aca="false">IF($A1554="","",IF(N(H1554)=0,"",RANK(H1554,$H$5:$H$2004)))</f>
        <v/>
      </c>
      <c r="J1554" s="21" t="str">
        <f aca="false">IF($A1554="","",IF(B1554=0,"No COD orders",IF(B1554&lt;Settings!$B$8,"Too few orders",IF(D1554&gt;=Settings!$B$9,"Restrict COD or verify","Keep COD"))))</f>
        <v/>
      </c>
    </row>
    <row r="1555" customFormat="false" ht="15" hidden="false" customHeight="false" outlineLevel="0" collapsed="false">
      <c r="A1555" s="27"/>
      <c r="B1555" s="17" t="str">
        <f aca="false">IF($A1555="","",COUNTIFS(Orders!$C$2:$C$20001,$A1555,Orders!$E$2:$E$20001,"COD",Orders!$F$2:$F$20001,"Delivered")+COUNTIFS(Orders!$C$2:$C$20001,$A1555,Orders!$E$2:$E$20001,"COD",Orders!$F$2:$F$20001,"RTO"))</f>
        <v/>
      </c>
      <c r="C1555" s="17" t="str">
        <f aca="false">IF($A1555="","",COUNTIFS(Orders!$C$2:$C$20001,$A1555,Orders!$E$2:$E$20001,"COD",Orders!$F$2:$F$20001,"RTO"))</f>
        <v/>
      </c>
      <c r="D1555" s="18" t="str">
        <f aca="false">IF($A1555="","",IFERROR(C1555/B1555,0))</f>
        <v/>
      </c>
      <c r="E1555" s="17" t="str">
        <f aca="false">IF($A1555="","",COUNTIFS(Orders!$C$2:$C$20001,$A1555,Orders!$E$2:$E$20001,"Prepaid",Orders!$F$2:$F$20001,"Delivered")+COUNTIFS(Orders!$C$2:$C$20001,$A1555,Orders!$E$2:$E$20001,"Prepaid",Orders!$F$2:$F$20001,"RTO"))</f>
        <v/>
      </c>
      <c r="F1555" s="17" t="str">
        <f aca="false">IF($A1555="","",COUNTIFS(Orders!$C$2:$C$20001,$A1555,Orders!$E$2:$E$20001,"Prepaid",Orders!$F$2:$F$20001,"RTO"))</f>
        <v/>
      </c>
      <c r="G1555" s="18" t="str">
        <f aca="false">IF($A1555="","",IFERROR(F1555/E1555,0))</f>
        <v/>
      </c>
      <c r="H1555" s="19" t="str">
        <f aca="false">IF($A1555="","",C1555*Settings!$B$11)</f>
        <v/>
      </c>
      <c r="I1555" s="20" t="str">
        <f aca="false">IF($A1555="","",IF(N(H1555)=0,"",RANK(H1555,$H$5:$H$2004)))</f>
        <v/>
      </c>
      <c r="J1555" s="21" t="str">
        <f aca="false">IF($A1555="","",IF(B1555=0,"No COD orders",IF(B1555&lt;Settings!$B$8,"Too few orders",IF(D1555&gt;=Settings!$B$9,"Restrict COD or verify","Keep COD"))))</f>
        <v/>
      </c>
    </row>
    <row r="1556" customFormat="false" ht="15" hidden="false" customHeight="false" outlineLevel="0" collapsed="false">
      <c r="A1556" s="27"/>
      <c r="B1556" s="17" t="str">
        <f aca="false">IF($A1556="","",COUNTIFS(Orders!$C$2:$C$20001,$A1556,Orders!$E$2:$E$20001,"COD",Orders!$F$2:$F$20001,"Delivered")+COUNTIFS(Orders!$C$2:$C$20001,$A1556,Orders!$E$2:$E$20001,"COD",Orders!$F$2:$F$20001,"RTO"))</f>
        <v/>
      </c>
      <c r="C1556" s="17" t="str">
        <f aca="false">IF($A1556="","",COUNTIFS(Orders!$C$2:$C$20001,$A1556,Orders!$E$2:$E$20001,"COD",Orders!$F$2:$F$20001,"RTO"))</f>
        <v/>
      </c>
      <c r="D1556" s="18" t="str">
        <f aca="false">IF($A1556="","",IFERROR(C1556/B1556,0))</f>
        <v/>
      </c>
      <c r="E1556" s="17" t="str">
        <f aca="false">IF($A1556="","",COUNTIFS(Orders!$C$2:$C$20001,$A1556,Orders!$E$2:$E$20001,"Prepaid",Orders!$F$2:$F$20001,"Delivered")+COUNTIFS(Orders!$C$2:$C$20001,$A1556,Orders!$E$2:$E$20001,"Prepaid",Orders!$F$2:$F$20001,"RTO"))</f>
        <v/>
      </c>
      <c r="F1556" s="17" t="str">
        <f aca="false">IF($A1556="","",COUNTIFS(Orders!$C$2:$C$20001,$A1556,Orders!$E$2:$E$20001,"Prepaid",Orders!$F$2:$F$20001,"RTO"))</f>
        <v/>
      </c>
      <c r="G1556" s="18" t="str">
        <f aca="false">IF($A1556="","",IFERROR(F1556/E1556,0))</f>
        <v/>
      </c>
      <c r="H1556" s="19" t="str">
        <f aca="false">IF($A1556="","",C1556*Settings!$B$11)</f>
        <v/>
      </c>
      <c r="I1556" s="20" t="str">
        <f aca="false">IF($A1556="","",IF(N(H1556)=0,"",RANK(H1556,$H$5:$H$2004)))</f>
        <v/>
      </c>
      <c r="J1556" s="21" t="str">
        <f aca="false">IF($A1556="","",IF(B1556=0,"No COD orders",IF(B1556&lt;Settings!$B$8,"Too few orders",IF(D1556&gt;=Settings!$B$9,"Restrict COD or verify","Keep COD"))))</f>
        <v/>
      </c>
    </row>
    <row r="1557" customFormat="false" ht="15" hidden="false" customHeight="false" outlineLevel="0" collapsed="false">
      <c r="A1557" s="27"/>
      <c r="B1557" s="17" t="str">
        <f aca="false">IF($A1557="","",COUNTIFS(Orders!$C$2:$C$20001,$A1557,Orders!$E$2:$E$20001,"COD",Orders!$F$2:$F$20001,"Delivered")+COUNTIFS(Orders!$C$2:$C$20001,$A1557,Orders!$E$2:$E$20001,"COD",Orders!$F$2:$F$20001,"RTO"))</f>
        <v/>
      </c>
      <c r="C1557" s="17" t="str">
        <f aca="false">IF($A1557="","",COUNTIFS(Orders!$C$2:$C$20001,$A1557,Orders!$E$2:$E$20001,"COD",Orders!$F$2:$F$20001,"RTO"))</f>
        <v/>
      </c>
      <c r="D1557" s="18" t="str">
        <f aca="false">IF($A1557="","",IFERROR(C1557/B1557,0))</f>
        <v/>
      </c>
      <c r="E1557" s="17" t="str">
        <f aca="false">IF($A1557="","",COUNTIFS(Orders!$C$2:$C$20001,$A1557,Orders!$E$2:$E$20001,"Prepaid",Orders!$F$2:$F$20001,"Delivered")+COUNTIFS(Orders!$C$2:$C$20001,$A1557,Orders!$E$2:$E$20001,"Prepaid",Orders!$F$2:$F$20001,"RTO"))</f>
        <v/>
      </c>
      <c r="F1557" s="17" t="str">
        <f aca="false">IF($A1557="","",COUNTIFS(Orders!$C$2:$C$20001,$A1557,Orders!$E$2:$E$20001,"Prepaid",Orders!$F$2:$F$20001,"RTO"))</f>
        <v/>
      </c>
      <c r="G1557" s="18" t="str">
        <f aca="false">IF($A1557="","",IFERROR(F1557/E1557,0))</f>
        <v/>
      </c>
      <c r="H1557" s="19" t="str">
        <f aca="false">IF($A1557="","",C1557*Settings!$B$11)</f>
        <v/>
      </c>
      <c r="I1557" s="20" t="str">
        <f aca="false">IF($A1557="","",IF(N(H1557)=0,"",RANK(H1557,$H$5:$H$2004)))</f>
        <v/>
      </c>
      <c r="J1557" s="21" t="str">
        <f aca="false">IF($A1557="","",IF(B1557=0,"No COD orders",IF(B1557&lt;Settings!$B$8,"Too few orders",IF(D1557&gt;=Settings!$B$9,"Restrict COD or verify","Keep COD"))))</f>
        <v/>
      </c>
    </row>
    <row r="1558" customFormat="false" ht="15" hidden="false" customHeight="false" outlineLevel="0" collapsed="false">
      <c r="A1558" s="27"/>
      <c r="B1558" s="17" t="str">
        <f aca="false">IF($A1558="","",COUNTIFS(Orders!$C$2:$C$20001,$A1558,Orders!$E$2:$E$20001,"COD",Orders!$F$2:$F$20001,"Delivered")+COUNTIFS(Orders!$C$2:$C$20001,$A1558,Orders!$E$2:$E$20001,"COD",Orders!$F$2:$F$20001,"RTO"))</f>
        <v/>
      </c>
      <c r="C1558" s="17" t="str">
        <f aca="false">IF($A1558="","",COUNTIFS(Orders!$C$2:$C$20001,$A1558,Orders!$E$2:$E$20001,"COD",Orders!$F$2:$F$20001,"RTO"))</f>
        <v/>
      </c>
      <c r="D1558" s="18" t="str">
        <f aca="false">IF($A1558="","",IFERROR(C1558/B1558,0))</f>
        <v/>
      </c>
      <c r="E1558" s="17" t="str">
        <f aca="false">IF($A1558="","",COUNTIFS(Orders!$C$2:$C$20001,$A1558,Orders!$E$2:$E$20001,"Prepaid",Orders!$F$2:$F$20001,"Delivered")+COUNTIFS(Orders!$C$2:$C$20001,$A1558,Orders!$E$2:$E$20001,"Prepaid",Orders!$F$2:$F$20001,"RTO"))</f>
        <v/>
      </c>
      <c r="F1558" s="17" t="str">
        <f aca="false">IF($A1558="","",COUNTIFS(Orders!$C$2:$C$20001,$A1558,Orders!$E$2:$E$20001,"Prepaid",Orders!$F$2:$F$20001,"RTO"))</f>
        <v/>
      </c>
      <c r="G1558" s="18" t="str">
        <f aca="false">IF($A1558="","",IFERROR(F1558/E1558,0))</f>
        <v/>
      </c>
      <c r="H1558" s="19" t="str">
        <f aca="false">IF($A1558="","",C1558*Settings!$B$11)</f>
        <v/>
      </c>
      <c r="I1558" s="20" t="str">
        <f aca="false">IF($A1558="","",IF(N(H1558)=0,"",RANK(H1558,$H$5:$H$2004)))</f>
        <v/>
      </c>
      <c r="J1558" s="21" t="str">
        <f aca="false">IF($A1558="","",IF(B1558=0,"No COD orders",IF(B1558&lt;Settings!$B$8,"Too few orders",IF(D1558&gt;=Settings!$B$9,"Restrict COD or verify","Keep COD"))))</f>
        <v/>
      </c>
    </row>
    <row r="1559" customFormat="false" ht="15" hidden="false" customHeight="false" outlineLevel="0" collapsed="false">
      <c r="A1559" s="27"/>
      <c r="B1559" s="17" t="str">
        <f aca="false">IF($A1559="","",COUNTIFS(Orders!$C$2:$C$20001,$A1559,Orders!$E$2:$E$20001,"COD",Orders!$F$2:$F$20001,"Delivered")+COUNTIFS(Orders!$C$2:$C$20001,$A1559,Orders!$E$2:$E$20001,"COD",Orders!$F$2:$F$20001,"RTO"))</f>
        <v/>
      </c>
      <c r="C1559" s="17" t="str">
        <f aca="false">IF($A1559="","",COUNTIFS(Orders!$C$2:$C$20001,$A1559,Orders!$E$2:$E$20001,"COD",Orders!$F$2:$F$20001,"RTO"))</f>
        <v/>
      </c>
      <c r="D1559" s="18" t="str">
        <f aca="false">IF($A1559="","",IFERROR(C1559/B1559,0))</f>
        <v/>
      </c>
      <c r="E1559" s="17" t="str">
        <f aca="false">IF($A1559="","",COUNTIFS(Orders!$C$2:$C$20001,$A1559,Orders!$E$2:$E$20001,"Prepaid",Orders!$F$2:$F$20001,"Delivered")+COUNTIFS(Orders!$C$2:$C$20001,$A1559,Orders!$E$2:$E$20001,"Prepaid",Orders!$F$2:$F$20001,"RTO"))</f>
        <v/>
      </c>
      <c r="F1559" s="17" t="str">
        <f aca="false">IF($A1559="","",COUNTIFS(Orders!$C$2:$C$20001,$A1559,Orders!$E$2:$E$20001,"Prepaid",Orders!$F$2:$F$20001,"RTO"))</f>
        <v/>
      </c>
      <c r="G1559" s="18" t="str">
        <f aca="false">IF($A1559="","",IFERROR(F1559/E1559,0))</f>
        <v/>
      </c>
      <c r="H1559" s="19" t="str">
        <f aca="false">IF($A1559="","",C1559*Settings!$B$11)</f>
        <v/>
      </c>
      <c r="I1559" s="20" t="str">
        <f aca="false">IF($A1559="","",IF(N(H1559)=0,"",RANK(H1559,$H$5:$H$2004)))</f>
        <v/>
      </c>
      <c r="J1559" s="21" t="str">
        <f aca="false">IF($A1559="","",IF(B1559=0,"No COD orders",IF(B1559&lt;Settings!$B$8,"Too few orders",IF(D1559&gt;=Settings!$B$9,"Restrict COD or verify","Keep COD"))))</f>
        <v/>
      </c>
    </row>
    <row r="1560" customFormat="false" ht="15" hidden="false" customHeight="false" outlineLevel="0" collapsed="false">
      <c r="A1560" s="27"/>
      <c r="B1560" s="17" t="str">
        <f aca="false">IF($A1560="","",COUNTIFS(Orders!$C$2:$C$20001,$A1560,Orders!$E$2:$E$20001,"COD",Orders!$F$2:$F$20001,"Delivered")+COUNTIFS(Orders!$C$2:$C$20001,$A1560,Orders!$E$2:$E$20001,"COD",Orders!$F$2:$F$20001,"RTO"))</f>
        <v/>
      </c>
      <c r="C1560" s="17" t="str">
        <f aca="false">IF($A1560="","",COUNTIFS(Orders!$C$2:$C$20001,$A1560,Orders!$E$2:$E$20001,"COD",Orders!$F$2:$F$20001,"RTO"))</f>
        <v/>
      </c>
      <c r="D1560" s="18" t="str">
        <f aca="false">IF($A1560="","",IFERROR(C1560/B1560,0))</f>
        <v/>
      </c>
      <c r="E1560" s="17" t="str">
        <f aca="false">IF($A1560="","",COUNTIFS(Orders!$C$2:$C$20001,$A1560,Orders!$E$2:$E$20001,"Prepaid",Orders!$F$2:$F$20001,"Delivered")+COUNTIFS(Orders!$C$2:$C$20001,$A1560,Orders!$E$2:$E$20001,"Prepaid",Orders!$F$2:$F$20001,"RTO"))</f>
        <v/>
      </c>
      <c r="F1560" s="17" t="str">
        <f aca="false">IF($A1560="","",COUNTIFS(Orders!$C$2:$C$20001,$A1560,Orders!$E$2:$E$20001,"Prepaid",Orders!$F$2:$F$20001,"RTO"))</f>
        <v/>
      </c>
      <c r="G1560" s="18" t="str">
        <f aca="false">IF($A1560="","",IFERROR(F1560/E1560,0))</f>
        <v/>
      </c>
      <c r="H1560" s="19" t="str">
        <f aca="false">IF($A1560="","",C1560*Settings!$B$11)</f>
        <v/>
      </c>
      <c r="I1560" s="20" t="str">
        <f aca="false">IF($A1560="","",IF(N(H1560)=0,"",RANK(H1560,$H$5:$H$2004)))</f>
        <v/>
      </c>
      <c r="J1560" s="21" t="str">
        <f aca="false">IF($A1560="","",IF(B1560=0,"No COD orders",IF(B1560&lt;Settings!$B$8,"Too few orders",IF(D1560&gt;=Settings!$B$9,"Restrict COD or verify","Keep COD"))))</f>
        <v/>
      </c>
    </row>
    <row r="1561" customFormat="false" ht="15" hidden="false" customHeight="false" outlineLevel="0" collapsed="false">
      <c r="A1561" s="27"/>
      <c r="B1561" s="17" t="str">
        <f aca="false">IF($A1561="","",COUNTIFS(Orders!$C$2:$C$20001,$A1561,Orders!$E$2:$E$20001,"COD",Orders!$F$2:$F$20001,"Delivered")+COUNTIFS(Orders!$C$2:$C$20001,$A1561,Orders!$E$2:$E$20001,"COD",Orders!$F$2:$F$20001,"RTO"))</f>
        <v/>
      </c>
      <c r="C1561" s="17" t="str">
        <f aca="false">IF($A1561="","",COUNTIFS(Orders!$C$2:$C$20001,$A1561,Orders!$E$2:$E$20001,"COD",Orders!$F$2:$F$20001,"RTO"))</f>
        <v/>
      </c>
      <c r="D1561" s="18" t="str">
        <f aca="false">IF($A1561="","",IFERROR(C1561/B1561,0))</f>
        <v/>
      </c>
      <c r="E1561" s="17" t="str">
        <f aca="false">IF($A1561="","",COUNTIFS(Orders!$C$2:$C$20001,$A1561,Orders!$E$2:$E$20001,"Prepaid",Orders!$F$2:$F$20001,"Delivered")+COUNTIFS(Orders!$C$2:$C$20001,$A1561,Orders!$E$2:$E$20001,"Prepaid",Orders!$F$2:$F$20001,"RTO"))</f>
        <v/>
      </c>
      <c r="F1561" s="17" t="str">
        <f aca="false">IF($A1561="","",COUNTIFS(Orders!$C$2:$C$20001,$A1561,Orders!$E$2:$E$20001,"Prepaid",Orders!$F$2:$F$20001,"RTO"))</f>
        <v/>
      </c>
      <c r="G1561" s="18" t="str">
        <f aca="false">IF($A1561="","",IFERROR(F1561/E1561,0))</f>
        <v/>
      </c>
      <c r="H1561" s="19" t="str">
        <f aca="false">IF($A1561="","",C1561*Settings!$B$11)</f>
        <v/>
      </c>
      <c r="I1561" s="20" t="str">
        <f aca="false">IF($A1561="","",IF(N(H1561)=0,"",RANK(H1561,$H$5:$H$2004)))</f>
        <v/>
      </c>
      <c r="J1561" s="21" t="str">
        <f aca="false">IF($A1561="","",IF(B1561=0,"No COD orders",IF(B1561&lt;Settings!$B$8,"Too few orders",IF(D1561&gt;=Settings!$B$9,"Restrict COD or verify","Keep COD"))))</f>
        <v/>
      </c>
    </row>
    <row r="1562" customFormat="false" ht="15" hidden="false" customHeight="false" outlineLevel="0" collapsed="false">
      <c r="A1562" s="27"/>
      <c r="B1562" s="17" t="str">
        <f aca="false">IF($A1562="","",COUNTIFS(Orders!$C$2:$C$20001,$A1562,Orders!$E$2:$E$20001,"COD",Orders!$F$2:$F$20001,"Delivered")+COUNTIFS(Orders!$C$2:$C$20001,$A1562,Orders!$E$2:$E$20001,"COD",Orders!$F$2:$F$20001,"RTO"))</f>
        <v/>
      </c>
      <c r="C1562" s="17" t="str">
        <f aca="false">IF($A1562="","",COUNTIFS(Orders!$C$2:$C$20001,$A1562,Orders!$E$2:$E$20001,"COD",Orders!$F$2:$F$20001,"RTO"))</f>
        <v/>
      </c>
      <c r="D1562" s="18" t="str">
        <f aca="false">IF($A1562="","",IFERROR(C1562/B1562,0))</f>
        <v/>
      </c>
      <c r="E1562" s="17" t="str">
        <f aca="false">IF($A1562="","",COUNTIFS(Orders!$C$2:$C$20001,$A1562,Orders!$E$2:$E$20001,"Prepaid",Orders!$F$2:$F$20001,"Delivered")+COUNTIFS(Orders!$C$2:$C$20001,$A1562,Orders!$E$2:$E$20001,"Prepaid",Orders!$F$2:$F$20001,"RTO"))</f>
        <v/>
      </c>
      <c r="F1562" s="17" t="str">
        <f aca="false">IF($A1562="","",COUNTIFS(Orders!$C$2:$C$20001,$A1562,Orders!$E$2:$E$20001,"Prepaid",Orders!$F$2:$F$20001,"RTO"))</f>
        <v/>
      </c>
      <c r="G1562" s="18" t="str">
        <f aca="false">IF($A1562="","",IFERROR(F1562/E1562,0))</f>
        <v/>
      </c>
      <c r="H1562" s="19" t="str">
        <f aca="false">IF($A1562="","",C1562*Settings!$B$11)</f>
        <v/>
      </c>
      <c r="I1562" s="20" t="str">
        <f aca="false">IF($A1562="","",IF(N(H1562)=0,"",RANK(H1562,$H$5:$H$2004)))</f>
        <v/>
      </c>
      <c r="J1562" s="21" t="str">
        <f aca="false">IF($A1562="","",IF(B1562=0,"No COD orders",IF(B1562&lt;Settings!$B$8,"Too few orders",IF(D1562&gt;=Settings!$B$9,"Restrict COD or verify","Keep COD"))))</f>
        <v/>
      </c>
    </row>
    <row r="1563" customFormat="false" ht="15" hidden="false" customHeight="false" outlineLevel="0" collapsed="false">
      <c r="A1563" s="27"/>
      <c r="B1563" s="17" t="str">
        <f aca="false">IF($A1563="","",COUNTIFS(Orders!$C$2:$C$20001,$A1563,Orders!$E$2:$E$20001,"COD",Orders!$F$2:$F$20001,"Delivered")+COUNTIFS(Orders!$C$2:$C$20001,$A1563,Orders!$E$2:$E$20001,"COD",Orders!$F$2:$F$20001,"RTO"))</f>
        <v/>
      </c>
      <c r="C1563" s="17" t="str">
        <f aca="false">IF($A1563="","",COUNTIFS(Orders!$C$2:$C$20001,$A1563,Orders!$E$2:$E$20001,"COD",Orders!$F$2:$F$20001,"RTO"))</f>
        <v/>
      </c>
      <c r="D1563" s="18" t="str">
        <f aca="false">IF($A1563="","",IFERROR(C1563/B1563,0))</f>
        <v/>
      </c>
      <c r="E1563" s="17" t="str">
        <f aca="false">IF($A1563="","",COUNTIFS(Orders!$C$2:$C$20001,$A1563,Orders!$E$2:$E$20001,"Prepaid",Orders!$F$2:$F$20001,"Delivered")+COUNTIFS(Orders!$C$2:$C$20001,$A1563,Orders!$E$2:$E$20001,"Prepaid",Orders!$F$2:$F$20001,"RTO"))</f>
        <v/>
      </c>
      <c r="F1563" s="17" t="str">
        <f aca="false">IF($A1563="","",COUNTIFS(Orders!$C$2:$C$20001,$A1563,Orders!$E$2:$E$20001,"Prepaid",Orders!$F$2:$F$20001,"RTO"))</f>
        <v/>
      </c>
      <c r="G1563" s="18" t="str">
        <f aca="false">IF($A1563="","",IFERROR(F1563/E1563,0))</f>
        <v/>
      </c>
      <c r="H1563" s="19" t="str">
        <f aca="false">IF($A1563="","",C1563*Settings!$B$11)</f>
        <v/>
      </c>
      <c r="I1563" s="20" t="str">
        <f aca="false">IF($A1563="","",IF(N(H1563)=0,"",RANK(H1563,$H$5:$H$2004)))</f>
        <v/>
      </c>
      <c r="J1563" s="21" t="str">
        <f aca="false">IF($A1563="","",IF(B1563=0,"No COD orders",IF(B1563&lt;Settings!$B$8,"Too few orders",IF(D1563&gt;=Settings!$B$9,"Restrict COD or verify","Keep COD"))))</f>
        <v/>
      </c>
    </row>
    <row r="1564" customFormat="false" ht="15" hidden="false" customHeight="false" outlineLevel="0" collapsed="false">
      <c r="A1564" s="27"/>
      <c r="B1564" s="17" t="str">
        <f aca="false">IF($A1564="","",COUNTIFS(Orders!$C$2:$C$20001,$A1564,Orders!$E$2:$E$20001,"COD",Orders!$F$2:$F$20001,"Delivered")+COUNTIFS(Orders!$C$2:$C$20001,$A1564,Orders!$E$2:$E$20001,"COD",Orders!$F$2:$F$20001,"RTO"))</f>
        <v/>
      </c>
      <c r="C1564" s="17" t="str">
        <f aca="false">IF($A1564="","",COUNTIFS(Orders!$C$2:$C$20001,$A1564,Orders!$E$2:$E$20001,"COD",Orders!$F$2:$F$20001,"RTO"))</f>
        <v/>
      </c>
      <c r="D1564" s="18" t="str">
        <f aca="false">IF($A1564="","",IFERROR(C1564/B1564,0))</f>
        <v/>
      </c>
      <c r="E1564" s="17" t="str">
        <f aca="false">IF($A1564="","",COUNTIFS(Orders!$C$2:$C$20001,$A1564,Orders!$E$2:$E$20001,"Prepaid",Orders!$F$2:$F$20001,"Delivered")+COUNTIFS(Orders!$C$2:$C$20001,$A1564,Orders!$E$2:$E$20001,"Prepaid",Orders!$F$2:$F$20001,"RTO"))</f>
        <v/>
      </c>
      <c r="F1564" s="17" t="str">
        <f aca="false">IF($A1564="","",COUNTIFS(Orders!$C$2:$C$20001,$A1564,Orders!$E$2:$E$20001,"Prepaid",Orders!$F$2:$F$20001,"RTO"))</f>
        <v/>
      </c>
      <c r="G1564" s="18" t="str">
        <f aca="false">IF($A1564="","",IFERROR(F1564/E1564,0))</f>
        <v/>
      </c>
      <c r="H1564" s="19" t="str">
        <f aca="false">IF($A1564="","",C1564*Settings!$B$11)</f>
        <v/>
      </c>
      <c r="I1564" s="20" t="str">
        <f aca="false">IF($A1564="","",IF(N(H1564)=0,"",RANK(H1564,$H$5:$H$2004)))</f>
        <v/>
      </c>
      <c r="J1564" s="21" t="str">
        <f aca="false">IF($A1564="","",IF(B1564=0,"No COD orders",IF(B1564&lt;Settings!$B$8,"Too few orders",IF(D1564&gt;=Settings!$B$9,"Restrict COD or verify","Keep COD"))))</f>
        <v/>
      </c>
    </row>
    <row r="1565" customFormat="false" ht="15" hidden="false" customHeight="false" outlineLevel="0" collapsed="false">
      <c r="A1565" s="27"/>
      <c r="B1565" s="17" t="str">
        <f aca="false">IF($A1565="","",COUNTIFS(Orders!$C$2:$C$20001,$A1565,Orders!$E$2:$E$20001,"COD",Orders!$F$2:$F$20001,"Delivered")+COUNTIFS(Orders!$C$2:$C$20001,$A1565,Orders!$E$2:$E$20001,"COD",Orders!$F$2:$F$20001,"RTO"))</f>
        <v/>
      </c>
      <c r="C1565" s="17" t="str">
        <f aca="false">IF($A1565="","",COUNTIFS(Orders!$C$2:$C$20001,$A1565,Orders!$E$2:$E$20001,"COD",Orders!$F$2:$F$20001,"RTO"))</f>
        <v/>
      </c>
      <c r="D1565" s="18" t="str">
        <f aca="false">IF($A1565="","",IFERROR(C1565/B1565,0))</f>
        <v/>
      </c>
      <c r="E1565" s="17" t="str">
        <f aca="false">IF($A1565="","",COUNTIFS(Orders!$C$2:$C$20001,$A1565,Orders!$E$2:$E$20001,"Prepaid",Orders!$F$2:$F$20001,"Delivered")+COUNTIFS(Orders!$C$2:$C$20001,$A1565,Orders!$E$2:$E$20001,"Prepaid",Orders!$F$2:$F$20001,"RTO"))</f>
        <v/>
      </c>
      <c r="F1565" s="17" t="str">
        <f aca="false">IF($A1565="","",COUNTIFS(Orders!$C$2:$C$20001,$A1565,Orders!$E$2:$E$20001,"Prepaid",Orders!$F$2:$F$20001,"RTO"))</f>
        <v/>
      </c>
      <c r="G1565" s="18" t="str">
        <f aca="false">IF($A1565="","",IFERROR(F1565/E1565,0))</f>
        <v/>
      </c>
      <c r="H1565" s="19" t="str">
        <f aca="false">IF($A1565="","",C1565*Settings!$B$11)</f>
        <v/>
      </c>
      <c r="I1565" s="20" t="str">
        <f aca="false">IF($A1565="","",IF(N(H1565)=0,"",RANK(H1565,$H$5:$H$2004)))</f>
        <v/>
      </c>
      <c r="J1565" s="21" t="str">
        <f aca="false">IF($A1565="","",IF(B1565=0,"No COD orders",IF(B1565&lt;Settings!$B$8,"Too few orders",IF(D1565&gt;=Settings!$B$9,"Restrict COD or verify","Keep COD"))))</f>
        <v/>
      </c>
    </row>
    <row r="1566" customFormat="false" ht="15" hidden="false" customHeight="false" outlineLevel="0" collapsed="false">
      <c r="A1566" s="27"/>
      <c r="B1566" s="17" t="str">
        <f aca="false">IF($A1566="","",COUNTIFS(Orders!$C$2:$C$20001,$A1566,Orders!$E$2:$E$20001,"COD",Orders!$F$2:$F$20001,"Delivered")+COUNTIFS(Orders!$C$2:$C$20001,$A1566,Orders!$E$2:$E$20001,"COD",Orders!$F$2:$F$20001,"RTO"))</f>
        <v/>
      </c>
      <c r="C1566" s="17" t="str">
        <f aca="false">IF($A1566="","",COUNTIFS(Orders!$C$2:$C$20001,$A1566,Orders!$E$2:$E$20001,"COD",Orders!$F$2:$F$20001,"RTO"))</f>
        <v/>
      </c>
      <c r="D1566" s="18" t="str">
        <f aca="false">IF($A1566="","",IFERROR(C1566/B1566,0))</f>
        <v/>
      </c>
      <c r="E1566" s="17" t="str">
        <f aca="false">IF($A1566="","",COUNTIFS(Orders!$C$2:$C$20001,$A1566,Orders!$E$2:$E$20001,"Prepaid",Orders!$F$2:$F$20001,"Delivered")+COUNTIFS(Orders!$C$2:$C$20001,$A1566,Orders!$E$2:$E$20001,"Prepaid",Orders!$F$2:$F$20001,"RTO"))</f>
        <v/>
      </c>
      <c r="F1566" s="17" t="str">
        <f aca="false">IF($A1566="","",COUNTIFS(Orders!$C$2:$C$20001,$A1566,Orders!$E$2:$E$20001,"Prepaid",Orders!$F$2:$F$20001,"RTO"))</f>
        <v/>
      </c>
      <c r="G1566" s="18" t="str">
        <f aca="false">IF($A1566="","",IFERROR(F1566/E1566,0))</f>
        <v/>
      </c>
      <c r="H1566" s="19" t="str">
        <f aca="false">IF($A1566="","",C1566*Settings!$B$11)</f>
        <v/>
      </c>
      <c r="I1566" s="20" t="str">
        <f aca="false">IF($A1566="","",IF(N(H1566)=0,"",RANK(H1566,$H$5:$H$2004)))</f>
        <v/>
      </c>
      <c r="J1566" s="21" t="str">
        <f aca="false">IF($A1566="","",IF(B1566=0,"No COD orders",IF(B1566&lt;Settings!$B$8,"Too few orders",IF(D1566&gt;=Settings!$B$9,"Restrict COD or verify","Keep COD"))))</f>
        <v/>
      </c>
    </row>
    <row r="1567" customFormat="false" ht="15" hidden="false" customHeight="false" outlineLevel="0" collapsed="false">
      <c r="A1567" s="27"/>
      <c r="B1567" s="17" t="str">
        <f aca="false">IF($A1567="","",COUNTIFS(Orders!$C$2:$C$20001,$A1567,Orders!$E$2:$E$20001,"COD",Orders!$F$2:$F$20001,"Delivered")+COUNTIFS(Orders!$C$2:$C$20001,$A1567,Orders!$E$2:$E$20001,"COD",Orders!$F$2:$F$20001,"RTO"))</f>
        <v/>
      </c>
      <c r="C1567" s="17" t="str">
        <f aca="false">IF($A1567="","",COUNTIFS(Orders!$C$2:$C$20001,$A1567,Orders!$E$2:$E$20001,"COD",Orders!$F$2:$F$20001,"RTO"))</f>
        <v/>
      </c>
      <c r="D1567" s="18" t="str">
        <f aca="false">IF($A1567="","",IFERROR(C1567/B1567,0))</f>
        <v/>
      </c>
      <c r="E1567" s="17" t="str">
        <f aca="false">IF($A1567="","",COUNTIFS(Orders!$C$2:$C$20001,$A1567,Orders!$E$2:$E$20001,"Prepaid",Orders!$F$2:$F$20001,"Delivered")+COUNTIFS(Orders!$C$2:$C$20001,$A1567,Orders!$E$2:$E$20001,"Prepaid",Orders!$F$2:$F$20001,"RTO"))</f>
        <v/>
      </c>
      <c r="F1567" s="17" t="str">
        <f aca="false">IF($A1567="","",COUNTIFS(Orders!$C$2:$C$20001,$A1567,Orders!$E$2:$E$20001,"Prepaid",Orders!$F$2:$F$20001,"RTO"))</f>
        <v/>
      </c>
      <c r="G1567" s="18" t="str">
        <f aca="false">IF($A1567="","",IFERROR(F1567/E1567,0))</f>
        <v/>
      </c>
      <c r="H1567" s="19" t="str">
        <f aca="false">IF($A1567="","",C1567*Settings!$B$11)</f>
        <v/>
      </c>
      <c r="I1567" s="20" t="str">
        <f aca="false">IF($A1567="","",IF(N(H1567)=0,"",RANK(H1567,$H$5:$H$2004)))</f>
        <v/>
      </c>
      <c r="J1567" s="21" t="str">
        <f aca="false">IF($A1567="","",IF(B1567=0,"No COD orders",IF(B1567&lt;Settings!$B$8,"Too few orders",IF(D1567&gt;=Settings!$B$9,"Restrict COD or verify","Keep COD"))))</f>
        <v/>
      </c>
    </row>
    <row r="1568" customFormat="false" ht="15" hidden="false" customHeight="false" outlineLevel="0" collapsed="false">
      <c r="A1568" s="27"/>
      <c r="B1568" s="17" t="str">
        <f aca="false">IF($A1568="","",COUNTIFS(Orders!$C$2:$C$20001,$A1568,Orders!$E$2:$E$20001,"COD",Orders!$F$2:$F$20001,"Delivered")+COUNTIFS(Orders!$C$2:$C$20001,$A1568,Orders!$E$2:$E$20001,"COD",Orders!$F$2:$F$20001,"RTO"))</f>
        <v/>
      </c>
      <c r="C1568" s="17" t="str">
        <f aca="false">IF($A1568="","",COUNTIFS(Orders!$C$2:$C$20001,$A1568,Orders!$E$2:$E$20001,"COD",Orders!$F$2:$F$20001,"RTO"))</f>
        <v/>
      </c>
      <c r="D1568" s="18" t="str">
        <f aca="false">IF($A1568="","",IFERROR(C1568/B1568,0))</f>
        <v/>
      </c>
      <c r="E1568" s="17" t="str">
        <f aca="false">IF($A1568="","",COUNTIFS(Orders!$C$2:$C$20001,$A1568,Orders!$E$2:$E$20001,"Prepaid",Orders!$F$2:$F$20001,"Delivered")+COUNTIFS(Orders!$C$2:$C$20001,$A1568,Orders!$E$2:$E$20001,"Prepaid",Orders!$F$2:$F$20001,"RTO"))</f>
        <v/>
      </c>
      <c r="F1568" s="17" t="str">
        <f aca="false">IF($A1568="","",COUNTIFS(Orders!$C$2:$C$20001,$A1568,Orders!$E$2:$E$20001,"Prepaid",Orders!$F$2:$F$20001,"RTO"))</f>
        <v/>
      </c>
      <c r="G1568" s="18" t="str">
        <f aca="false">IF($A1568="","",IFERROR(F1568/E1568,0))</f>
        <v/>
      </c>
      <c r="H1568" s="19" t="str">
        <f aca="false">IF($A1568="","",C1568*Settings!$B$11)</f>
        <v/>
      </c>
      <c r="I1568" s="20" t="str">
        <f aca="false">IF($A1568="","",IF(N(H1568)=0,"",RANK(H1568,$H$5:$H$2004)))</f>
        <v/>
      </c>
      <c r="J1568" s="21" t="str">
        <f aca="false">IF($A1568="","",IF(B1568=0,"No COD orders",IF(B1568&lt;Settings!$B$8,"Too few orders",IF(D1568&gt;=Settings!$B$9,"Restrict COD or verify","Keep COD"))))</f>
        <v/>
      </c>
    </row>
    <row r="1569" customFormat="false" ht="15" hidden="false" customHeight="false" outlineLevel="0" collapsed="false">
      <c r="A1569" s="27"/>
      <c r="B1569" s="17" t="str">
        <f aca="false">IF($A1569="","",COUNTIFS(Orders!$C$2:$C$20001,$A1569,Orders!$E$2:$E$20001,"COD",Orders!$F$2:$F$20001,"Delivered")+COUNTIFS(Orders!$C$2:$C$20001,$A1569,Orders!$E$2:$E$20001,"COD",Orders!$F$2:$F$20001,"RTO"))</f>
        <v/>
      </c>
      <c r="C1569" s="17" t="str">
        <f aca="false">IF($A1569="","",COUNTIFS(Orders!$C$2:$C$20001,$A1569,Orders!$E$2:$E$20001,"COD",Orders!$F$2:$F$20001,"RTO"))</f>
        <v/>
      </c>
      <c r="D1569" s="18" t="str">
        <f aca="false">IF($A1569="","",IFERROR(C1569/B1569,0))</f>
        <v/>
      </c>
      <c r="E1569" s="17" t="str">
        <f aca="false">IF($A1569="","",COUNTIFS(Orders!$C$2:$C$20001,$A1569,Orders!$E$2:$E$20001,"Prepaid",Orders!$F$2:$F$20001,"Delivered")+COUNTIFS(Orders!$C$2:$C$20001,$A1569,Orders!$E$2:$E$20001,"Prepaid",Orders!$F$2:$F$20001,"RTO"))</f>
        <v/>
      </c>
      <c r="F1569" s="17" t="str">
        <f aca="false">IF($A1569="","",COUNTIFS(Orders!$C$2:$C$20001,$A1569,Orders!$E$2:$E$20001,"Prepaid",Orders!$F$2:$F$20001,"RTO"))</f>
        <v/>
      </c>
      <c r="G1569" s="18" t="str">
        <f aca="false">IF($A1569="","",IFERROR(F1569/E1569,0))</f>
        <v/>
      </c>
      <c r="H1569" s="19" t="str">
        <f aca="false">IF($A1569="","",C1569*Settings!$B$11)</f>
        <v/>
      </c>
      <c r="I1569" s="20" t="str">
        <f aca="false">IF($A1569="","",IF(N(H1569)=0,"",RANK(H1569,$H$5:$H$2004)))</f>
        <v/>
      </c>
      <c r="J1569" s="21" t="str">
        <f aca="false">IF($A1569="","",IF(B1569=0,"No COD orders",IF(B1569&lt;Settings!$B$8,"Too few orders",IF(D1569&gt;=Settings!$B$9,"Restrict COD or verify","Keep COD"))))</f>
        <v/>
      </c>
    </row>
    <row r="1570" customFormat="false" ht="15" hidden="false" customHeight="false" outlineLevel="0" collapsed="false">
      <c r="A1570" s="27"/>
      <c r="B1570" s="17" t="str">
        <f aca="false">IF($A1570="","",COUNTIFS(Orders!$C$2:$C$20001,$A1570,Orders!$E$2:$E$20001,"COD",Orders!$F$2:$F$20001,"Delivered")+COUNTIFS(Orders!$C$2:$C$20001,$A1570,Orders!$E$2:$E$20001,"COD",Orders!$F$2:$F$20001,"RTO"))</f>
        <v/>
      </c>
      <c r="C1570" s="17" t="str">
        <f aca="false">IF($A1570="","",COUNTIFS(Orders!$C$2:$C$20001,$A1570,Orders!$E$2:$E$20001,"COD",Orders!$F$2:$F$20001,"RTO"))</f>
        <v/>
      </c>
      <c r="D1570" s="18" t="str">
        <f aca="false">IF($A1570="","",IFERROR(C1570/B1570,0))</f>
        <v/>
      </c>
      <c r="E1570" s="17" t="str">
        <f aca="false">IF($A1570="","",COUNTIFS(Orders!$C$2:$C$20001,$A1570,Orders!$E$2:$E$20001,"Prepaid",Orders!$F$2:$F$20001,"Delivered")+COUNTIFS(Orders!$C$2:$C$20001,$A1570,Orders!$E$2:$E$20001,"Prepaid",Orders!$F$2:$F$20001,"RTO"))</f>
        <v/>
      </c>
      <c r="F1570" s="17" t="str">
        <f aca="false">IF($A1570="","",COUNTIFS(Orders!$C$2:$C$20001,$A1570,Orders!$E$2:$E$20001,"Prepaid",Orders!$F$2:$F$20001,"RTO"))</f>
        <v/>
      </c>
      <c r="G1570" s="18" t="str">
        <f aca="false">IF($A1570="","",IFERROR(F1570/E1570,0))</f>
        <v/>
      </c>
      <c r="H1570" s="19" t="str">
        <f aca="false">IF($A1570="","",C1570*Settings!$B$11)</f>
        <v/>
      </c>
      <c r="I1570" s="20" t="str">
        <f aca="false">IF($A1570="","",IF(N(H1570)=0,"",RANK(H1570,$H$5:$H$2004)))</f>
        <v/>
      </c>
      <c r="J1570" s="21" t="str">
        <f aca="false">IF($A1570="","",IF(B1570=0,"No COD orders",IF(B1570&lt;Settings!$B$8,"Too few orders",IF(D1570&gt;=Settings!$B$9,"Restrict COD or verify","Keep COD"))))</f>
        <v/>
      </c>
    </row>
    <row r="1571" customFormat="false" ht="15" hidden="false" customHeight="false" outlineLevel="0" collapsed="false">
      <c r="A1571" s="27"/>
      <c r="B1571" s="17" t="str">
        <f aca="false">IF($A1571="","",COUNTIFS(Orders!$C$2:$C$20001,$A1571,Orders!$E$2:$E$20001,"COD",Orders!$F$2:$F$20001,"Delivered")+COUNTIFS(Orders!$C$2:$C$20001,$A1571,Orders!$E$2:$E$20001,"COD",Orders!$F$2:$F$20001,"RTO"))</f>
        <v/>
      </c>
      <c r="C1571" s="17" t="str">
        <f aca="false">IF($A1571="","",COUNTIFS(Orders!$C$2:$C$20001,$A1571,Orders!$E$2:$E$20001,"COD",Orders!$F$2:$F$20001,"RTO"))</f>
        <v/>
      </c>
      <c r="D1571" s="18" t="str">
        <f aca="false">IF($A1571="","",IFERROR(C1571/B1571,0))</f>
        <v/>
      </c>
      <c r="E1571" s="17" t="str">
        <f aca="false">IF($A1571="","",COUNTIFS(Orders!$C$2:$C$20001,$A1571,Orders!$E$2:$E$20001,"Prepaid",Orders!$F$2:$F$20001,"Delivered")+COUNTIFS(Orders!$C$2:$C$20001,$A1571,Orders!$E$2:$E$20001,"Prepaid",Orders!$F$2:$F$20001,"RTO"))</f>
        <v/>
      </c>
      <c r="F1571" s="17" t="str">
        <f aca="false">IF($A1571="","",COUNTIFS(Orders!$C$2:$C$20001,$A1571,Orders!$E$2:$E$20001,"Prepaid",Orders!$F$2:$F$20001,"RTO"))</f>
        <v/>
      </c>
      <c r="G1571" s="18" t="str">
        <f aca="false">IF($A1571="","",IFERROR(F1571/E1571,0))</f>
        <v/>
      </c>
      <c r="H1571" s="19" t="str">
        <f aca="false">IF($A1571="","",C1571*Settings!$B$11)</f>
        <v/>
      </c>
      <c r="I1571" s="20" t="str">
        <f aca="false">IF($A1571="","",IF(N(H1571)=0,"",RANK(H1571,$H$5:$H$2004)))</f>
        <v/>
      </c>
      <c r="J1571" s="21" t="str">
        <f aca="false">IF($A1571="","",IF(B1571=0,"No COD orders",IF(B1571&lt;Settings!$B$8,"Too few orders",IF(D1571&gt;=Settings!$B$9,"Restrict COD or verify","Keep COD"))))</f>
        <v/>
      </c>
    </row>
    <row r="1572" customFormat="false" ht="15" hidden="false" customHeight="false" outlineLevel="0" collapsed="false">
      <c r="A1572" s="27"/>
      <c r="B1572" s="17" t="str">
        <f aca="false">IF($A1572="","",COUNTIFS(Orders!$C$2:$C$20001,$A1572,Orders!$E$2:$E$20001,"COD",Orders!$F$2:$F$20001,"Delivered")+COUNTIFS(Orders!$C$2:$C$20001,$A1572,Orders!$E$2:$E$20001,"COD",Orders!$F$2:$F$20001,"RTO"))</f>
        <v/>
      </c>
      <c r="C1572" s="17" t="str">
        <f aca="false">IF($A1572="","",COUNTIFS(Orders!$C$2:$C$20001,$A1572,Orders!$E$2:$E$20001,"COD",Orders!$F$2:$F$20001,"RTO"))</f>
        <v/>
      </c>
      <c r="D1572" s="18" t="str">
        <f aca="false">IF($A1572="","",IFERROR(C1572/B1572,0))</f>
        <v/>
      </c>
      <c r="E1572" s="17" t="str">
        <f aca="false">IF($A1572="","",COUNTIFS(Orders!$C$2:$C$20001,$A1572,Orders!$E$2:$E$20001,"Prepaid",Orders!$F$2:$F$20001,"Delivered")+COUNTIFS(Orders!$C$2:$C$20001,$A1572,Orders!$E$2:$E$20001,"Prepaid",Orders!$F$2:$F$20001,"RTO"))</f>
        <v/>
      </c>
      <c r="F1572" s="17" t="str">
        <f aca="false">IF($A1572="","",COUNTIFS(Orders!$C$2:$C$20001,$A1572,Orders!$E$2:$E$20001,"Prepaid",Orders!$F$2:$F$20001,"RTO"))</f>
        <v/>
      </c>
      <c r="G1572" s="18" t="str">
        <f aca="false">IF($A1572="","",IFERROR(F1572/E1572,0))</f>
        <v/>
      </c>
      <c r="H1572" s="19" t="str">
        <f aca="false">IF($A1572="","",C1572*Settings!$B$11)</f>
        <v/>
      </c>
      <c r="I1572" s="20" t="str">
        <f aca="false">IF($A1572="","",IF(N(H1572)=0,"",RANK(H1572,$H$5:$H$2004)))</f>
        <v/>
      </c>
      <c r="J1572" s="21" t="str">
        <f aca="false">IF($A1572="","",IF(B1572=0,"No COD orders",IF(B1572&lt;Settings!$B$8,"Too few orders",IF(D1572&gt;=Settings!$B$9,"Restrict COD or verify","Keep COD"))))</f>
        <v/>
      </c>
    </row>
    <row r="1573" customFormat="false" ht="15" hidden="false" customHeight="false" outlineLevel="0" collapsed="false">
      <c r="A1573" s="27"/>
      <c r="B1573" s="17" t="str">
        <f aca="false">IF($A1573="","",COUNTIFS(Orders!$C$2:$C$20001,$A1573,Orders!$E$2:$E$20001,"COD",Orders!$F$2:$F$20001,"Delivered")+COUNTIFS(Orders!$C$2:$C$20001,$A1573,Orders!$E$2:$E$20001,"COD",Orders!$F$2:$F$20001,"RTO"))</f>
        <v/>
      </c>
      <c r="C1573" s="17" t="str">
        <f aca="false">IF($A1573="","",COUNTIFS(Orders!$C$2:$C$20001,$A1573,Orders!$E$2:$E$20001,"COD",Orders!$F$2:$F$20001,"RTO"))</f>
        <v/>
      </c>
      <c r="D1573" s="18" t="str">
        <f aca="false">IF($A1573="","",IFERROR(C1573/B1573,0))</f>
        <v/>
      </c>
      <c r="E1573" s="17" t="str">
        <f aca="false">IF($A1573="","",COUNTIFS(Orders!$C$2:$C$20001,$A1573,Orders!$E$2:$E$20001,"Prepaid",Orders!$F$2:$F$20001,"Delivered")+COUNTIFS(Orders!$C$2:$C$20001,$A1573,Orders!$E$2:$E$20001,"Prepaid",Orders!$F$2:$F$20001,"RTO"))</f>
        <v/>
      </c>
      <c r="F1573" s="17" t="str">
        <f aca="false">IF($A1573="","",COUNTIFS(Orders!$C$2:$C$20001,$A1573,Orders!$E$2:$E$20001,"Prepaid",Orders!$F$2:$F$20001,"RTO"))</f>
        <v/>
      </c>
      <c r="G1573" s="18" t="str">
        <f aca="false">IF($A1573="","",IFERROR(F1573/E1573,0))</f>
        <v/>
      </c>
      <c r="H1573" s="19" t="str">
        <f aca="false">IF($A1573="","",C1573*Settings!$B$11)</f>
        <v/>
      </c>
      <c r="I1573" s="20" t="str">
        <f aca="false">IF($A1573="","",IF(N(H1573)=0,"",RANK(H1573,$H$5:$H$2004)))</f>
        <v/>
      </c>
      <c r="J1573" s="21" t="str">
        <f aca="false">IF($A1573="","",IF(B1573=0,"No COD orders",IF(B1573&lt;Settings!$B$8,"Too few orders",IF(D1573&gt;=Settings!$B$9,"Restrict COD or verify","Keep COD"))))</f>
        <v/>
      </c>
    </row>
    <row r="1574" customFormat="false" ht="15" hidden="false" customHeight="false" outlineLevel="0" collapsed="false">
      <c r="A1574" s="27"/>
      <c r="B1574" s="17" t="str">
        <f aca="false">IF($A1574="","",COUNTIFS(Orders!$C$2:$C$20001,$A1574,Orders!$E$2:$E$20001,"COD",Orders!$F$2:$F$20001,"Delivered")+COUNTIFS(Orders!$C$2:$C$20001,$A1574,Orders!$E$2:$E$20001,"COD",Orders!$F$2:$F$20001,"RTO"))</f>
        <v/>
      </c>
      <c r="C1574" s="17" t="str">
        <f aca="false">IF($A1574="","",COUNTIFS(Orders!$C$2:$C$20001,$A1574,Orders!$E$2:$E$20001,"COD",Orders!$F$2:$F$20001,"RTO"))</f>
        <v/>
      </c>
      <c r="D1574" s="18" t="str">
        <f aca="false">IF($A1574="","",IFERROR(C1574/B1574,0))</f>
        <v/>
      </c>
      <c r="E1574" s="17" t="str">
        <f aca="false">IF($A1574="","",COUNTIFS(Orders!$C$2:$C$20001,$A1574,Orders!$E$2:$E$20001,"Prepaid",Orders!$F$2:$F$20001,"Delivered")+COUNTIFS(Orders!$C$2:$C$20001,$A1574,Orders!$E$2:$E$20001,"Prepaid",Orders!$F$2:$F$20001,"RTO"))</f>
        <v/>
      </c>
      <c r="F1574" s="17" t="str">
        <f aca="false">IF($A1574="","",COUNTIFS(Orders!$C$2:$C$20001,$A1574,Orders!$E$2:$E$20001,"Prepaid",Orders!$F$2:$F$20001,"RTO"))</f>
        <v/>
      </c>
      <c r="G1574" s="18" t="str">
        <f aca="false">IF($A1574="","",IFERROR(F1574/E1574,0))</f>
        <v/>
      </c>
      <c r="H1574" s="19" t="str">
        <f aca="false">IF($A1574="","",C1574*Settings!$B$11)</f>
        <v/>
      </c>
      <c r="I1574" s="20" t="str">
        <f aca="false">IF($A1574="","",IF(N(H1574)=0,"",RANK(H1574,$H$5:$H$2004)))</f>
        <v/>
      </c>
      <c r="J1574" s="21" t="str">
        <f aca="false">IF($A1574="","",IF(B1574=0,"No COD orders",IF(B1574&lt;Settings!$B$8,"Too few orders",IF(D1574&gt;=Settings!$B$9,"Restrict COD or verify","Keep COD"))))</f>
        <v/>
      </c>
    </row>
    <row r="1575" customFormat="false" ht="15" hidden="false" customHeight="false" outlineLevel="0" collapsed="false">
      <c r="A1575" s="27"/>
      <c r="B1575" s="17" t="str">
        <f aca="false">IF($A1575="","",COUNTIFS(Orders!$C$2:$C$20001,$A1575,Orders!$E$2:$E$20001,"COD",Orders!$F$2:$F$20001,"Delivered")+COUNTIFS(Orders!$C$2:$C$20001,$A1575,Orders!$E$2:$E$20001,"COD",Orders!$F$2:$F$20001,"RTO"))</f>
        <v/>
      </c>
      <c r="C1575" s="17" t="str">
        <f aca="false">IF($A1575="","",COUNTIFS(Orders!$C$2:$C$20001,$A1575,Orders!$E$2:$E$20001,"COD",Orders!$F$2:$F$20001,"RTO"))</f>
        <v/>
      </c>
      <c r="D1575" s="18" t="str">
        <f aca="false">IF($A1575="","",IFERROR(C1575/B1575,0))</f>
        <v/>
      </c>
      <c r="E1575" s="17" t="str">
        <f aca="false">IF($A1575="","",COUNTIFS(Orders!$C$2:$C$20001,$A1575,Orders!$E$2:$E$20001,"Prepaid",Orders!$F$2:$F$20001,"Delivered")+COUNTIFS(Orders!$C$2:$C$20001,$A1575,Orders!$E$2:$E$20001,"Prepaid",Orders!$F$2:$F$20001,"RTO"))</f>
        <v/>
      </c>
      <c r="F1575" s="17" t="str">
        <f aca="false">IF($A1575="","",COUNTIFS(Orders!$C$2:$C$20001,$A1575,Orders!$E$2:$E$20001,"Prepaid",Orders!$F$2:$F$20001,"RTO"))</f>
        <v/>
      </c>
      <c r="G1575" s="18" t="str">
        <f aca="false">IF($A1575="","",IFERROR(F1575/E1575,0))</f>
        <v/>
      </c>
      <c r="H1575" s="19" t="str">
        <f aca="false">IF($A1575="","",C1575*Settings!$B$11)</f>
        <v/>
      </c>
      <c r="I1575" s="20" t="str">
        <f aca="false">IF($A1575="","",IF(N(H1575)=0,"",RANK(H1575,$H$5:$H$2004)))</f>
        <v/>
      </c>
      <c r="J1575" s="21" t="str">
        <f aca="false">IF($A1575="","",IF(B1575=0,"No COD orders",IF(B1575&lt;Settings!$B$8,"Too few orders",IF(D1575&gt;=Settings!$B$9,"Restrict COD or verify","Keep COD"))))</f>
        <v/>
      </c>
    </row>
    <row r="1576" customFormat="false" ht="15" hidden="false" customHeight="false" outlineLevel="0" collapsed="false">
      <c r="A1576" s="27"/>
      <c r="B1576" s="17" t="str">
        <f aca="false">IF($A1576="","",COUNTIFS(Orders!$C$2:$C$20001,$A1576,Orders!$E$2:$E$20001,"COD",Orders!$F$2:$F$20001,"Delivered")+COUNTIFS(Orders!$C$2:$C$20001,$A1576,Orders!$E$2:$E$20001,"COD",Orders!$F$2:$F$20001,"RTO"))</f>
        <v/>
      </c>
      <c r="C1576" s="17" t="str">
        <f aca="false">IF($A1576="","",COUNTIFS(Orders!$C$2:$C$20001,$A1576,Orders!$E$2:$E$20001,"COD",Orders!$F$2:$F$20001,"RTO"))</f>
        <v/>
      </c>
      <c r="D1576" s="18" t="str">
        <f aca="false">IF($A1576="","",IFERROR(C1576/B1576,0))</f>
        <v/>
      </c>
      <c r="E1576" s="17" t="str">
        <f aca="false">IF($A1576="","",COUNTIFS(Orders!$C$2:$C$20001,$A1576,Orders!$E$2:$E$20001,"Prepaid",Orders!$F$2:$F$20001,"Delivered")+COUNTIFS(Orders!$C$2:$C$20001,$A1576,Orders!$E$2:$E$20001,"Prepaid",Orders!$F$2:$F$20001,"RTO"))</f>
        <v/>
      </c>
      <c r="F1576" s="17" t="str">
        <f aca="false">IF($A1576="","",COUNTIFS(Orders!$C$2:$C$20001,$A1576,Orders!$E$2:$E$20001,"Prepaid",Orders!$F$2:$F$20001,"RTO"))</f>
        <v/>
      </c>
      <c r="G1576" s="18" t="str">
        <f aca="false">IF($A1576="","",IFERROR(F1576/E1576,0))</f>
        <v/>
      </c>
      <c r="H1576" s="19" t="str">
        <f aca="false">IF($A1576="","",C1576*Settings!$B$11)</f>
        <v/>
      </c>
      <c r="I1576" s="20" t="str">
        <f aca="false">IF($A1576="","",IF(N(H1576)=0,"",RANK(H1576,$H$5:$H$2004)))</f>
        <v/>
      </c>
      <c r="J1576" s="21" t="str">
        <f aca="false">IF($A1576="","",IF(B1576=0,"No COD orders",IF(B1576&lt;Settings!$B$8,"Too few orders",IF(D1576&gt;=Settings!$B$9,"Restrict COD or verify","Keep COD"))))</f>
        <v/>
      </c>
    </row>
    <row r="1577" customFormat="false" ht="15" hidden="false" customHeight="false" outlineLevel="0" collapsed="false">
      <c r="A1577" s="27"/>
      <c r="B1577" s="17" t="str">
        <f aca="false">IF($A1577="","",COUNTIFS(Orders!$C$2:$C$20001,$A1577,Orders!$E$2:$E$20001,"COD",Orders!$F$2:$F$20001,"Delivered")+COUNTIFS(Orders!$C$2:$C$20001,$A1577,Orders!$E$2:$E$20001,"COD",Orders!$F$2:$F$20001,"RTO"))</f>
        <v/>
      </c>
      <c r="C1577" s="17" t="str">
        <f aca="false">IF($A1577="","",COUNTIFS(Orders!$C$2:$C$20001,$A1577,Orders!$E$2:$E$20001,"COD",Orders!$F$2:$F$20001,"RTO"))</f>
        <v/>
      </c>
      <c r="D1577" s="18" t="str">
        <f aca="false">IF($A1577="","",IFERROR(C1577/B1577,0))</f>
        <v/>
      </c>
      <c r="E1577" s="17" t="str">
        <f aca="false">IF($A1577="","",COUNTIFS(Orders!$C$2:$C$20001,$A1577,Orders!$E$2:$E$20001,"Prepaid",Orders!$F$2:$F$20001,"Delivered")+COUNTIFS(Orders!$C$2:$C$20001,$A1577,Orders!$E$2:$E$20001,"Prepaid",Orders!$F$2:$F$20001,"RTO"))</f>
        <v/>
      </c>
      <c r="F1577" s="17" t="str">
        <f aca="false">IF($A1577="","",COUNTIFS(Orders!$C$2:$C$20001,$A1577,Orders!$E$2:$E$20001,"Prepaid",Orders!$F$2:$F$20001,"RTO"))</f>
        <v/>
      </c>
      <c r="G1577" s="18" t="str">
        <f aca="false">IF($A1577="","",IFERROR(F1577/E1577,0))</f>
        <v/>
      </c>
      <c r="H1577" s="19" t="str">
        <f aca="false">IF($A1577="","",C1577*Settings!$B$11)</f>
        <v/>
      </c>
      <c r="I1577" s="20" t="str">
        <f aca="false">IF($A1577="","",IF(N(H1577)=0,"",RANK(H1577,$H$5:$H$2004)))</f>
        <v/>
      </c>
      <c r="J1577" s="21" t="str">
        <f aca="false">IF($A1577="","",IF(B1577=0,"No COD orders",IF(B1577&lt;Settings!$B$8,"Too few orders",IF(D1577&gt;=Settings!$B$9,"Restrict COD or verify","Keep COD"))))</f>
        <v/>
      </c>
    </row>
    <row r="1578" customFormat="false" ht="15" hidden="false" customHeight="false" outlineLevel="0" collapsed="false">
      <c r="A1578" s="27"/>
      <c r="B1578" s="17" t="str">
        <f aca="false">IF($A1578="","",COUNTIFS(Orders!$C$2:$C$20001,$A1578,Orders!$E$2:$E$20001,"COD",Orders!$F$2:$F$20001,"Delivered")+COUNTIFS(Orders!$C$2:$C$20001,$A1578,Orders!$E$2:$E$20001,"COD",Orders!$F$2:$F$20001,"RTO"))</f>
        <v/>
      </c>
      <c r="C1578" s="17" t="str">
        <f aca="false">IF($A1578="","",COUNTIFS(Orders!$C$2:$C$20001,$A1578,Orders!$E$2:$E$20001,"COD",Orders!$F$2:$F$20001,"RTO"))</f>
        <v/>
      </c>
      <c r="D1578" s="18" t="str">
        <f aca="false">IF($A1578="","",IFERROR(C1578/B1578,0))</f>
        <v/>
      </c>
      <c r="E1578" s="17" t="str">
        <f aca="false">IF($A1578="","",COUNTIFS(Orders!$C$2:$C$20001,$A1578,Orders!$E$2:$E$20001,"Prepaid",Orders!$F$2:$F$20001,"Delivered")+COUNTIFS(Orders!$C$2:$C$20001,$A1578,Orders!$E$2:$E$20001,"Prepaid",Orders!$F$2:$F$20001,"RTO"))</f>
        <v/>
      </c>
      <c r="F1578" s="17" t="str">
        <f aca="false">IF($A1578="","",COUNTIFS(Orders!$C$2:$C$20001,$A1578,Orders!$E$2:$E$20001,"Prepaid",Orders!$F$2:$F$20001,"RTO"))</f>
        <v/>
      </c>
      <c r="G1578" s="18" t="str">
        <f aca="false">IF($A1578="","",IFERROR(F1578/E1578,0))</f>
        <v/>
      </c>
      <c r="H1578" s="19" t="str">
        <f aca="false">IF($A1578="","",C1578*Settings!$B$11)</f>
        <v/>
      </c>
      <c r="I1578" s="20" t="str">
        <f aca="false">IF($A1578="","",IF(N(H1578)=0,"",RANK(H1578,$H$5:$H$2004)))</f>
        <v/>
      </c>
      <c r="J1578" s="21" t="str">
        <f aca="false">IF($A1578="","",IF(B1578=0,"No COD orders",IF(B1578&lt;Settings!$B$8,"Too few orders",IF(D1578&gt;=Settings!$B$9,"Restrict COD or verify","Keep COD"))))</f>
        <v/>
      </c>
    </row>
    <row r="1579" customFormat="false" ht="15" hidden="false" customHeight="false" outlineLevel="0" collapsed="false">
      <c r="A1579" s="27"/>
      <c r="B1579" s="17" t="str">
        <f aca="false">IF($A1579="","",COUNTIFS(Orders!$C$2:$C$20001,$A1579,Orders!$E$2:$E$20001,"COD",Orders!$F$2:$F$20001,"Delivered")+COUNTIFS(Orders!$C$2:$C$20001,$A1579,Orders!$E$2:$E$20001,"COD",Orders!$F$2:$F$20001,"RTO"))</f>
        <v/>
      </c>
      <c r="C1579" s="17" t="str">
        <f aca="false">IF($A1579="","",COUNTIFS(Orders!$C$2:$C$20001,$A1579,Orders!$E$2:$E$20001,"COD",Orders!$F$2:$F$20001,"RTO"))</f>
        <v/>
      </c>
      <c r="D1579" s="18" t="str">
        <f aca="false">IF($A1579="","",IFERROR(C1579/B1579,0))</f>
        <v/>
      </c>
      <c r="E1579" s="17" t="str">
        <f aca="false">IF($A1579="","",COUNTIFS(Orders!$C$2:$C$20001,$A1579,Orders!$E$2:$E$20001,"Prepaid",Orders!$F$2:$F$20001,"Delivered")+COUNTIFS(Orders!$C$2:$C$20001,$A1579,Orders!$E$2:$E$20001,"Prepaid",Orders!$F$2:$F$20001,"RTO"))</f>
        <v/>
      </c>
      <c r="F1579" s="17" t="str">
        <f aca="false">IF($A1579="","",COUNTIFS(Orders!$C$2:$C$20001,$A1579,Orders!$E$2:$E$20001,"Prepaid",Orders!$F$2:$F$20001,"RTO"))</f>
        <v/>
      </c>
      <c r="G1579" s="18" t="str">
        <f aca="false">IF($A1579="","",IFERROR(F1579/E1579,0))</f>
        <v/>
      </c>
      <c r="H1579" s="19" t="str">
        <f aca="false">IF($A1579="","",C1579*Settings!$B$11)</f>
        <v/>
      </c>
      <c r="I1579" s="20" t="str">
        <f aca="false">IF($A1579="","",IF(N(H1579)=0,"",RANK(H1579,$H$5:$H$2004)))</f>
        <v/>
      </c>
      <c r="J1579" s="21" t="str">
        <f aca="false">IF($A1579="","",IF(B1579=0,"No COD orders",IF(B1579&lt;Settings!$B$8,"Too few orders",IF(D1579&gt;=Settings!$B$9,"Restrict COD or verify","Keep COD"))))</f>
        <v/>
      </c>
    </row>
    <row r="1580" customFormat="false" ht="15" hidden="false" customHeight="false" outlineLevel="0" collapsed="false">
      <c r="A1580" s="27"/>
      <c r="B1580" s="17" t="str">
        <f aca="false">IF($A1580="","",COUNTIFS(Orders!$C$2:$C$20001,$A1580,Orders!$E$2:$E$20001,"COD",Orders!$F$2:$F$20001,"Delivered")+COUNTIFS(Orders!$C$2:$C$20001,$A1580,Orders!$E$2:$E$20001,"COD",Orders!$F$2:$F$20001,"RTO"))</f>
        <v/>
      </c>
      <c r="C1580" s="17" t="str">
        <f aca="false">IF($A1580="","",COUNTIFS(Orders!$C$2:$C$20001,$A1580,Orders!$E$2:$E$20001,"COD",Orders!$F$2:$F$20001,"RTO"))</f>
        <v/>
      </c>
      <c r="D1580" s="18" t="str">
        <f aca="false">IF($A1580="","",IFERROR(C1580/B1580,0))</f>
        <v/>
      </c>
      <c r="E1580" s="17" t="str">
        <f aca="false">IF($A1580="","",COUNTIFS(Orders!$C$2:$C$20001,$A1580,Orders!$E$2:$E$20001,"Prepaid",Orders!$F$2:$F$20001,"Delivered")+COUNTIFS(Orders!$C$2:$C$20001,$A1580,Orders!$E$2:$E$20001,"Prepaid",Orders!$F$2:$F$20001,"RTO"))</f>
        <v/>
      </c>
      <c r="F1580" s="17" t="str">
        <f aca="false">IF($A1580="","",COUNTIFS(Orders!$C$2:$C$20001,$A1580,Orders!$E$2:$E$20001,"Prepaid",Orders!$F$2:$F$20001,"RTO"))</f>
        <v/>
      </c>
      <c r="G1580" s="18" t="str">
        <f aca="false">IF($A1580="","",IFERROR(F1580/E1580,0))</f>
        <v/>
      </c>
      <c r="H1580" s="19" t="str">
        <f aca="false">IF($A1580="","",C1580*Settings!$B$11)</f>
        <v/>
      </c>
      <c r="I1580" s="20" t="str">
        <f aca="false">IF($A1580="","",IF(N(H1580)=0,"",RANK(H1580,$H$5:$H$2004)))</f>
        <v/>
      </c>
      <c r="J1580" s="21" t="str">
        <f aca="false">IF($A1580="","",IF(B1580=0,"No COD orders",IF(B1580&lt;Settings!$B$8,"Too few orders",IF(D1580&gt;=Settings!$B$9,"Restrict COD or verify","Keep COD"))))</f>
        <v/>
      </c>
    </row>
    <row r="1581" customFormat="false" ht="15" hidden="false" customHeight="false" outlineLevel="0" collapsed="false">
      <c r="A1581" s="27"/>
      <c r="B1581" s="17" t="str">
        <f aca="false">IF($A1581="","",COUNTIFS(Orders!$C$2:$C$20001,$A1581,Orders!$E$2:$E$20001,"COD",Orders!$F$2:$F$20001,"Delivered")+COUNTIFS(Orders!$C$2:$C$20001,$A1581,Orders!$E$2:$E$20001,"COD",Orders!$F$2:$F$20001,"RTO"))</f>
        <v/>
      </c>
      <c r="C1581" s="17" t="str">
        <f aca="false">IF($A1581="","",COUNTIFS(Orders!$C$2:$C$20001,$A1581,Orders!$E$2:$E$20001,"COD",Orders!$F$2:$F$20001,"RTO"))</f>
        <v/>
      </c>
      <c r="D1581" s="18" t="str">
        <f aca="false">IF($A1581="","",IFERROR(C1581/B1581,0))</f>
        <v/>
      </c>
      <c r="E1581" s="17" t="str">
        <f aca="false">IF($A1581="","",COUNTIFS(Orders!$C$2:$C$20001,$A1581,Orders!$E$2:$E$20001,"Prepaid",Orders!$F$2:$F$20001,"Delivered")+COUNTIFS(Orders!$C$2:$C$20001,$A1581,Orders!$E$2:$E$20001,"Prepaid",Orders!$F$2:$F$20001,"RTO"))</f>
        <v/>
      </c>
      <c r="F1581" s="17" t="str">
        <f aca="false">IF($A1581="","",COUNTIFS(Orders!$C$2:$C$20001,$A1581,Orders!$E$2:$E$20001,"Prepaid",Orders!$F$2:$F$20001,"RTO"))</f>
        <v/>
      </c>
      <c r="G1581" s="18" t="str">
        <f aca="false">IF($A1581="","",IFERROR(F1581/E1581,0))</f>
        <v/>
      </c>
      <c r="H1581" s="19" t="str">
        <f aca="false">IF($A1581="","",C1581*Settings!$B$11)</f>
        <v/>
      </c>
      <c r="I1581" s="20" t="str">
        <f aca="false">IF($A1581="","",IF(N(H1581)=0,"",RANK(H1581,$H$5:$H$2004)))</f>
        <v/>
      </c>
      <c r="J1581" s="21" t="str">
        <f aca="false">IF($A1581="","",IF(B1581=0,"No COD orders",IF(B1581&lt;Settings!$B$8,"Too few orders",IF(D1581&gt;=Settings!$B$9,"Restrict COD or verify","Keep COD"))))</f>
        <v/>
      </c>
    </row>
    <row r="1582" customFormat="false" ht="15" hidden="false" customHeight="false" outlineLevel="0" collapsed="false">
      <c r="A1582" s="27"/>
      <c r="B1582" s="17" t="str">
        <f aca="false">IF($A1582="","",COUNTIFS(Orders!$C$2:$C$20001,$A1582,Orders!$E$2:$E$20001,"COD",Orders!$F$2:$F$20001,"Delivered")+COUNTIFS(Orders!$C$2:$C$20001,$A1582,Orders!$E$2:$E$20001,"COD",Orders!$F$2:$F$20001,"RTO"))</f>
        <v/>
      </c>
      <c r="C1582" s="17" t="str">
        <f aca="false">IF($A1582="","",COUNTIFS(Orders!$C$2:$C$20001,$A1582,Orders!$E$2:$E$20001,"COD",Orders!$F$2:$F$20001,"RTO"))</f>
        <v/>
      </c>
      <c r="D1582" s="18" t="str">
        <f aca="false">IF($A1582="","",IFERROR(C1582/B1582,0))</f>
        <v/>
      </c>
      <c r="E1582" s="17" t="str">
        <f aca="false">IF($A1582="","",COUNTIFS(Orders!$C$2:$C$20001,$A1582,Orders!$E$2:$E$20001,"Prepaid",Orders!$F$2:$F$20001,"Delivered")+COUNTIFS(Orders!$C$2:$C$20001,$A1582,Orders!$E$2:$E$20001,"Prepaid",Orders!$F$2:$F$20001,"RTO"))</f>
        <v/>
      </c>
      <c r="F1582" s="17" t="str">
        <f aca="false">IF($A1582="","",COUNTIFS(Orders!$C$2:$C$20001,$A1582,Orders!$E$2:$E$20001,"Prepaid",Orders!$F$2:$F$20001,"RTO"))</f>
        <v/>
      </c>
      <c r="G1582" s="18" t="str">
        <f aca="false">IF($A1582="","",IFERROR(F1582/E1582,0))</f>
        <v/>
      </c>
      <c r="H1582" s="19" t="str">
        <f aca="false">IF($A1582="","",C1582*Settings!$B$11)</f>
        <v/>
      </c>
      <c r="I1582" s="20" t="str">
        <f aca="false">IF($A1582="","",IF(N(H1582)=0,"",RANK(H1582,$H$5:$H$2004)))</f>
        <v/>
      </c>
      <c r="J1582" s="21" t="str">
        <f aca="false">IF($A1582="","",IF(B1582=0,"No COD orders",IF(B1582&lt;Settings!$B$8,"Too few orders",IF(D1582&gt;=Settings!$B$9,"Restrict COD or verify","Keep COD"))))</f>
        <v/>
      </c>
    </row>
    <row r="1583" customFormat="false" ht="15" hidden="false" customHeight="false" outlineLevel="0" collapsed="false">
      <c r="A1583" s="27"/>
      <c r="B1583" s="17" t="str">
        <f aca="false">IF($A1583="","",COUNTIFS(Orders!$C$2:$C$20001,$A1583,Orders!$E$2:$E$20001,"COD",Orders!$F$2:$F$20001,"Delivered")+COUNTIFS(Orders!$C$2:$C$20001,$A1583,Orders!$E$2:$E$20001,"COD",Orders!$F$2:$F$20001,"RTO"))</f>
        <v/>
      </c>
      <c r="C1583" s="17" t="str">
        <f aca="false">IF($A1583="","",COUNTIFS(Orders!$C$2:$C$20001,$A1583,Orders!$E$2:$E$20001,"COD",Orders!$F$2:$F$20001,"RTO"))</f>
        <v/>
      </c>
      <c r="D1583" s="18" t="str">
        <f aca="false">IF($A1583="","",IFERROR(C1583/B1583,0))</f>
        <v/>
      </c>
      <c r="E1583" s="17" t="str">
        <f aca="false">IF($A1583="","",COUNTIFS(Orders!$C$2:$C$20001,$A1583,Orders!$E$2:$E$20001,"Prepaid",Orders!$F$2:$F$20001,"Delivered")+COUNTIFS(Orders!$C$2:$C$20001,$A1583,Orders!$E$2:$E$20001,"Prepaid",Orders!$F$2:$F$20001,"RTO"))</f>
        <v/>
      </c>
      <c r="F1583" s="17" t="str">
        <f aca="false">IF($A1583="","",COUNTIFS(Orders!$C$2:$C$20001,$A1583,Orders!$E$2:$E$20001,"Prepaid",Orders!$F$2:$F$20001,"RTO"))</f>
        <v/>
      </c>
      <c r="G1583" s="18" t="str">
        <f aca="false">IF($A1583="","",IFERROR(F1583/E1583,0))</f>
        <v/>
      </c>
      <c r="H1583" s="19" t="str">
        <f aca="false">IF($A1583="","",C1583*Settings!$B$11)</f>
        <v/>
      </c>
      <c r="I1583" s="20" t="str">
        <f aca="false">IF($A1583="","",IF(N(H1583)=0,"",RANK(H1583,$H$5:$H$2004)))</f>
        <v/>
      </c>
      <c r="J1583" s="21" t="str">
        <f aca="false">IF($A1583="","",IF(B1583=0,"No COD orders",IF(B1583&lt;Settings!$B$8,"Too few orders",IF(D1583&gt;=Settings!$B$9,"Restrict COD or verify","Keep COD"))))</f>
        <v/>
      </c>
    </row>
    <row r="1584" customFormat="false" ht="15" hidden="false" customHeight="false" outlineLevel="0" collapsed="false">
      <c r="A1584" s="27"/>
      <c r="B1584" s="17" t="str">
        <f aca="false">IF($A1584="","",COUNTIFS(Orders!$C$2:$C$20001,$A1584,Orders!$E$2:$E$20001,"COD",Orders!$F$2:$F$20001,"Delivered")+COUNTIFS(Orders!$C$2:$C$20001,$A1584,Orders!$E$2:$E$20001,"COD",Orders!$F$2:$F$20001,"RTO"))</f>
        <v/>
      </c>
      <c r="C1584" s="17" t="str">
        <f aca="false">IF($A1584="","",COUNTIFS(Orders!$C$2:$C$20001,$A1584,Orders!$E$2:$E$20001,"COD",Orders!$F$2:$F$20001,"RTO"))</f>
        <v/>
      </c>
      <c r="D1584" s="18" t="str">
        <f aca="false">IF($A1584="","",IFERROR(C1584/B1584,0))</f>
        <v/>
      </c>
      <c r="E1584" s="17" t="str">
        <f aca="false">IF($A1584="","",COUNTIFS(Orders!$C$2:$C$20001,$A1584,Orders!$E$2:$E$20001,"Prepaid",Orders!$F$2:$F$20001,"Delivered")+COUNTIFS(Orders!$C$2:$C$20001,$A1584,Orders!$E$2:$E$20001,"Prepaid",Orders!$F$2:$F$20001,"RTO"))</f>
        <v/>
      </c>
      <c r="F1584" s="17" t="str">
        <f aca="false">IF($A1584="","",COUNTIFS(Orders!$C$2:$C$20001,$A1584,Orders!$E$2:$E$20001,"Prepaid",Orders!$F$2:$F$20001,"RTO"))</f>
        <v/>
      </c>
      <c r="G1584" s="18" t="str">
        <f aca="false">IF($A1584="","",IFERROR(F1584/E1584,0))</f>
        <v/>
      </c>
      <c r="H1584" s="19" t="str">
        <f aca="false">IF($A1584="","",C1584*Settings!$B$11)</f>
        <v/>
      </c>
      <c r="I1584" s="20" t="str">
        <f aca="false">IF($A1584="","",IF(N(H1584)=0,"",RANK(H1584,$H$5:$H$2004)))</f>
        <v/>
      </c>
      <c r="J1584" s="21" t="str">
        <f aca="false">IF($A1584="","",IF(B1584=0,"No COD orders",IF(B1584&lt;Settings!$B$8,"Too few orders",IF(D1584&gt;=Settings!$B$9,"Restrict COD or verify","Keep COD"))))</f>
        <v/>
      </c>
    </row>
    <row r="1585" customFormat="false" ht="15" hidden="false" customHeight="false" outlineLevel="0" collapsed="false">
      <c r="A1585" s="27"/>
      <c r="B1585" s="17" t="str">
        <f aca="false">IF($A1585="","",COUNTIFS(Orders!$C$2:$C$20001,$A1585,Orders!$E$2:$E$20001,"COD",Orders!$F$2:$F$20001,"Delivered")+COUNTIFS(Orders!$C$2:$C$20001,$A1585,Orders!$E$2:$E$20001,"COD",Orders!$F$2:$F$20001,"RTO"))</f>
        <v/>
      </c>
      <c r="C1585" s="17" t="str">
        <f aca="false">IF($A1585="","",COUNTIFS(Orders!$C$2:$C$20001,$A1585,Orders!$E$2:$E$20001,"COD",Orders!$F$2:$F$20001,"RTO"))</f>
        <v/>
      </c>
      <c r="D1585" s="18" t="str">
        <f aca="false">IF($A1585="","",IFERROR(C1585/B1585,0))</f>
        <v/>
      </c>
      <c r="E1585" s="17" t="str">
        <f aca="false">IF($A1585="","",COUNTIFS(Orders!$C$2:$C$20001,$A1585,Orders!$E$2:$E$20001,"Prepaid",Orders!$F$2:$F$20001,"Delivered")+COUNTIFS(Orders!$C$2:$C$20001,$A1585,Orders!$E$2:$E$20001,"Prepaid",Orders!$F$2:$F$20001,"RTO"))</f>
        <v/>
      </c>
      <c r="F1585" s="17" t="str">
        <f aca="false">IF($A1585="","",COUNTIFS(Orders!$C$2:$C$20001,$A1585,Orders!$E$2:$E$20001,"Prepaid",Orders!$F$2:$F$20001,"RTO"))</f>
        <v/>
      </c>
      <c r="G1585" s="18" t="str">
        <f aca="false">IF($A1585="","",IFERROR(F1585/E1585,0))</f>
        <v/>
      </c>
      <c r="H1585" s="19" t="str">
        <f aca="false">IF($A1585="","",C1585*Settings!$B$11)</f>
        <v/>
      </c>
      <c r="I1585" s="20" t="str">
        <f aca="false">IF($A1585="","",IF(N(H1585)=0,"",RANK(H1585,$H$5:$H$2004)))</f>
        <v/>
      </c>
      <c r="J1585" s="21" t="str">
        <f aca="false">IF($A1585="","",IF(B1585=0,"No COD orders",IF(B1585&lt;Settings!$B$8,"Too few orders",IF(D1585&gt;=Settings!$B$9,"Restrict COD or verify","Keep COD"))))</f>
        <v/>
      </c>
    </row>
    <row r="1586" customFormat="false" ht="15" hidden="false" customHeight="false" outlineLevel="0" collapsed="false">
      <c r="A1586" s="27"/>
      <c r="B1586" s="17" t="str">
        <f aca="false">IF($A1586="","",COUNTIFS(Orders!$C$2:$C$20001,$A1586,Orders!$E$2:$E$20001,"COD",Orders!$F$2:$F$20001,"Delivered")+COUNTIFS(Orders!$C$2:$C$20001,$A1586,Orders!$E$2:$E$20001,"COD",Orders!$F$2:$F$20001,"RTO"))</f>
        <v/>
      </c>
      <c r="C1586" s="17" t="str">
        <f aca="false">IF($A1586="","",COUNTIFS(Orders!$C$2:$C$20001,$A1586,Orders!$E$2:$E$20001,"COD",Orders!$F$2:$F$20001,"RTO"))</f>
        <v/>
      </c>
      <c r="D1586" s="18" t="str">
        <f aca="false">IF($A1586="","",IFERROR(C1586/B1586,0))</f>
        <v/>
      </c>
      <c r="E1586" s="17" t="str">
        <f aca="false">IF($A1586="","",COUNTIFS(Orders!$C$2:$C$20001,$A1586,Orders!$E$2:$E$20001,"Prepaid",Orders!$F$2:$F$20001,"Delivered")+COUNTIFS(Orders!$C$2:$C$20001,$A1586,Orders!$E$2:$E$20001,"Prepaid",Orders!$F$2:$F$20001,"RTO"))</f>
        <v/>
      </c>
      <c r="F1586" s="17" t="str">
        <f aca="false">IF($A1586="","",COUNTIFS(Orders!$C$2:$C$20001,$A1586,Orders!$E$2:$E$20001,"Prepaid",Orders!$F$2:$F$20001,"RTO"))</f>
        <v/>
      </c>
      <c r="G1586" s="18" t="str">
        <f aca="false">IF($A1586="","",IFERROR(F1586/E1586,0))</f>
        <v/>
      </c>
      <c r="H1586" s="19" t="str">
        <f aca="false">IF($A1586="","",C1586*Settings!$B$11)</f>
        <v/>
      </c>
      <c r="I1586" s="20" t="str">
        <f aca="false">IF($A1586="","",IF(N(H1586)=0,"",RANK(H1586,$H$5:$H$2004)))</f>
        <v/>
      </c>
      <c r="J1586" s="21" t="str">
        <f aca="false">IF($A1586="","",IF(B1586=0,"No COD orders",IF(B1586&lt;Settings!$B$8,"Too few orders",IF(D1586&gt;=Settings!$B$9,"Restrict COD or verify","Keep COD"))))</f>
        <v/>
      </c>
    </row>
    <row r="1587" customFormat="false" ht="15" hidden="false" customHeight="false" outlineLevel="0" collapsed="false">
      <c r="A1587" s="27"/>
      <c r="B1587" s="17" t="str">
        <f aca="false">IF($A1587="","",COUNTIFS(Orders!$C$2:$C$20001,$A1587,Orders!$E$2:$E$20001,"COD",Orders!$F$2:$F$20001,"Delivered")+COUNTIFS(Orders!$C$2:$C$20001,$A1587,Orders!$E$2:$E$20001,"COD",Orders!$F$2:$F$20001,"RTO"))</f>
        <v/>
      </c>
      <c r="C1587" s="17" t="str">
        <f aca="false">IF($A1587="","",COUNTIFS(Orders!$C$2:$C$20001,$A1587,Orders!$E$2:$E$20001,"COD",Orders!$F$2:$F$20001,"RTO"))</f>
        <v/>
      </c>
      <c r="D1587" s="18" t="str">
        <f aca="false">IF($A1587="","",IFERROR(C1587/B1587,0))</f>
        <v/>
      </c>
      <c r="E1587" s="17" t="str">
        <f aca="false">IF($A1587="","",COUNTIFS(Orders!$C$2:$C$20001,$A1587,Orders!$E$2:$E$20001,"Prepaid",Orders!$F$2:$F$20001,"Delivered")+COUNTIFS(Orders!$C$2:$C$20001,$A1587,Orders!$E$2:$E$20001,"Prepaid",Orders!$F$2:$F$20001,"RTO"))</f>
        <v/>
      </c>
      <c r="F1587" s="17" t="str">
        <f aca="false">IF($A1587="","",COUNTIFS(Orders!$C$2:$C$20001,$A1587,Orders!$E$2:$E$20001,"Prepaid",Orders!$F$2:$F$20001,"RTO"))</f>
        <v/>
      </c>
      <c r="G1587" s="18" t="str">
        <f aca="false">IF($A1587="","",IFERROR(F1587/E1587,0))</f>
        <v/>
      </c>
      <c r="H1587" s="19" t="str">
        <f aca="false">IF($A1587="","",C1587*Settings!$B$11)</f>
        <v/>
      </c>
      <c r="I1587" s="20" t="str">
        <f aca="false">IF($A1587="","",IF(N(H1587)=0,"",RANK(H1587,$H$5:$H$2004)))</f>
        <v/>
      </c>
      <c r="J1587" s="21" t="str">
        <f aca="false">IF($A1587="","",IF(B1587=0,"No COD orders",IF(B1587&lt;Settings!$B$8,"Too few orders",IF(D1587&gt;=Settings!$B$9,"Restrict COD or verify","Keep COD"))))</f>
        <v/>
      </c>
    </row>
    <row r="1588" customFormat="false" ht="15" hidden="false" customHeight="false" outlineLevel="0" collapsed="false">
      <c r="A1588" s="27"/>
      <c r="B1588" s="17" t="str">
        <f aca="false">IF($A1588="","",COUNTIFS(Orders!$C$2:$C$20001,$A1588,Orders!$E$2:$E$20001,"COD",Orders!$F$2:$F$20001,"Delivered")+COUNTIFS(Orders!$C$2:$C$20001,$A1588,Orders!$E$2:$E$20001,"COD",Orders!$F$2:$F$20001,"RTO"))</f>
        <v/>
      </c>
      <c r="C1588" s="17" t="str">
        <f aca="false">IF($A1588="","",COUNTIFS(Orders!$C$2:$C$20001,$A1588,Orders!$E$2:$E$20001,"COD",Orders!$F$2:$F$20001,"RTO"))</f>
        <v/>
      </c>
      <c r="D1588" s="18" t="str">
        <f aca="false">IF($A1588="","",IFERROR(C1588/B1588,0))</f>
        <v/>
      </c>
      <c r="E1588" s="17" t="str">
        <f aca="false">IF($A1588="","",COUNTIFS(Orders!$C$2:$C$20001,$A1588,Orders!$E$2:$E$20001,"Prepaid",Orders!$F$2:$F$20001,"Delivered")+COUNTIFS(Orders!$C$2:$C$20001,$A1588,Orders!$E$2:$E$20001,"Prepaid",Orders!$F$2:$F$20001,"RTO"))</f>
        <v/>
      </c>
      <c r="F1588" s="17" t="str">
        <f aca="false">IF($A1588="","",COUNTIFS(Orders!$C$2:$C$20001,$A1588,Orders!$E$2:$E$20001,"Prepaid",Orders!$F$2:$F$20001,"RTO"))</f>
        <v/>
      </c>
      <c r="G1588" s="18" t="str">
        <f aca="false">IF($A1588="","",IFERROR(F1588/E1588,0))</f>
        <v/>
      </c>
      <c r="H1588" s="19" t="str">
        <f aca="false">IF($A1588="","",C1588*Settings!$B$11)</f>
        <v/>
      </c>
      <c r="I1588" s="20" t="str">
        <f aca="false">IF($A1588="","",IF(N(H1588)=0,"",RANK(H1588,$H$5:$H$2004)))</f>
        <v/>
      </c>
      <c r="J1588" s="21" t="str">
        <f aca="false">IF($A1588="","",IF(B1588=0,"No COD orders",IF(B1588&lt;Settings!$B$8,"Too few orders",IF(D1588&gt;=Settings!$B$9,"Restrict COD or verify","Keep COD"))))</f>
        <v/>
      </c>
    </row>
    <row r="1589" customFormat="false" ht="15" hidden="false" customHeight="false" outlineLevel="0" collapsed="false">
      <c r="A1589" s="27"/>
      <c r="B1589" s="17" t="str">
        <f aca="false">IF($A1589="","",COUNTIFS(Orders!$C$2:$C$20001,$A1589,Orders!$E$2:$E$20001,"COD",Orders!$F$2:$F$20001,"Delivered")+COUNTIFS(Orders!$C$2:$C$20001,$A1589,Orders!$E$2:$E$20001,"COD",Orders!$F$2:$F$20001,"RTO"))</f>
        <v/>
      </c>
      <c r="C1589" s="17" t="str">
        <f aca="false">IF($A1589="","",COUNTIFS(Orders!$C$2:$C$20001,$A1589,Orders!$E$2:$E$20001,"COD",Orders!$F$2:$F$20001,"RTO"))</f>
        <v/>
      </c>
      <c r="D1589" s="18" t="str">
        <f aca="false">IF($A1589="","",IFERROR(C1589/B1589,0))</f>
        <v/>
      </c>
      <c r="E1589" s="17" t="str">
        <f aca="false">IF($A1589="","",COUNTIFS(Orders!$C$2:$C$20001,$A1589,Orders!$E$2:$E$20001,"Prepaid",Orders!$F$2:$F$20001,"Delivered")+COUNTIFS(Orders!$C$2:$C$20001,$A1589,Orders!$E$2:$E$20001,"Prepaid",Orders!$F$2:$F$20001,"RTO"))</f>
        <v/>
      </c>
      <c r="F1589" s="17" t="str">
        <f aca="false">IF($A1589="","",COUNTIFS(Orders!$C$2:$C$20001,$A1589,Orders!$E$2:$E$20001,"Prepaid",Orders!$F$2:$F$20001,"RTO"))</f>
        <v/>
      </c>
      <c r="G1589" s="18" t="str">
        <f aca="false">IF($A1589="","",IFERROR(F1589/E1589,0))</f>
        <v/>
      </c>
      <c r="H1589" s="19" t="str">
        <f aca="false">IF($A1589="","",C1589*Settings!$B$11)</f>
        <v/>
      </c>
      <c r="I1589" s="20" t="str">
        <f aca="false">IF($A1589="","",IF(N(H1589)=0,"",RANK(H1589,$H$5:$H$2004)))</f>
        <v/>
      </c>
      <c r="J1589" s="21" t="str">
        <f aca="false">IF($A1589="","",IF(B1589=0,"No COD orders",IF(B1589&lt;Settings!$B$8,"Too few orders",IF(D1589&gt;=Settings!$B$9,"Restrict COD or verify","Keep COD"))))</f>
        <v/>
      </c>
    </row>
    <row r="1590" customFormat="false" ht="15" hidden="false" customHeight="false" outlineLevel="0" collapsed="false">
      <c r="A1590" s="27"/>
      <c r="B1590" s="17" t="str">
        <f aca="false">IF($A1590="","",COUNTIFS(Orders!$C$2:$C$20001,$A1590,Orders!$E$2:$E$20001,"COD",Orders!$F$2:$F$20001,"Delivered")+COUNTIFS(Orders!$C$2:$C$20001,$A1590,Orders!$E$2:$E$20001,"COD",Orders!$F$2:$F$20001,"RTO"))</f>
        <v/>
      </c>
      <c r="C1590" s="17" t="str">
        <f aca="false">IF($A1590="","",COUNTIFS(Orders!$C$2:$C$20001,$A1590,Orders!$E$2:$E$20001,"COD",Orders!$F$2:$F$20001,"RTO"))</f>
        <v/>
      </c>
      <c r="D1590" s="18" t="str">
        <f aca="false">IF($A1590="","",IFERROR(C1590/B1590,0))</f>
        <v/>
      </c>
      <c r="E1590" s="17" t="str">
        <f aca="false">IF($A1590="","",COUNTIFS(Orders!$C$2:$C$20001,$A1590,Orders!$E$2:$E$20001,"Prepaid",Orders!$F$2:$F$20001,"Delivered")+COUNTIFS(Orders!$C$2:$C$20001,$A1590,Orders!$E$2:$E$20001,"Prepaid",Orders!$F$2:$F$20001,"RTO"))</f>
        <v/>
      </c>
      <c r="F1590" s="17" t="str">
        <f aca="false">IF($A1590="","",COUNTIFS(Orders!$C$2:$C$20001,$A1590,Orders!$E$2:$E$20001,"Prepaid",Orders!$F$2:$F$20001,"RTO"))</f>
        <v/>
      </c>
      <c r="G1590" s="18" t="str">
        <f aca="false">IF($A1590="","",IFERROR(F1590/E1590,0))</f>
        <v/>
      </c>
      <c r="H1590" s="19" t="str">
        <f aca="false">IF($A1590="","",C1590*Settings!$B$11)</f>
        <v/>
      </c>
      <c r="I1590" s="20" t="str">
        <f aca="false">IF($A1590="","",IF(N(H1590)=0,"",RANK(H1590,$H$5:$H$2004)))</f>
        <v/>
      </c>
      <c r="J1590" s="21" t="str">
        <f aca="false">IF($A1590="","",IF(B1590=0,"No COD orders",IF(B1590&lt;Settings!$B$8,"Too few orders",IF(D1590&gt;=Settings!$B$9,"Restrict COD or verify","Keep COD"))))</f>
        <v/>
      </c>
    </row>
    <row r="1591" customFormat="false" ht="15" hidden="false" customHeight="false" outlineLevel="0" collapsed="false">
      <c r="A1591" s="27"/>
      <c r="B1591" s="17" t="str">
        <f aca="false">IF($A1591="","",COUNTIFS(Orders!$C$2:$C$20001,$A1591,Orders!$E$2:$E$20001,"COD",Orders!$F$2:$F$20001,"Delivered")+COUNTIFS(Orders!$C$2:$C$20001,$A1591,Orders!$E$2:$E$20001,"COD",Orders!$F$2:$F$20001,"RTO"))</f>
        <v/>
      </c>
      <c r="C1591" s="17" t="str">
        <f aca="false">IF($A1591="","",COUNTIFS(Orders!$C$2:$C$20001,$A1591,Orders!$E$2:$E$20001,"COD",Orders!$F$2:$F$20001,"RTO"))</f>
        <v/>
      </c>
      <c r="D1591" s="18" t="str">
        <f aca="false">IF($A1591="","",IFERROR(C1591/B1591,0))</f>
        <v/>
      </c>
      <c r="E1591" s="17" t="str">
        <f aca="false">IF($A1591="","",COUNTIFS(Orders!$C$2:$C$20001,$A1591,Orders!$E$2:$E$20001,"Prepaid",Orders!$F$2:$F$20001,"Delivered")+COUNTIFS(Orders!$C$2:$C$20001,$A1591,Orders!$E$2:$E$20001,"Prepaid",Orders!$F$2:$F$20001,"RTO"))</f>
        <v/>
      </c>
      <c r="F1591" s="17" t="str">
        <f aca="false">IF($A1591="","",COUNTIFS(Orders!$C$2:$C$20001,$A1591,Orders!$E$2:$E$20001,"Prepaid",Orders!$F$2:$F$20001,"RTO"))</f>
        <v/>
      </c>
      <c r="G1591" s="18" t="str">
        <f aca="false">IF($A1591="","",IFERROR(F1591/E1591,0))</f>
        <v/>
      </c>
      <c r="H1591" s="19" t="str">
        <f aca="false">IF($A1591="","",C1591*Settings!$B$11)</f>
        <v/>
      </c>
      <c r="I1591" s="20" t="str">
        <f aca="false">IF($A1591="","",IF(N(H1591)=0,"",RANK(H1591,$H$5:$H$2004)))</f>
        <v/>
      </c>
      <c r="J1591" s="21" t="str">
        <f aca="false">IF($A1591="","",IF(B1591=0,"No COD orders",IF(B1591&lt;Settings!$B$8,"Too few orders",IF(D1591&gt;=Settings!$B$9,"Restrict COD or verify","Keep COD"))))</f>
        <v/>
      </c>
    </row>
    <row r="1592" customFormat="false" ht="15" hidden="false" customHeight="false" outlineLevel="0" collapsed="false">
      <c r="A1592" s="27"/>
      <c r="B1592" s="17" t="str">
        <f aca="false">IF($A1592="","",COUNTIFS(Orders!$C$2:$C$20001,$A1592,Orders!$E$2:$E$20001,"COD",Orders!$F$2:$F$20001,"Delivered")+COUNTIFS(Orders!$C$2:$C$20001,$A1592,Orders!$E$2:$E$20001,"COD",Orders!$F$2:$F$20001,"RTO"))</f>
        <v/>
      </c>
      <c r="C1592" s="17" t="str">
        <f aca="false">IF($A1592="","",COUNTIFS(Orders!$C$2:$C$20001,$A1592,Orders!$E$2:$E$20001,"COD",Orders!$F$2:$F$20001,"RTO"))</f>
        <v/>
      </c>
      <c r="D1592" s="18" t="str">
        <f aca="false">IF($A1592="","",IFERROR(C1592/B1592,0))</f>
        <v/>
      </c>
      <c r="E1592" s="17" t="str">
        <f aca="false">IF($A1592="","",COUNTIFS(Orders!$C$2:$C$20001,$A1592,Orders!$E$2:$E$20001,"Prepaid",Orders!$F$2:$F$20001,"Delivered")+COUNTIFS(Orders!$C$2:$C$20001,$A1592,Orders!$E$2:$E$20001,"Prepaid",Orders!$F$2:$F$20001,"RTO"))</f>
        <v/>
      </c>
      <c r="F1592" s="17" t="str">
        <f aca="false">IF($A1592="","",COUNTIFS(Orders!$C$2:$C$20001,$A1592,Orders!$E$2:$E$20001,"Prepaid",Orders!$F$2:$F$20001,"RTO"))</f>
        <v/>
      </c>
      <c r="G1592" s="18" t="str">
        <f aca="false">IF($A1592="","",IFERROR(F1592/E1592,0))</f>
        <v/>
      </c>
      <c r="H1592" s="19" t="str">
        <f aca="false">IF($A1592="","",C1592*Settings!$B$11)</f>
        <v/>
      </c>
      <c r="I1592" s="20" t="str">
        <f aca="false">IF($A1592="","",IF(N(H1592)=0,"",RANK(H1592,$H$5:$H$2004)))</f>
        <v/>
      </c>
      <c r="J1592" s="21" t="str">
        <f aca="false">IF($A1592="","",IF(B1592=0,"No COD orders",IF(B1592&lt;Settings!$B$8,"Too few orders",IF(D1592&gt;=Settings!$B$9,"Restrict COD or verify","Keep COD"))))</f>
        <v/>
      </c>
    </row>
    <row r="1593" customFormat="false" ht="15" hidden="false" customHeight="false" outlineLevel="0" collapsed="false">
      <c r="A1593" s="27"/>
      <c r="B1593" s="17" t="str">
        <f aca="false">IF($A1593="","",COUNTIFS(Orders!$C$2:$C$20001,$A1593,Orders!$E$2:$E$20001,"COD",Orders!$F$2:$F$20001,"Delivered")+COUNTIFS(Orders!$C$2:$C$20001,$A1593,Orders!$E$2:$E$20001,"COD",Orders!$F$2:$F$20001,"RTO"))</f>
        <v/>
      </c>
      <c r="C1593" s="17" t="str">
        <f aca="false">IF($A1593="","",COUNTIFS(Orders!$C$2:$C$20001,$A1593,Orders!$E$2:$E$20001,"COD",Orders!$F$2:$F$20001,"RTO"))</f>
        <v/>
      </c>
      <c r="D1593" s="18" t="str">
        <f aca="false">IF($A1593="","",IFERROR(C1593/B1593,0))</f>
        <v/>
      </c>
      <c r="E1593" s="17" t="str">
        <f aca="false">IF($A1593="","",COUNTIFS(Orders!$C$2:$C$20001,$A1593,Orders!$E$2:$E$20001,"Prepaid",Orders!$F$2:$F$20001,"Delivered")+COUNTIFS(Orders!$C$2:$C$20001,$A1593,Orders!$E$2:$E$20001,"Prepaid",Orders!$F$2:$F$20001,"RTO"))</f>
        <v/>
      </c>
      <c r="F1593" s="17" t="str">
        <f aca="false">IF($A1593="","",COUNTIFS(Orders!$C$2:$C$20001,$A1593,Orders!$E$2:$E$20001,"Prepaid",Orders!$F$2:$F$20001,"RTO"))</f>
        <v/>
      </c>
      <c r="G1593" s="18" t="str">
        <f aca="false">IF($A1593="","",IFERROR(F1593/E1593,0))</f>
        <v/>
      </c>
      <c r="H1593" s="19" t="str">
        <f aca="false">IF($A1593="","",C1593*Settings!$B$11)</f>
        <v/>
      </c>
      <c r="I1593" s="20" t="str">
        <f aca="false">IF($A1593="","",IF(N(H1593)=0,"",RANK(H1593,$H$5:$H$2004)))</f>
        <v/>
      </c>
      <c r="J1593" s="21" t="str">
        <f aca="false">IF($A1593="","",IF(B1593=0,"No COD orders",IF(B1593&lt;Settings!$B$8,"Too few orders",IF(D1593&gt;=Settings!$B$9,"Restrict COD or verify","Keep COD"))))</f>
        <v/>
      </c>
    </row>
    <row r="1594" customFormat="false" ht="15" hidden="false" customHeight="false" outlineLevel="0" collapsed="false">
      <c r="A1594" s="27"/>
      <c r="B1594" s="17" t="str">
        <f aca="false">IF($A1594="","",COUNTIFS(Orders!$C$2:$C$20001,$A1594,Orders!$E$2:$E$20001,"COD",Orders!$F$2:$F$20001,"Delivered")+COUNTIFS(Orders!$C$2:$C$20001,$A1594,Orders!$E$2:$E$20001,"COD",Orders!$F$2:$F$20001,"RTO"))</f>
        <v/>
      </c>
      <c r="C1594" s="17" t="str">
        <f aca="false">IF($A1594="","",COUNTIFS(Orders!$C$2:$C$20001,$A1594,Orders!$E$2:$E$20001,"COD",Orders!$F$2:$F$20001,"RTO"))</f>
        <v/>
      </c>
      <c r="D1594" s="18" t="str">
        <f aca="false">IF($A1594="","",IFERROR(C1594/B1594,0))</f>
        <v/>
      </c>
      <c r="E1594" s="17" t="str">
        <f aca="false">IF($A1594="","",COUNTIFS(Orders!$C$2:$C$20001,$A1594,Orders!$E$2:$E$20001,"Prepaid",Orders!$F$2:$F$20001,"Delivered")+COUNTIFS(Orders!$C$2:$C$20001,$A1594,Orders!$E$2:$E$20001,"Prepaid",Orders!$F$2:$F$20001,"RTO"))</f>
        <v/>
      </c>
      <c r="F1594" s="17" t="str">
        <f aca="false">IF($A1594="","",COUNTIFS(Orders!$C$2:$C$20001,$A1594,Orders!$E$2:$E$20001,"Prepaid",Orders!$F$2:$F$20001,"RTO"))</f>
        <v/>
      </c>
      <c r="G1594" s="18" t="str">
        <f aca="false">IF($A1594="","",IFERROR(F1594/E1594,0))</f>
        <v/>
      </c>
      <c r="H1594" s="19" t="str">
        <f aca="false">IF($A1594="","",C1594*Settings!$B$11)</f>
        <v/>
      </c>
      <c r="I1594" s="20" t="str">
        <f aca="false">IF($A1594="","",IF(N(H1594)=0,"",RANK(H1594,$H$5:$H$2004)))</f>
        <v/>
      </c>
      <c r="J1594" s="21" t="str">
        <f aca="false">IF($A1594="","",IF(B1594=0,"No COD orders",IF(B1594&lt;Settings!$B$8,"Too few orders",IF(D1594&gt;=Settings!$B$9,"Restrict COD or verify","Keep COD"))))</f>
        <v/>
      </c>
    </row>
    <row r="1595" customFormat="false" ht="15" hidden="false" customHeight="false" outlineLevel="0" collapsed="false">
      <c r="A1595" s="27"/>
      <c r="B1595" s="17" t="str">
        <f aca="false">IF($A1595="","",COUNTIFS(Orders!$C$2:$C$20001,$A1595,Orders!$E$2:$E$20001,"COD",Orders!$F$2:$F$20001,"Delivered")+COUNTIFS(Orders!$C$2:$C$20001,$A1595,Orders!$E$2:$E$20001,"COD",Orders!$F$2:$F$20001,"RTO"))</f>
        <v/>
      </c>
      <c r="C1595" s="17" t="str">
        <f aca="false">IF($A1595="","",COUNTIFS(Orders!$C$2:$C$20001,$A1595,Orders!$E$2:$E$20001,"COD",Orders!$F$2:$F$20001,"RTO"))</f>
        <v/>
      </c>
      <c r="D1595" s="18" t="str">
        <f aca="false">IF($A1595="","",IFERROR(C1595/B1595,0))</f>
        <v/>
      </c>
      <c r="E1595" s="17" t="str">
        <f aca="false">IF($A1595="","",COUNTIFS(Orders!$C$2:$C$20001,$A1595,Orders!$E$2:$E$20001,"Prepaid",Orders!$F$2:$F$20001,"Delivered")+COUNTIFS(Orders!$C$2:$C$20001,$A1595,Orders!$E$2:$E$20001,"Prepaid",Orders!$F$2:$F$20001,"RTO"))</f>
        <v/>
      </c>
      <c r="F1595" s="17" t="str">
        <f aca="false">IF($A1595="","",COUNTIFS(Orders!$C$2:$C$20001,$A1595,Orders!$E$2:$E$20001,"Prepaid",Orders!$F$2:$F$20001,"RTO"))</f>
        <v/>
      </c>
      <c r="G1595" s="18" t="str">
        <f aca="false">IF($A1595="","",IFERROR(F1595/E1595,0))</f>
        <v/>
      </c>
      <c r="H1595" s="19" t="str">
        <f aca="false">IF($A1595="","",C1595*Settings!$B$11)</f>
        <v/>
      </c>
      <c r="I1595" s="20" t="str">
        <f aca="false">IF($A1595="","",IF(N(H1595)=0,"",RANK(H1595,$H$5:$H$2004)))</f>
        <v/>
      </c>
      <c r="J1595" s="21" t="str">
        <f aca="false">IF($A1595="","",IF(B1595=0,"No COD orders",IF(B1595&lt;Settings!$B$8,"Too few orders",IF(D1595&gt;=Settings!$B$9,"Restrict COD or verify","Keep COD"))))</f>
        <v/>
      </c>
    </row>
    <row r="1596" customFormat="false" ht="15" hidden="false" customHeight="false" outlineLevel="0" collapsed="false">
      <c r="A1596" s="27"/>
      <c r="B1596" s="17" t="str">
        <f aca="false">IF($A1596="","",COUNTIFS(Orders!$C$2:$C$20001,$A1596,Orders!$E$2:$E$20001,"COD",Orders!$F$2:$F$20001,"Delivered")+COUNTIFS(Orders!$C$2:$C$20001,$A1596,Orders!$E$2:$E$20001,"COD",Orders!$F$2:$F$20001,"RTO"))</f>
        <v/>
      </c>
      <c r="C1596" s="17" t="str">
        <f aca="false">IF($A1596="","",COUNTIFS(Orders!$C$2:$C$20001,$A1596,Orders!$E$2:$E$20001,"COD",Orders!$F$2:$F$20001,"RTO"))</f>
        <v/>
      </c>
      <c r="D1596" s="18" t="str">
        <f aca="false">IF($A1596="","",IFERROR(C1596/B1596,0))</f>
        <v/>
      </c>
      <c r="E1596" s="17" t="str">
        <f aca="false">IF($A1596="","",COUNTIFS(Orders!$C$2:$C$20001,$A1596,Orders!$E$2:$E$20001,"Prepaid",Orders!$F$2:$F$20001,"Delivered")+COUNTIFS(Orders!$C$2:$C$20001,$A1596,Orders!$E$2:$E$20001,"Prepaid",Orders!$F$2:$F$20001,"RTO"))</f>
        <v/>
      </c>
      <c r="F1596" s="17" t="str">
        <f aca="false">IF($A1596="","",COUNTIFS(Orders!$C$2:$C$20001,$A1596,Orders!$E$2:$E$20001,"Prepaid",Orders!$F$2:$F$20001,"RTO"))</f>
        <v/>
      </c>
      <c r="G1596" s="18" t="str">
        <f aca="false">IF($A1596="","",IFERROR(F1596/E1596,0))</f>
        <v/>
      </c>
      <c r="H1596" s="19" t="str">
        <f aca="false">IF($A1596="","",C1596*Settings!$B$11)</f>
        <v/>
      </c>
      <c r="I1596" s="20" t="str">
        <f aca="false">IF($A1596="","",IF(N(H1596)=0,"",RANK(H1596,$H$5:$H$2004)))</f>
        <v/>
      </c>
      <c r="J1596" s="21" t="str">
        <f aca="false">IF($A1596="","",IF(B1596=0,"No COD orders",IF(B1596&lt;Settings!$B$8,"Too few orders",IF(D1596&gt;=Settings!$B$9,"Restrict COD or verify","Keep COD"))))</f>
        <v/>
      </c>
    </row>
    <row r="1597" customFormat="false" ht="15" hidden="false" customHeight="false" outlineLevel="0" collapsed="false">
      <c r="A1597" s="27"/>
      <c r="B1597" s="17" t="str">
        <f aca="false">IF($A1597="","",COUNTIFS(Orders!$C$2:$C$20001,$A1597,Orders!$E$2:$E$20001,"COD",Orders!$F$2:$F$20001,"Delivered")+COUNTIFS(Orders!$C$2:$C$20001,$A1597,Orders!$E$2:$E$20001,"COD",Orders!$F$2:$F$20001,"RTO"))</f>
        <v/>
      </c>
      <c r="C1597" s="17" t="str">
        <f aca="false">IF($A1597="","",COUNTIFS(Orders!$C$2:$C$20001,$A1597,Orders!$E$2:$E$20001,"COD",Orders!$F$2:$F$20001,"RTO"))</f>
        <v/>
      </c>
      <c r="D1597" s="18" t="str">
        <f aca="false">IF($A1597="","",IFERROR(C1597/B1597,0))</f>
        <v/>
      </c>
      <c r="E1597" s="17" t="str">
        <f aca="false">IF($A1597="","",COUNTIFS(Orders!$C$2:$C$20001,$A1597,Orders!$E$2:$E$20001,"Prepaid",Orders!$F$2:$F$20001,"Delivered")+COUNTIFS(Orders!$C$2:$C$20001,$A1597,Orders!$E$2:$E$20001,"Prepaid",Orders!$F$2:$F$20001,"RTO"))</f>
        <v/>
      </c>
      <c r="F1597" s="17" t="str">
        <f aca="false">IF($A1597="","",COUNTIFS(Orders!$C$2:$C$20001,$A1597,Orders!$E$2:$E$20001,"Prepaid",Orders!$F$2:$F$20001,"RTO"))</f>
        <v/>
      </c>
      <c r="G1597" s="18" t="str">
        <f aca="false">IF($A1597="","",IFERROR(F1597/E1597,0))</f>
        <v/>
      </c>
      <c r="H1597" s="19" t="str">
        <f aca="false">IF($A1597="","",C1597*Settings!$B$11)</f>
        <v/>
      </c>
      <c r="I1597" s="20" t="str">
        <f aca="false">IF($A1597="","",IF(N(H1597)=0,"",RANK(H1597,$H$5:$H$2004)))</f>
        <v/>
      </c>
      <c r="J1597" s="21" t="str">
        <f aca="false">IF($A1597="","",IF(B1597=0,"No COD orders",IF(B1597&lt;Settings!$B$8,"Too few orders",IF(D1597&gt;=Settings!$B$9,"Restrict COD or verify","Keep COD"))))</f>
        <v/>
      </c>
    </row>
    <row r="1598" customFormat="false" ht="15" hidden="false" customHeight="false" outlineLevel="0" collapsed="false">
      <c r="A1598" s="27"/>
      <c r="B1598" s="17" t="str">
        <f aca="false">IF($A1598="","",COUNTIFS(Orders!$C$2:$C$20001,$A1598,Orders!$E$2:$E$20001,"COD",Orders!$F$2:$F$20001,"Delivered")+COUNTIFS(Orders!$C$2:$C$20001,$A1598,Orders!$E$2:$E$20001,"COD",Orders!$F$2:$F$20001,"RTO"))</f>
        <v/>
      </c>
      <c r="C1598" s="17" t="str">
        <f aca="false">IF($A1598="","",COUNTIFS(Orders!$C$2:$C$20001,$A1598,Orders!$E$2:$E$20001,"COD",Orders!$F$2:$F$20001,"RTO"))</f>
        <v/>
      </c>
      <c r="D1598" s="18" t="str">
        <f aca="false">IF($A1598="","",IFERROR(C1598/B1598,0))</f>
        <v/>
      </c>
      <c r="E1598" s="17" t="str">
        <f aca="false">IF($A1598="","",COUNTIFS(Orders!$C$2:$C$20001,$A1598,Orders!$E$2:$E$20001,"Prepaid",Orders!$F$2:$F$20001,"Delivered")+COUNTIFS(Orders!$C$2:$C$20001,$A1598,Orders!$E$2:$E$20001,"Prepaid",Orders!$F$2:$F$20001,"RTO"))</f>
        <v/>
      </c>
      <c r="F1598" s="17" t="str">
        <f aca="false">IF($A1598="","",COUNTIFS(Orders!$C$2:$C$20001,$A1598,Orders!$E$2:$E$20001,"Prepaid",Orders!$F$2:$F$20001,"RTO"))</f>
        <v/>
      </c>
      <c r="G1598" s="18" t="str">
        <f aca="false">IF($A1598="","",IFERROR(F1598/E1598,0))</f>
        <v/>
      </c>
      <c r="H1598" s="19" t="str">
        <f aca="false">IF($A1598="","",C1598*Settings!$B$11)</f>
        <v/>
      </c>
      <c r="I1598" s="20" t="str">
        <f aca="false">IF($A1598="","",IF(N(H1598)=0,"",RANK(H1598,$H$5:$H$2004)))</f>
        <v/>
      </c>
      <c r="J1598" s="21" t="str">
        <f aca="false">IF($A1598="","",IF(B1598=0,"No COD orders",IF(B1598&lt;Settings!$B$8,"Too few orders",IF(D1598&gt;=Settings!$B$9,"Restrict COD or verify","Keep COD"))))</f>
        <v/>
      </c>
    </row>
    <row r="1599" customFormat="false" ht="15" hidden="false" customHeight="false" outlineLevel="0" collapsed="false">
      <c r="A1599" s="27"/>
      <c r="B1599" s="17" t="str">
        <f aca="false">IF($A1599="","",COUNTIFS(Orders!$C$2:$C$20001,$A1599,Orders!$E$2:$E$20001,"COD",Orders!$F$2:$F$20001,"Delivered")+COUNTIFS(Orders!$C$2:$C$20001,$A1599,Orders!$E$2:$E$20001,"COD",Orders!$F$2:$F$20001,"RTO"))</f>
        <v/>
      </c>
      <c r="C1599" s="17" t="str">
        <f aca="false">IF($A1599="","",COUNTIFS(Orders!$C$2:$C$20001,$A1599,Orders!$E$2:$E$20001,"COD",Orders!$F$2:$F$20001,"RTO"))</f>
        <v/>
      </c>
      <c r="D1599" s="18" t="str">
        <f aca="false">IF($A1599="","",IFERROR(C1599/B1599,0))</f>
        <v/>
      </c>
      <c r="E1599" s="17" t="str">
        <f aca="false">IF($A1599="","",COUNTIFS(Orders!$C$2:$C$20001,$A1599,Orders!$E$2:$E$20001,"Prepaid",Orders!$F$2:$F$20001,"Delivered")+COUNTIFS(Orders!$C$2:$C$20001,$A1599,Orders!$E$2:$E$20001,"Prepaid",Orders!$F$2:$F$20001,"RTO"))</f>
        <v/>
      </c>
      <c r="F1599" s="17" t="str">
        <f aca="false">IF($A1599="","",COUNTIFS(Orders!$C$2:$C$20001,$A1599,Orders!$E$2:$E$20001,"Prepaid",Orders!$F$2:$F$20001,"RTO"))</f>
        <v/>
      </c>
      <c r="G1599" s="18" t="str">
        <f aca="false">IF($A1599="","",IFERROR(F1599/E1599,0))</f>
        <v/>
      </c>
      <c r="H1599" s="19" t="str">
        <f aca="false">IF($A1599="","",C1599*Settings!$B$11)</f>
        <v/>
      </c>
      <c r="I1599" s="20" t="str">
        <f aca="false">IF($A1599="","",IF(N(H1599)=0,"",RANK(H1599,$H$5:$H$2004)))</f>
        <v/>
      </c>
      <c r="J1599" s="21" t="str">
        <f aca="false">IF($A1599="","",IF(B1599=0,"No COD orders",IF(B1599&lt;Settings!$B$8,"Too few orders",IF(D1599&gt;=Settings!$B$9,"Restrict COD or verify","Keep COD"))))</f>
        <v/>
      </c>
    </row>
    <row r="1600" customFormat="false" ht="15" hidden="false" customHeight="false" outlineLevel="0" collapsed="false">
      <c r="A1600" s="27"/>
      <c r="B1600" s="17" t="str">
        <f aca="false">IF($A1600="","",COUNTIFS(Orders!$C$2:$C$20001,$A1600,Orders!$E$2:$E$20001,"COD",Orders!$F$2:$F$20001,"Delivered")+COUNTIFS(Orders!$C$2:$C$20001,$A1600,Orders!$E$2:$E$20001,"COD",Orders!$F$2:$F$20001,"RTO"))</f>
        <v/>
      </c>
      <c r="C1600" s="17" t="str">
        <f aca="false">IF($A1600="","",COUNTIFS(Orders!$C$2:$C$20001,$A1600,Orders!$E$2:$E$20001,"COD",Orders!$F$2:$F$20001,"RTO"))</f>
        <v/>
      </c>
      <c r="D1600" s="18" t="str">
        <f aca="false">IF($A1600="","",IFERROR(C1600/B1600,0))</f>
        <v/>
      </c>
      <c r="E1600" s="17" t="str">
        <f aca="false">IF($A1600="","",COUNTIFS(Orders!$C$2:$C$20001,$A1600,Orders!$E$2:$E$20001,"Prepaid",Orders!$F$2:$F$20001,"Delivered")+COUNTIFS(Orders!$C$2:$C$20001,$A1600,Orders!$E$2:$E$20001,"Prepaid",Orders!$F$2:$F$20001,"RTO"))</f>
        <v/>
      </c>
      <c r="F1600" s="17" t="str">
        <f aca="false">IF($A1600="","",COUNTIFS(Orders!$C$2:$C$20001,$A1600,Orders!$E$2:$E$20001,"Prepaid",Orders!$F$2:$F$20001,"RTO"))</f>
        <v/>
      </c>
      <c r="G1600" s="18" t="str">
        <f aca="false">IF($A1600="","",IFERROR(F1600/E1600,0))</f>
        <v/>
      </c>
      <c r="H1600" s="19" t="str">
        <f aca="false">IF($A1600="","",C1600*Settings!$B$11)</f>
        <v/>
      </c>
      <c r="I1600" s="20" t="str">
        <f aca="false">IF($A1600="","",IF(N(H1600)=0,"",RANK(H1600,$H$5:$H$2004)))</f>
        <v/>
      </c>
      <c r="J1600" s="21" t="str">
        <f aca="false">IF($A1600="","",IF(B1600=0,"No COD orders",IF(B1600&lt;Settings!$B$8,"Too few orders",IF(D1600&gt;=Settings!$B$9,"Restrict COD or verify","Keep COD"))))</f>
        <v/>
      </c>
    </row>
    <row r="1601" customFormat="false" ht="15" hidden="false" customHeight="false" outlineLevel="0" collapsed="false">
      <c r="A1601" s="27"/>
      <c r="B1601" s="17" t="str">
        <f aca="false">IF($A1601="","",COUNTIFS(Orders!$C$2:$C$20001,$A1601,Orders!$E$2:$E$20001,"COD",Orders!$F$2:$F$20001,"Delivered")+COUNTIFS(Orders!$C$2:$C$20001,$A1601,Orders!$E$2:$E$20001,"COD",Orders!$F$2:$F$20001,"RTO"))</f>
        <v/>
      </c>
      <c r="C1601" s="17" t="str">
        <f aca="false">IF($A1601="","",COUNTIFS(Orders!$C$2:$C$20001,$A1601,Orders!$E$2:$E$20001,"COD",Orders!$F$2:$F$20001,"RTO"))</f>
        <v/>
      </c>
      <c r="D1601" s="18" t="str">
        <f aca="false">IF($A1601="","",IFERROR(C1601/B1601,0))</f>
        <v/>
      </c>
      <c r="E1601" s="17" t="str">
        <f aca="false">IF($A1601="","",COUNTIFS(Orders!$C$2:$C$20001,$A1601,Orders!$E$2:$E$20001,"Prepaid",Orders!$F$2:$F$20001,"Delivered")+COUNTIFS(Orders!$C$2:$C$20001,$A1601,Orders!$E$2:$E$20001,"Prepaid",Orders!$F$2:$F$20001,"RTO"))</f>
        <v/>
      </c>
      <c r="F1601" s="17" t="str">
        <f aca="false">IF($A1601="","",COUNTIFS(Orders!$C$2:$C$20001,$A1601,Orders!$E$2:$E$20001,"Prepaid",Orders!$F$2:$F$20001,"RTO"))</f>
        <v/>
      </c>
      <c r="G1601" s="18" t="str">
        <f aca="false">IF($A1601="","",IFERROR(F1601/E1601,0))</f>
        <v/>
      </c>
      <c r="H1601" s="19" t="str">
        <f aca="false">IF($A1601="","",C1601*Settings!$B$11)</f>
        <v/>
      </c>
      <c r="I1601" s="20" t="str">
        <f aca="false">IF($A1601="","",IF(N(H1601)=0,"",RANK(H1601,$H$5:$H$2004)))</f>
        <v/>
      </c>
      <c r="J1601" s="21" t="str">
        <f aca="false">IF($A1601="","",IF(B1601=0,"No COD orders",IF(B1601&lt;Settings!$B$8,"Too few orders",IF(D1601&gt;=Settings!$B$9,"Restrict COD or verify","Keep COD"))))</f>
        <v/>
      </c>
    </row>
    <row r="1602" customFormat="false" ht="15" hidden="false" customHeight="false" outlineLevel="0" collapsed="false">
      <c r="A1602" s="27"/>
      <c r="B1602" s="17" t="str">
        <f aca="false">IF($A1602="","",COUNTIFS(Orders!$C$2:$C$20001,$A1602,Orders!$E$2:$E$20001,"COD",Orders!$F$2:$F$20001,"Delivered")+COUNTIFS(Orders!$C$2:$C$20001,$A1602,Orders!$E$2:$E$20001,"COD",Orders!$F$2:$F$20001,"RTO"))</f>
        <v/>
      </c>
      <c r="C1602" s="17" t="str">
        <f aca="false">IF($A1602="","",COUNTIFS(Orders!$C$2:$C$20001,$A1602,Orders!$E$2:$E$20001,"COD",Orders!$F$2:$F$20001,"RTO"))</f>
        <v/>
      </c>
      <c r="D1602" s="18" t="str">
        <f aca="false">IF($A1602="","",IFERROR(C1602/B1602,0))</f>
        <v/>
      </c>
      <c r="E1602" s="17" t="str">
        <f aca="false">IF($A1602="","",COUNTIFS(Orders!$C$2:$C$20001,$A1602,Orders!$E$2:$E$20001,"Prepaid",Orders!$F$2:$F$20001,"Delivered")+COUNTIFS(Orders!$C$2:$C$20001,$A1602,Orders!$E$2:$E$20001,"Prepaid",Orders!$F$2:$F$20001,"RTO"))</f>
        <v/>
      </c>
      <c r="F1602" s="17" t="str">
        <f aca="false">IF($A1602="","",COUNTIFS(Orders!$C$2:$C$20001,$A1602,Orders!$E$2:$E$20001,"Prepaid",Orders!$F$2:$F$20001,"RTO"))</f>
        <v/>
      </c>
      <c r="G1602" s="18" t="str">
        <f aca="false">IF($A1602="","",IFERROR(F1602/E1602,0))</f>
        <v/>
      </c>
      <c r="H1602" s="19" t="str">
        <f aca="false">IF($A1602="","",C1602*Settings!$B$11)</f>
        <v/>
      </c>
      <c r="I1602" s="20" t="str">
        <f aca="false">IF($A1602="","",IF(N(H1602)=0,"",RANK(H1602,$H$5:$H$2004)))</f>
        <v/>
      </c>
      <c r="J1602" s="21" t="str">
        <f aca="false">IF($A1602="","",IF(B1602=0,"No COD orders",IF(B1602&lt;Settings!$B$8,"Too few orders",IF(D1602&gt;=Settings!$B$9,"Restrict COD or verify","Keep COD"))))</f>
        <v/>
      </c>
    </row>
    <row r="1603" customFormat="false" ht="15" hidden="false" customHeight="false" outlineLevel="0" collapsed="false">
      <c r="A1603" s="27"/>
      <c r="B1603" s="17" t="str">
        <f aca="false">IF($A1603="","",COUNTIFS(Orders!$C$2:$C$20001,$A1603,Orders!$E$2:$E$20001,"COD",Orders!$F$2:$F$20001,"Delivered")+COUNTIFS(Orders!$C$2:$C$20001,$A1603,Orders!$E$2:$E$20001,"COD",Orders!$F$2:$F$20001,"RTO"))</f>
        <v/>
      </c>
      <c r="C1603" s="17" t="str">
        <f aca="false">IF($A1603="","",COUNTIFS(Orders!$C$2:$C$20001,$A1603,Orders!$E$2:$E$20001,"COD",Orders!$F$2:$F$20001,"RTO"))</f>
        <v/>
      </c>
      <c r="D1603" s="18" t="str">
        <f aca="false">IF($A1603="","",IFERROR(C1603/B1603,0))</f>
        <v/>
      </c>
      <c r="E1603" s="17" t="str">
        <f aca="false">IF($A1603="","",COUNTIFS(Orders!$C$2:$C$20001,$A1603,Orders!$E$2:$E$20001,"Prepaid",Orders!$F$2:$F$20001,"Delivered")+COUNTIFS(Orders!$C$2:$C$20001,$A1603,Orders!$E$2:$E$20001,"Prepaid",Orders!$F$2:$F$20001,"RTO"))</f>
        <v/>
      </c>
      <c r="F1603" s="17" t="str">
        <f aca="false">IF($A1603="","",COUNTIFS(Orders!$C$2:$C$20001,$A1603,Orders!$E$2:$E$20001,"Prepaid",Orders!$F$2:$F$20001,"RTO"))</f>
        <v/>
      </c>
      <c r="G1603" s="18" t="str">
        <f aca="false">IF($A1603="","",IFERROR(F1603/E1603,0))</f>
        <v/>
      </c>
      <c r="H1603" s="19" t="str">
        <f aca="false">IF($A1603="","",C1603*Settings!$B$11)</f>
        <v/>
      </c>
      <c r="I1603" s="20" t="str">
        <f aca="false">IF($A1603="","",IF(N(H1603)=0,"",RANK(H1603,$H$5:$H$2004)))</f>
        <v/>
      </c>
      <c r="J1603" s="21" t="str">
        <f aca="false">IF($A1603="","",IF(B1603=0,"No COD orders",IF(B1603&lt;Settings!$B$8,"Too few orders",IF(D1603&gt;=Settings!$B$9,"Restrict COD or verify","Keep COD"))))</f>
        <v/>
      </c>
    </row>
    <row r="1604" customFormat="false" ht="15" hidden="false" customHeight="false" outlineLevel="0" collapsed="false">
      <c r="A1604" s="27"/>
      <c r="B1604" s="17" t="str">
        <f aca="false">IF($A1604="","",COUNTIFS(Orders!$C$2:$C$20001,$A1604,Orders!$E$2:$E$20001,"COD",Orders!$F$2:$F$20001,"Delivered")+COUNTIFS(Orders!$C$2:$C$20001,$A1604,Orders!$E$2:$E$20001,"COD",Orders!$F$2:$F$20001,"RTO"))</f>
        <v/>
      </c>
      <c r="C1604" s="17" t="str">
        <f aca="false">IF($A1604="","",COUNTIFS(Orders!$C$2:$C$20001,$A1604,Orders!$E$2:$E$20001,"COD",Orders!$F$2:$F$20001,"RTO"))</f>
        <v/>
      </c>
      <c r="D1604" s="18" t="str">
        <f aca="false">IF($A1604="","",IFERROR(C1604/B1604,0))</f>
        <v/>
      </c>
      <c r="E1604" s="17" t="str">
        <f aca="false">IF($A1604="","",COUNTIFS(Orders!$C$2:$C$20001,$A1604,Orders!$E$2:$E$20001,"Prepaid",Orders!$F$2:$F$20001,"Delivered")+COUNTIFS(Orders!$C$2:$C$20001,$A1604,Orders!$E$2:$E$20001,"Prepaid",Orders!$F$2:$F$20001,"RTO"))</f>
        <v/>
      </c>
      <c r="F1604" s="17" t="str">
        <f aca="false">IF($A1604="","",COUNTIFS(Orders!$C$2:$C$20001,$A1604,Orders!$E$2:$E$20001,"Prepaid",Orders!$F$2:$F$20001,"RTO"))</f>
        <v/>
      </c>
      <c r="G1604" s="18" t="str">
        <f aca="false">IF($A1604="","",IFERROR(F1604/E1604,0))</f>
        <v/>
      </c>
      <c r="H1604" s="19" t="str">
        <f aca="false">IF($A1604="","",C1604*Settings!$B$11)</f>
        <v/>
      </c>
      <c r="I1604" s="20" t="str">
        <f aca="false">IF($A1604="","",IF(N(H1604)=0,"",RANK(H1604,$H$5:$H$2004)))</f>
        <v/>
      </c>
      <c r="J1604" s="21" t="str">
        <f aca="false">IF($A1604="","",IF(B1604=0,"No COD orders",IF(B1604&lt;Settings!$B$8,"Too few orders",IF(D1604&gt;=Settings!$B$9,"Restrict COD or verify","Keep COD"))))</f>
        <v/>
      </c>
    </row>
    <row r="1605" customFormat="false" ht="15" hidden="false" customHeight="false" outlineLevel="0" collapsed="false">
      <c r="A1605" s="27"/>
      <c r="B1605" s="17" t="str">
        <f aca="false">IF($A1605="","",COUNTIFS(Orders!$C$2:$C$20001,$A1605,Orders!$E$2:$E$20001,"COD",Orders!$F$2:$F$20001,"Delivered")+COUNTIFS(Orders!$C$2:$C$20001,$A1605,Orders!$E$2:$E$20001,"COD",Orders!$F$2:$F$20001,"RTO"))</f>
        <v/>
      </c>
      <c r="C1605" s="17" t="str">
        <f aca="false">IF($A1605="","",COUNTIFS(Orders!$C$2:$C$20001,$A1605,Orders!$E$2:$E$20001,"COD",Orders!$F$2:$F$20001,"RTO"))</f>
        <v/>
      </c>
      <c r="D1605" s="18" t="str">
        <f aca="false">IF($A1605="","",IFERROR(C1605/B1605,0))</f>
        <v/>
      </c>
      <c r="E1605" s="17" t="str">
        <f aca="false">IF($A1605="","",COUNTIFS(Orders!$C$2:$C$20001,$A1605,Orders!$E$2:$E$20001,"Prepaid",Orders!$F$2:$F$20001,"Delivered")+COUNTIFS(Orders!$C$2:$C$20001,$A1605,Orders!$E$2:$E$20001,"Prepaid",Orders!$F$2:$F$20001,"RTO"))</f>
        <v/>
      </c>
      <c r="F1605" s="17" t="str">
        <f aca="false">IF($A1605="","",COUNTIFS(Orders!$C$2:$C$20001,$A1605,Orders!$E$2:$E$20001,"Prepaid",Orders!$F$2:$F$20001,"RTO"))</f>
        <v/>
      </c>
      <c r="G1605" s="18" t="str">
        <f aca="false">IF($A1605="","",IFERROR(F1605/E1605,0))</f>
        <v/>
      </c>
      <c r="H1605" s="19" t="str">
        <f aca="false">IF($A1605="","",C1605*Settings!$B$11)</f>
        <v/>
      </c>
      <c r="I1605" s="20" t="str">
        <f aca="false">IF($A1605="","",IF(N(H1605)=0,"",RANK(H1605,$H$5:$H$2004)))</f>
        <v/>
      </c>
      <c r="J1605" s="21" t="str">
        <f aca="false">IF($A1605="","",IF(B1605=0,"No COD orders",IF(B1605&lt;Settings!$B$8,"Too few orders",IF(D1605&gt;=Settings!$B$9,"Restrict COD or verify","Keep COD"))))</f>
        <v/>
      </c>
    </row>
    <row r="1606" customFormat="false" ht="15" hidden="false" customHeight="false" outlineLevel="0" collapsed="false">
      <c r="A1606" s="27"/>
      <c r="B1606" s="17" t="str">
        <f aca="false">IF($A1606="","",COUNTIFS(Orders!$C$2:$C$20001,$A1606,Orders!$E$2:$E$20001,"COD",Orders!$F$2:$F$20001,"Delivered")+COUNTIFS(Orders!$C$2:$C$20001,$A1606,Orders!$E$2:$E$20001,"COD",Orders!$F$2:$F$20001,"RTO"))</f>
        <v/>
      </c>
      <c r="C1606" s="17" t="str">
        <f aca="false">IF($A1606="","",COUNTIFS(Orders!$C$2:$C$20001,$A1606,Orders!$E$2:$E$20001,"COD",Orders!$F$2:$F$20001,"RTO"))</f>
        <v/>
      </c>
      <c r="D1606" s="18" t="str">
        <f aca="false">IF($A1606="","",IFERROR(C1606/B1606,0))</f>
        <v/>
      </c>
      <c r="E1606" s="17" t="str">
        <f aca="false">IF($A1606="","",COUNTIFS(Orders!$C$2:$C$20001,$A1606,Orders!$E$2:$E$20001,"Prepaid",Orders!$F$2:$F$20001,"Delivered")+COUNTIFS(Orders!$C$2:$C$20001,$A1606,Orders!$E$2:$E$20001,"Prepaid",Orders!$F$2:$F$20001,"RTO"))</f>
        <v/>
      </c>
      <c r="F1606" s="17" t="str">
        <f aca="false">IF($A1606="","",COUNTIFS(Orders!$C$2:$C$20001,$A1606,Orders!$E$2:$E$20001,"Prepaid",Orders!$F$2:$F$20001,"RTO"))</f>
        <v/>
      </c>
      <c r="G1606" s="18" t="str">
        <f aca="false">IF($A1606="","",IFERROR(F1606/E1606,0))</f>
        <v/>
      </c>
      <c r="H1606" s="19" t="str">
        <f aca="false">IF($A1606="","",C1606*Settings!$B$11)</f>
        <v/>
      </c>
      <c r="I1606" s="20" t="str">
        <f aca="false">IF($A1606="","",IF(N(H1606)=0,"",RANK(H1606,$H$5:$H$2004)))</f>
        <v/>
      </c>
      <c r="J1606" s="21" t="str">
        <f aca="false">IF($A1606="","",IF(B1606=0,"No COD orders",IF(B1606&lt;Settings!$B$8,"Too few orders",IF(D1606&gt;=Settings!$B$9,"Restrict COD or verify","Keep COD"))))</f>
        <v/>
      </c>
    </row>
    <row r="1607" customFormat="false" ht="15" hidden="false" customHeight="false" outlineLevel="0" collapsed="false">
      <c r="A1607" s="27"/>
      <c r="B1607" s="17" t="str">
        <f aca="false">IF($A1607="","",COUNTIFS(Orders!$C$2:$C$20001,$A1607,Orders!$E$2:$E$20001,"COD",Orders!$F$2:$F$20001,"Delivered")+COUNTIFS(Orders!$C$2:$C$20001,$A1607,Orders!$E$2:$E$20001,"COD",Orders!$F$2:$F$20001,"RTO"))</f>
        <v/>
      </c>
      <c r="C1607" s="17" t="str">
        <f aca="false">IF($A1607="","",COUNTIFS(Orders!$C$2:$C$20001,$A1607,Orders!$E$2:$E$20001,"COD",Orders!$F$2:$F$20001,"RTO"))</f>
        <v/>
      </c>
      <c r="D1607" s="18" t="str">
        <f aca="false">IF($A1607="","",IFERROR(C1607/B1607,0))</f>
        <v/>
      </c>
      <c r="E1607" s="17" t="str">
        <f aca="false">IF($A1607="","",COUNTIFS(Orders!$C$2:$C$20001,$A1607,Orders!$E$2:$E$20001,"Prepaid",Orders!$F$2:$F$20001,"Delivered")+COUNTIFS(Orders!$C$2:$C$20001,$A1607,Orders!$E$2:$E$20001,"Prepaid",Orders!$F$2:$F$20001,"RTO"))</f>
        <v/>
      </c>
      <c r="F1607" s="17" t="str">
        <f aca="false">IF($A1607="","",COUNTIFS(Orders!$C$2:$C$20001,$A1607,Orders!$E$2:$E$20001,"Prepaid",Orders!$F$2:$F$20001,"RTO"))</f>
        <v/>
      </c>
      <c r="G1607" s="18" t="str">
        <f aca="false">IF($A1607="","",IFERROR(F1607/E1607,0))</f>
        <v/>
      </c>
      <c r="H1607" s="19" t="str">
        <f aca="false">IF($A1607="","",C1607*Settings!$B$11)</f>
        <v/>
      </c>
      <c r="I1607" s="20" t="str">
        <f aca="false">IF($A1607="","",IF(N(H1607)=0,"",RANK(H1607,$H$5:$H$2004)))</f>
        <v/>
      </c>
      <c r="J1607" s="21" t="str">
        <f aca="false">IF($A1607="","",IF(B1607=0,"No COD orders",IF(B1607&lt;Settings!$B$8,"Too few orders",IF(D1607&gt;=Settings!$B$9,"Restrict COD or verify","Keep COD"))))</f>
        <v/>
      </c>
    </row>
    <row r="1608" customFormat="false" ht="15" hidden="false" customHeight="false" outlineLevel="0" collapsed="false">
      <c r="A1608" s="27"/>
      <c r="B1608" s="17" t="str">
        <f aca="false">IF($A1608="","",COUNTIFS(Orders!$C$2:$C$20001,$A1608,Orders!$E$2:$E$20001,"COD",Orders!$F$2:$F$20001,"Delivered")+COUNTIFS(Orders!$C$2:$C$20001,$A1608,Orders!$E$2:$E$20001,"COD",Orders!$F$2:$F$20001,"RTO"))</f>
        <v/>
      </c>
      <c r="C1608" s="17" t="str">
        <f aca="false">IF($A1608="","",COUNTIFS(Orders!$C$2:$C$20001,$A1608,Orders!$E$2:$E$20001,"COD",Orders!$F$2:$F$20001,"RTO"))</f>
        <v/>
      </c>
      <c r="D1608" s="18" t="str">
        <f aca="false">IF($A1608="","",IFERROR(C1608/B1608,0))</f>
        <v/>
      </c>
      <c r="E1608" s="17" t="str">
        <f aca="false">IF($A1608="","",COUNTIFS(Orders!$C$2:$C$20001,$A1608,Orders!$E$2:$E$20001,"Prepaid",Orders!$F$2:$F$20001,"Delivered")+COUNTIFS(Orders!$C$2:$C$20001,$A1608,Orders!$E$2:$E$20001,"Prepaid",Orders!$F$2:$F$20001,"RTO"))</f>
        <v/>
      </c>
      <c r="F1608" s="17" t="str">
        <f aca="false">IF($A1608="","",COUNTIFS(Orders!$C$2:$C$20001,$A1608,Orders!$E$2:$E$20001,"Prepaid",Orders!$F$2:$F$20001,"RTO"))</f>
        <v/>
      </c>
      <c r="G1608" s="18" t="str">
        <f aca="false">IF($A1608="","",IFERROR(F1608/E1608,0))</f>
        <v/>
      </c>
      <c r="H1608" s="19" t="str">
        <f aca="false">IF($A1608="","",C1608*Settings!$B$11)</f>
        <v/>
      </c>
      <c r="I1608" s="20" t="str">
        <f aca="false">IF($A1608="","",IF(N(H1608)=0,"",RANK(H1608,$H$5:$H$2004)))</f>
        <v/>
      </c>
      <c r="J1608" s="21" t="str">
        <f aca="false">IF($A1608="","",IF(B1608=0,"No COD orders",IF(B1608&lt;Settings!$B$8,"Too few orders",IF(D1608&gt;=Settings!$B$9,"Restrict COD or verify","Keep COD"))))</f>
        <v/>
      </c>
    </row>
    <row r="1609" customFormat="false" ht="15" hidden="false" customHeight="false" outlineLevel="0" collapsed="false">
      <c r="A1609" s="27"/>
      <c r="B1609" s="17" t="str">
        <f aca="false">IF($A1609="","",COUNTIFS(Orders!$C$2:$C$20001,$A1609,Orders!$E$2:$E$20001,"COD",Orders!$F$2:$F$20001,"Delivered")+COUNTIFS(Orders!$C$2:$C$20001,$A1609,Orders!$E$2:$E$20001,"COD",Orders!$F$2:$F$20001,"RTO"))</f>
        <v/>
      </c>
      <c r="C1609" s="17" t="str">
        <f aca="false">IF($A1609="","",COUNTIFS(Orders!$C$2:$C$20001,$A1609,Orders!$E$2:$E$20001,"COD",Orders!$F$2:$F$20001,"RTO"))</f>
        <v/>
      </c>
      <c r="D1609" s="18" t="str">
        <f aca="false">IF($A1609="","",IFERROR(C1609/B1609,0))</f>
        <v/>
      </c>
      <c r="E1609" s="17" t="str">
        <f aca="false">IF($A1609="","",COUNTIFS(Orders!$C$2:$C$20001,$A1609,Orders!$E$2:$E$20001,"Prepaid",Orders!$F$2:$F$20001,"Delivered")+COUNTIFS(Orders!$C$2:$C$20001,$A1609,Orders!$E$2:$E$20001,"Prepaid",Orders!$F$2:$F$20001,"RTO"))</f>
        <v/>
      </c>
      <c r="F1609" s="17" t="str">
        <f aca="false">IF($A1609="","",COUNTIFS(Orders!$C$2:$C$20001,$A1609,Orders!$E$2:$E$20001,"Prepaid",Orders!$F$2:$F$20001,"RTO"))</f>
        <v/>
      </c>
      <c r="G1609" s="18" t="str">
        <f aca="false">IF($A1609="","",IFERROR(F1609/E1609,0))</f>
        <v/>
      </c>
      <c r="H1609" s="19" t="str">
        <f aca="false">IF($A1609="","",C1609*Settings!$B$11)</f>
        <v/>
      </c>
      <c r="I1609" s="20" t="str">
        <f aca="false">IF($A1609="","",IF(N(H1609)=0,"",RANK(H1609,$H$5:$H$2004)))</f>
        <v/>
      </c>
      <c r="J1609" s="21" t="str">
        <f aca="false">IF($A1609="","",IF(B1609=0,"No COD orders",IF(B1609&lt;Settings!$B$8,"Too few orders",IF(D1609&gt;=Settings!$B$9,"Restrict COD or verify","Keep COD"))))</f>
        <v/>
      </c>
    </row>
    <row r="1610" customFormat="false" ht="15" hidden="false" customHeight="false" outlineLevel="0" collapsed="false">
      <c r="A1610" s="27"/>
      <c r="B1610" s="17" t="str">
        <f aca="false">IF($A1610="","",COUNTIFS(Orders!$C$2:$C$20001,$A1610,Orders!$E$2:$E$20001,"COD",Orders!$F$2:$F$20001,"Delivered")+COUNTIFS(Orders!$C$2:$C$20001,$A1610,Orders!$E$2:$E$20001,"COD",Orders!$F$2:$F$20001,"RTO"))</f>
        <v/>
      </c>
      <c r="C1610" s="17" t="str">
        <f aca="false">IF($A1610="","",COUNTIFS(Orders!$C$2:$C$20001,$A1610,Orders!$E$2:$E$20001,"COD",Orders!$F$2:$F$20001,"RTO"))</f>
        <v/>
      </c>
      <c r="D1610" s="18" t="str">
        <f aca="false">IF($A1610="","",IFERROR(C1610/B1610,0))</f>
        <v/>
      </c>
      <c r="E1610" s="17" t="str">
        <f aca="false">IF($A1610="","",COUNTIFS(Orders!$C$2:$C$20001,$A1610,Orders!$E$2:$E$20001,"Prepaid",Orders!$F$2:$F$20001,"Delivered")+COUNTIFS(Orders!$C$2:$C$20001,$A1610,Orders!$E$2:$E$20001,"Prepaid",Orders!$F$2:$F$20001,"RTO"))</f>
        <v/>
      </c>
      <c r="F1610" s="17" t="str">
        <f aca="false">IF($A1610="","",COUNTIFS(Orders!$C$2:$C$20001,$A1610,Orders!$E$2:$E$20001,"Prepaid",Orders!$F$2:$F$20001,"RTO"))</f>
        <v/>
      </c>
      <c r="G1610" s="18" t="str">
        <f aca="false">IF($A1610="","",IFERROR(F1610/E1610,0))</f>
        <v/>
      </c>
      <c r="H1610" s="19" t="str">
        <f aca="false">IF($A1610="","",C1610*Settings!$B$11)</f>
        <v/>
      </c>
      <c r="I1610" s="20" t="str">
        <f aca="false">IF($A1610="","",IF(N(H1610)=0,"",RANK(H1610,$H$5:$H$2004)))</f>
        <v/>
      </c>
      <c r="J1610" s="21" t="str">
        <f aca="false">IF($A1610="","",IF(B1610=0,"No COD orders",IF(B1610&lt;Settings!$B$8,"Too few orders",IF(D1610&gt;=Settings!$B$9,"Restrict COD or verify","Keep COD"))))</f>
        <v/>
      </c>
    </row>
    <row r="1611" customFormat="false" ht="15" hidden="false" customHeight="false" outlineLevel="0" collapsed="false">
      <c r="A1611" s="27"/>
      <c r="B1611" s="17" t="str">
        <f aca="false">IF($A1611="","",COUNTIFS(Orders!$C$2:$C$20001,$A1611,Orders!$E$2:$E$20001,"COD",Orders!$F$2:$F$20001,"Delivered")+COUNTIFS(Orders!$C$2:$C$20001,$A1611,Orders!$E$2:$E$20001,"COD",Orders!$F$2:$F$20001,"RTO"))</f>
        <v/>
      </c>
      <c r="C1611" s="17" t="str">
        <f aca="false">IF($A1611="","",COUNTIFS(Orders!$C$2:$C$20001,$A1611,Orders!$E$2:$E$20001,"COD",Orders!$F$2:$F$20001,"RTO"))</f>
        <v/>
      </c>
      <c r="D1611" s="18" t="str">
        <f aca="false">IF($A1611="","",IFERROR(C1611/B1611,0))</f>
        <v/>
      </c>
      <c r="E1611" s="17" t="str">
        <f aca="false">IF($A1611="","",COUNTIFS(Orders!$C$2:$C$20001,$A1611,Orders!$E$2:$E$20001,"Prepaid",Orders!$F$2:$F$20001,"Delivered")+COUNTIFS(Orders!$C$2:$C$20001,$A1611,Orders!$E$2:$E$20001,"Prepaid",Orders!$F$2:$F$20001,"RTO"))</f>
        <v/>
      </c>
      <c r="F1611" s="17" t="str">
        <f aca="false">IF($A1611="","",COUNTIFS(Orders!$C$2:$C$20001,$A1611,Orders!$E$2:$E$20001,"Prepaid",Orders!$F$2:$F$20001,"RTO"))</f>
        <v/>
      </c>
      <c r="G1611" s="18" t="str">
        <f aca="false">IF($A1611="","",IFERROR(F1611/E1611,0))</f>
        <v/>
      </c>
      <c r="H1611" s="19" t="str">
        <f aca="false">IF($A1611="","",C1611*Settings!$B$11)</f>
        <v/>
      </c>
      <c r="I1611" s="20" t="str">
        <f aca="false">IF($A1611="","",IF(N(H1611)=0,"",RANK(H1611,$H$5:$H$2004)))</f>
        <v/>
      </c>
      <c r="J1611" s="21" t="str">
        <f aca="false">IF($A1611="","",IF(B1611=0,"No COD orders",IF(B1611&lt;Settings!$B$8,"Too few orders",IF(D1611&gt;=Settings!$B$9,"Restrict COD or verify","Keep COD"))))</f>
        <v/>
      </c>
    </row>
    <row r="1612" customFormat="false" ht="15" hidden="false" customHeight="false" outlineLevel="0" collapsed="false">
      <c r="A1612" s="27"/>
      <c r="B1612" s="17" t="str">
        <f aca="false">IF($A1612="","",COUNTIFS(Orders!$C$2:$C$20001,$A1612,Orders!$E$2:$E$20001,"COD",Orders!$F$2:$F$20001,"Delivered")+COUNTIFS(Orders!$C$2:$C$20001,$A1612,Orders!$E$2:$E$20001,"COD",Orders!$F$2:$F$20001,"RTO"))</f>
        <v/>
      </c>
      <c r="C1612" s="17" t="str">
        <f aca="false">IF($A1612="","",COUNTIFS(Orders!$C$2:$C$20001,$A1612,Orders!$E$2:$E$20001,"COD",Orders!$F$2:$F$20001,"RTO"))</f>
        <v/>
      </c>
      <c r="D1612" s="18" t="str">
        <f aca="false">IF($A1612="","",IFERROR(C1612/B1612,0))</f>
        <v/>
      </c>
      <c r="E1612" s="17" t="str">
        <f aca="false">IF($A1612="","",COUNTIFS(Orders!$C$2:$C$20001,$A1612,Orders!$E$2:$E$20001,"Prepaid",Orders!$F$2:$F$20001,"Delivered")+COUNTIFS(Orders!$C$2:$C$20001,$A1612,Orders!$E$2:$E$20001,"Prepaid",Orders!$F$2:$F$20001,"RTO"))</f>
        <v/>
      </c>
      <c r="F1612" s="17" t="str">
        <f aca="false">IF($A1612="","",COUNTIFS(Orders!$C$2:$C$20001,$A1612,Orders!$E$2:$E$20001,"Prepaid",Orders!$F$2:$F$20001,"RTO"))</f>
        <v/>
      </c>
      <c r="G1612" s="18" t="str">
        <f aca="false">IF($A1612="","",IFERROR(F1612/E1612,0))</f>
        <v/>
      </c>
      <c r="H1612" s="19" t="str">
        <f aca="false">IF($A1612="","",C1612*Settings!$B$11)</f>
        <v/>
      </c>
      <c r="I1612" s="20" t="str">
        <f aca="false">IF($A1612="","",IF(N(H1612)=0,"",RANK(H1612,$H$5:$H$2004)))</f>
        <v/>
      </c>
      <c r="J1612" s="21" t="str">
        <f aca="false">IF($A1612="","",IF(B1612=0,"No COD orders",IF(B1612&lt;Settings!$B$8,"Too few orders",IF(D1612&gt;=Settings!$B$9,"Restrict COD or verify","Keep COD"))))</f>
        <v/>
      </c>
    </row>
    <row r="1613" customFormat="false" ht="15" hidden="false" customHeight="false" outlineLevel="0" collapsed="false">
      <c r="A1613" s="27"/>
      <c r="B1613" s="17" t="str">
        <f aca="false">IF($A1613="","",COUNTIFS(Orders!$C$2:$C$20001,$A1613,Orders!$E$2:$E$20001,"COD",Orders!$F$2:$F$20001,"Delivered")+COUNTIFS(Orders!$C$2:$C$20001,$A1613,Orders!$E$2:$E$20001,"COD",Orders!$F$2:$F$20001,"RTO"))</f>
        <v/>
      </c>
      <c r="C1613" s="17" t="str">
        <f aca="false">IF($A1613="","",COUNTIFS(Orders!$C$2:$C$20001,$A1613,Orders!$E$2:$E$20001,"COD",Orders!$F$2:$F$20001,"RTO"))</f>
        <v/>
      </c>
      <c r="D1613" s="18" t="str">
        <f aca="false">IF($A1613="","",IFERROR(C1613/B1613,0))</f>
        <v/>
      </c>
      <c r="E1613" s="17" t="str">
        <f aca="false">IF($A1613="","",COUNTIFS(Orders!$C$2:$C$20001,$A1613,Orders!$E$2:$E$20001,"Prepaid",Orders!$F$2:$F$20001,"Delivered")+COUNTIFS(Orders!$C$2:$C$20001,$A1613,Orders!$E$2:$E$20001,"Prepaid",Orders!$F$2:$F$20001,"RTO"))</f>
        <v/>
      </c>
      <c r="F1613" s="17" t="str">
        <f aca="false">IF($A1613="","",COUNTIFS(Orders!$C$2:$C$20001,$A1613,Orders!$E$2:$E$20001,"Prepaid",Orders!$F$2:$F$20001,"RTO"))</f>
        <v/>
      </c>
      <c r="G1613" s="18" t="str">
        <f aca="false">IF($A1613="","",IFERROR(F1613/E1613,0))</f>
        <v/>
      </c>
      <c r="H1613" s="19" t="str">
        <f aca="false">IF($A1613="","",C1613*Settings!$B$11)</f>
        <v/>
      </c>
      <c r="I1613" s="20" t="str">
        <f aca="false">IF($A1613="","",IF(N(H1613)=0,"",RANK(H1613,$H$5:$H$2004)))</f>
        <v/>
      </c>
      <c r="J1613" s="21" t="str">
        <f aca="false">IF($A1613="","",IF(B1613=0,"No COD orders",IF(B1613&lt;Settings!$B$8,"Too few orders",IF(D1613&gt;=Settings!$B$9,"Restrict COD or verify","Keep COD"))))</f>
        <v/>
      </c>
    </row>
    <row r="1614" customFormat="false" ht="15" hidden="false" customHeight="false" outlineLevel="0" collapsed="false">
      <c r="A1614" s="27"/>
      <c r="B1614" s="17" t="str">
        <f aca="false">IF($A1614="","",COUNTIFS(Orders!$C$2:$C$20001,$A1614,Orders!$E$2:$E$20001,"COD",Orders!$F$2:$F$20001,"Delivered")+COUNTIFS(Orders!$C$2:$C$20001,$A1614,Orders!$E$2:$E$20001,"COD",Orders!$F$2:$F$20001,"RTO"))</f>
        <v/>
      </c>
      <c r="C1614" s="17" t="str">
        <f aca="false">IF($A1614="","",COUNTIFS(Orders!$C$2:$C$20001,$A1614,Orders!$E$2:$E$20001,"COD",Orders!$F$2:$F$20001,"RTO"))</f>
        <v/>
      </c>
      <c r="D1614" s="18" t="str">
        <f aca="false">IF($A1614="","",IFERROR(C1614/B1614,0))</f>
        <v/>
      </c>
      <c r="E1614" s="17" t="str">
        <f aca="false">IF($A1614="","",COUNTIFS(Orders!$C$2:$C$20001,$A1614,Orders!$E$2:$E$20001,"Prepaid",Orders!$F$2:$F$20001,"Delivered")+COUNTIFS(Orders!$C$2:$C$20001,$A1614,Orders!$E$2:$E$20001,"Prepaid",Orders!$F$2:$F$20001,"RTO"))</f>
        <v/>
      </c>
      <c r="F1614" s="17" t="str">
        <f aca="false">IF($A1614="","",COUNTIFS(Orders!$C$2:$C$20001,$A1614,Orders!$E$2:$E$20001,"Prepaid",Orders!$F$2:$F$20001,"RTO"))</f>
        <v/>
      </c>
      <c r="G1614" s="18" t="str">
        <f aca="false">IF($A1614="","",IFERROR(F1614/E1614,0))</f>
        <v/>
      </c>
      <c r="H1614" s="19" t="str">
        <f aca="false">IF($A1614="","",C1614*Settings!$B$11)</f>
        <v/>
      </c>
      <c r="I1614" s="20" t="str">
        <f aca="false">IF($A1614="","",IF(N(H1614)=0,"",RANK(H1614,$H$5:$H$2004)))</f>
        <v/>
      </c>
      <c r="J1614" s="21" t="str">
        <f aca="false">IF($A1614="","",IF(B1614=0,"No COD orders",IF(B1614&lt;Settings!$B$8,"Too few orders",IF(D1614&gt;=Settings!$B$9,"Restrict COD or verify","Keep COD"))))</f>
        <v/>
      </c>
    </row>
    <row r="1615" customFormat="false" ht="15" hidden="false" customHeight="false" outlineLevel="0" collapsed="false">
      <c r="A1615" s="27"/>
      <c r="B1615" s="17" t="str">
        <f aca="false">IF($A1615="","",COUNTIFS(Orders!$C$2:$C$20001,$A1615,Orders!$E$2:$E$20001,"COD",Orders!$F$2:$F$20001,"Delivered")+COUNTIFS(Orders!$C$2:$C$20001,$A1615,Orders!$E$2:$E$20001,"COD",Orders!$F$2:$F$20001,"RTO"))</f>
        <v/>
      </c>
      <c r="C1615" s="17" t="str">
        <f aca="false">IF($A1615="","",COUNTIFS(Orders!$C$2:$C$20001,$A1615,Orders!$E$2:$E$20001,"COD",Orders!$F$2:$F$20001,"RTO"))</f>
        <v/>
      </c>
      <c r="D1615" s="18" t="str">
        <f aca="false">IF($A1615="","",IFERROR(C1615/B1615,0))</f>
        <v/>
      </c>
      <c r="E1615" s="17" t="str">
        <f aca="false">IF($A1615="","",COUNTIFS(Orders!$C$2:$C$20001,$A1615,Orders!$E$2:$E$20001,"Prepaid",Orders!$F$2:$F$20001,"Delivered")+COUNTIFS(Orders!$C$2:$C$20001,$A1615,Orders!$E$2:$E$20001,"Prepaid",Orders!$F$2:$F$20001,"RTO"))</f>
        <v/>
      </c>
      <c r="F1615" s="17" t="str">
        <f aca="false">IF($A1615="","",COUNTIFS(Orders!$C$2:$C$20001,$A1615,Orders!$E$2:$E$20001,"Prepaid",Orders!$F$2:$F$20001,"RTO"))</f>
        <v/>
      </c>
      <c r="G1615" s="18" t="str">
        <f aca="false">IF($A1615="","",IFERROR(F1615/E1615,0))</f>
        <v/>
      </c>
      <c r="H1615" s="19" t="str">
        <f aca="false">IF($A1615="","",C1615*Settings!$B$11)</f>
        <v/>
      </c>
      <c r="I1615" s="20" t="str">
        <f aca="false">IF($A1615="","",IF(N(H1615)=0,"",RANK(H1615,$H$5:$H$2004)))</f>
        <v/>
      </c>
      <c r="J1615" s="21" t="str">
        <f aca="false">IF($A1615="","",IF(B1615=0,"No COD orders",IF(B1615&lt;Settings!$B$8,"Too few orders",IF(D1615&gt;=Settings!$B$9,"Restrict COD or verify","Keep COD"))))</f>
        <v/>
      </c>
    </row>
    <row r="1616" customFormat="false" ht="15" hidden="false" customHeight="false" outlineLevel="0" collapsed="false">
      <c r="A1616" s="27"/>
      <c r="B1616" s="17" t="str">
        <f aca="false">IF($A1616="","",COUNTIFS(Orders!$C$2:$C$20001,$A1616,Orders!$E$2:$E$20001,"COD",Orders!$F$2:$F$20001,"Delivered")+COUNTIFS(Orders!$C$2:$C$20001,$A1616,Orders!$E$2:$E$20001,"COD",Orders!$F$2:$F$20001,"RTO"))</f>
        <v/>
      </c>
      <c r="C1616" s="17" t="str">
        <f aca="false">IF($A1616="","",COUNTIFS(Orders!$C$2:$C$20001,$A1616,Orders!$E$2:$E$20001,"COD",Orders!$F$2:$F$20001,"RTO"))</f>
        <v/>
      </c>
      <c r="D1616" s="18" t="str">
        <f aca="false">IF($A1616="","",IFERROR(C1616/B1616,0))</f>
        <v/>
      </c>
      <c r="E1616" s="17" t="str">
        <f aca="false">IF($A1616="","",COUNTIFS(Orders!$C$2:$C$20001,$A1616,Orders!$E$2:$E$20001,"Prepaid",Orders!$F$2:$F$20001,"Delivered")+COUNTIFS(Orders!$C$2:$C$20001,$A1616,Orders!$E$2:$E$20001,"Prepaid",Orders!$F$2:$F$20001,"RTO"))</f>
        <v/>
      </c>
      <c r="F1616" s="17" t="str">
        <f aca="false">IF($A1616="","",COUNTIFS(Orders!$C$2:$C$20001,$A1616,Orders!$E$2:$E$20001,"Prepaid",Orders!$F$2:$F$20001,"RTO"))</f>
        <v/>
      </c>
      <c r="G1616" s="18" t="str">
        <f aca="false">IF($A1616="","",IFERROR(F1616/E1616,0))</f>
        <v/>
      </c>
      <c r="H1616" s="19" t="str">
        <f aca="false">IF($A1616="","",C1616*Settings!$B$11)</f>
        <v/>
      </c>
      <c r="I1616" s="20" t="str">
        <f aca="false">IF($A1616="","",IF(N(H1616)=0,"",RANK(H1616,$H$5:$H$2004)))</f>
        <v/>
      </c>
      <c r="J1616" s="21" t="str">
        <f aca="false">IF($A1616="","",IF(B1616=0,"No COD orders",IF(B1616&lt;Settings!$B$8,"Too few orders",IF(D1616&gt;=Settings!$B$9,"Restrict COD or verify","Keep COD"))))</f>
        <v/>
      </c>
    </row>
    <row r="1617" customFormat="false" ht="15" hidden="false" customHeight="false" outlineLevel="0" collapsed="false">
      <c r="A1617" s="27"/>
      <c r="B1617" s="17" t="str">
        <f aca="false">IF($A1617="","",COUNTIFS(Orders!$C$2:$C$20001,$A1617,Orders!$E$2:$E$20001,"COD",Orders!$F$2:$F$20001,"Delivered")+COUNTIFS(Orders!$C$2:$C$20001,$A1617,Orders!$E$2:$E$20001,"COD",Orders!$F$2:$F$20001,"RTO"))</f>
        <v/>
      </c>
      <c r="C1617" s="17" t="str">
        <f aca="false">IF($A1617="","",COUNTIFS(Orders!$C$2:$C$20001,$A1617,Orders!$E$2:$E$20001,"COD",Orders!$F$2:$F$20001,"RTO"))</f>
        <v/>
      </c>
      <c r="D1617" s="18" t="str">
        <f aca="false">IF($A1617="","",IFERROR(C1617/B1617,0))</f>
        <v/>
      </c>
      <c r="E1617" s="17" t="str">
        <f aca="false">IF($A1617="","",COUNTIFS(Orders!$C$2:$C$20001,$A1617,Orders!$E$2:$E$20001,"Prepaid",Orders!$F$2:$F$20001,"Delivered")+COUNTIFS(Orders!$C$2:$C$20001,$A1617,Orders!$E$2:$E$20001,"Prepaid",Orders!$F$2:$F$20001,"RTO"))</f>
        <v/>
      </c>
      <c r="F1617" s="17" t="str">
        <f aca="false">IF($A1617="","",COUNTIFS(Orders!$C$2:$C$20001,$A1617,Orders!$E$2:$E$20001,"Prepaid",Orders!$F$2:$F$20001,"RTO"))</f>
        <v/>
      </c>
      <c r="G1617" s="18" t="str">
        <f aca="false">IF($A1617="","",IFERROR(F1617/E1617,0))</f>
        <v/>
      </c>
      <c r="H1617" s="19" t="str">
        <f aca="false">IF($A1617="","",C1617*Settings!$B$11)</f>
        <v/>
      </c>
      <c r="I1617" s="20" t="str">
        <f aca="false">IF($A1617="","",IF(N(H1617)=0,"",RANK(H1617,$H$5:$H$2004)))</f>
        <v/>
      </c>
      <c r="J1617" s="21" t="str">
        <f aca="false">IF($A1617="","",IF(B1617=0,"No COD orders",IF(B1617&lt;Settings!$B$8,"Too few orders",IF(D1617&gt;=Settings!$B$9,"Restrict COD or verify","Keep COD"))))</f>
        <v/>
      </c>
    </row>
    <row r="1618" customFormat="false" ht="15" hidden="false" customHeight="false" outlineLevel="0" collapsed="false">
      <c r="A1618" s="27"/>
      <c r="B1618" s="17" t="str">
        <f aca="false">IF($A1618="","",COUNTIFS(Orders!$C$2:$C$20001,$A1618,Orders!$E$2:$E$20001,"COD",Orders!$F$2:$F$20001,"Delivered")+COUNTIFS(Orders!$C$2:$C$20001,$A1618,Orders!$E$2:$E$20001,"COD",Orders!$F$2:$F$20001,"RTO"))</f>
        <v/>
      </c>
      <c r="C1618" s="17" t="str">
        <f aca="false">IF($A1618="","",COUNTIFS(Orders!$C$2:$C$20001,$A1618,Orders!$E$2:$E$20001,"COD",Orders!$F$2:$F$20001,"RTO"))</f>
        <v/>
      </c>
      <c r="D1618" s="18" t="str">
        <f aca="false">IF($A1618="","",IFERROR(C1618/B1618,0))</f>
        <v/>
      </c>
      <c r="E1618" s="17" t="str">
        <f aca="false">IF($A1618="","",COUNTIFS(Orders!$C$2:$C$20001,$A1618,Orders!$E$2:$E$20001,"Prepaid",Orders!$F$2:$F$20001,"Delivered")+COUNTIFS(Orders!$C$2:$C$20001,$A1618,Orders!$E$2:$E$20001,"Prepaid",Orders!$F$2:$F$20001,"RTO"))</f>
        <v/>
      </c>
      <c r="F1618" s="17" t="str">
        <f aca="false">IF($A1618="","",COUNTIFS(Orders!$C$2:$C$20001,$A1618,Orders!$E$2:$E$20001,"Prepaid",Orders!$F$2:$F$20001,"RTO"))</f>
        <v/>
      </c>
      <c r="G1618" s="18" t="str">
        <f aca="false">IF($A1618="","",IFERROR(F1618/E1618,0))</f>
        <v/>
      </c>
      <c r="H1618" s="19" t="str">
        <f aca="false">IF($A1618="","",C1618*Settings!$B$11)</f>
        <v/>
      </c>
      <c r="I1618" s="20" t="str">
        <f aca="false">IF($A1618="","",IF(N(H1618)=0,"",RANK(H1618,$H$5:$H$2004)))</f>
        <v/>
      </c>
      <c r="J1618" s="21" t="str">
        <f aca="false">IF($A1618="","",IF(B1618=0,"No COD orders",IF(B1618&lt;Settings!$B$8,"Too few orders",IF(D1618&gt;=Settings!$B$9,"Restrict COD or verify","Keep COD"))))</f>
        <v/>
      </c>
    </row>
    <row r="1619" customFormat="false" ht="15" hidden="false" customHeight="false" outlineLevel="0" collapsed="false">
      <c r="A1619" s="27"/>
      <c r="B1619" s="17" t="str">
        <f aca="false">IF($A1619="","",COUNTIFS(Orders!$C$2:$C$20001,$A1619,Orders!$E$2:$E$20001,"COD",Orders!$F$2:$F$20001,"Delivered")+COUNTIFS(Orders!$C$2:$C$20001,$A1619,Orders!$E$2:$E$20001,"COD",Orders!$F$2:$F$20001,"RTO"))</f>
        <v/>
      </c>
      <c r="C1619" s="17" t="str">
        <f aca="false">IF($A1619="","",COUNTIFS(Orders!$C$2:$C$20001,$A1619,Orders!$E$2:$E$20001,"COD",Orders!$F$2:$F$20001,"RTO"))</f>
        <v/>
      </c>
      <c r="D1619" s="18" t="str">
        <f aca="false">IF($A1619="","",IFERROR(C1619/B1619,0))</f>
        <v/>
      </c>
      <c r="E1619" s="17" t="str">
        <f aca="false">IF($A1619="","",COUNTIFS(Orders!$C$2:$C$20001,$A1619,Orders!$E$2:$E$20001,"Prepaid",Orders!$F$2:$F$20001,"Delivered")+COUNTIFS(Orders!$C$2:$C$20001,$A1619,Orders!$E$2:$E$20001,"Prepaid",Orders!$F$2:$F$20001,"RTO"))</f>
        <v/>
      </c>
      <c r="F1619" s="17" t="str">
        <f aca="false">IF($A1619="","",COUNTIFS(Orders!$C$2:$C$20001,$A1619,Orders!$E$2:$E$20001,"Prepaid",Orders!$F$2:$F$20001,"RTO"))</f>
        <v/>
      </c>
      <c r="G1619" s="18" t="str">
        <f aca="false">IF($A1619="","",IFERROR(F1619/E1619,0))</f>
        <v/>
      </c>
      <c r="H1619" s="19" t="str">
        <f aca="false">IF($A1619="","",C1619*Settings!$B$11)</f>
        <v/>
      </c>
      <c r="I1619" s="20" t="str">
        <f aca="false">IF($A1619="","",IF(N(H1619)=0,"",RANK(H1619,$H$5:$H$2004)))</f>
        <v/>
      </c>
      <c r="J1619" s="21" t="str">
        <f aca="false">IF($A1619="","",IF(B1619=0,"No COD orders",IF(B1619&lt;Settings!$B$8,"Too few orders",IF(D1619&gt;=Settings!$B$9,"Restrict COD or verify","Keep COD"))))</f>
        <v/>
      </c>
    </row>
    <row r="1620" customFormat="false" ht="15" hidden="false" customHeight="false" outlineLevel="0" collapsed="false">
      <c r="A1620" s="27"/>
      <c r="B1620" s="17" t="str">
        <f aca="false">IF($A1620="","",COUNTIFS(Orders!$C$2:$C$20001,$A1620,Orders!$E$2:$E$20001,"COD",Orders!$F$2:$F$20001,"Delivered")+COUNTIFS(Orders!$C$2:$C$20001,$A1620,Orders!$E$2:$E$20001,"COD",Orders!$F$2:$F$20001,"RTO"))</f>
        <v/>
      </c>
      <c r="C1620" s="17" t="str">
        <f aca="false">IF($A1620="","",COUNTIFS(Orders!$C$2:$C$20001,$A1620,Orders!$E$2:$E$20001,"COD",Orders!$F$2:$F$20001,"RTO"))</f>
        <v/>
      </c>
      <c r="D1620" s="18" t="str">
        <f aca="false">IF($A1620="","",IFERROR(C1620/B1620,0))</f>
        <v/>
      </c>
      <c r="E1620" s="17" t="str">
        <f aca="false">IF($A1620="","",COUNTIFS(Orders!$C$2:$C$20001,$A1620,Orders!$E$2:$E$20001,"Prepaid",Orders!$F$2:$F$20001,"Delivered")+COUNTIFS(Orders!$C$2:$C$20001,$A1620,Orders!$E$2:$E$20001,"Prepaid",Orders!$F$2:$F$20001,"RTO"))</f>
        <v/>
      </c>
      <c r="F1620" s="17" t="str">
        <f aca="false">IF($A1620="","",COUNTIFS(Orders!$C$2:$C$20001,$A1620,Orders!$E$2:$E$20001,"Prepaid",Orders!$F$2:$F$20001,"RTO"))</f>
        <v/>
      </c>
      <c r="G1620" s="18" t="str">
        <f aca="false">IF($A1620="","",IFERROR(F1620/E1620,0))</f>
        <v/>
      </c>
      <c r="H1620" s="19" t="str">
        <f aca="false">IF($A1620="","",C1620*Settings!$B$11)</f>
        <v/>
      </c>
      <c r="I1620" s="20" t="str">
        <f aca="false">IF($A1620="","",IF(N(H1620)=0,"",RANK(H1620,$H$5:$H$2004)))</f>
        <v/>
      </c>
      <c r="J1620" s="21" t="str">
        <f aca="false">IF($A1620="","",IF(B1620=0,"No COD orders",IF(B1620&lt;Settings!$B$8,"Too few orders",IF(D1620&gt;=Settings!$B$9,"Restrict COD or verify","Keep COD"))))</f>
        <v/>
      </c>
    </row>
    <row r="1621" customFormat="false" ht="15" hidden="false" customHeight="false" outlineLevel="0" collapsed="false">
      <c r="A1621" s="27"/>
      <c r="B1621" s="17" t="str">
        <f aca="false">IF($A1621="","",COUNTIFS(Orders!$C$2:$C$20001,$A1621,Orders!$E$2:$E$20001,"COD",Orders!$F$2:$F$20001,"Delivered")+COUNTIFS(Orders!$C$2:$C$20001,$A1621,Orders!$E$2:$E$20001,"COD",Orders!$F$2:$F$20001,"RTO"))</f>
        <v/>
      </c>
      <c r="C1621" s="17" t="str">
        <f aca="false">IF($A1621="","",COUNTIFS(Orders!$C$2:$C$20001,$A1621,Orders!$E$2:$E$20001,"COD",Orders!$F$2:$F$20001,"RTO"))</f>
        <v/>
      </c>
      <c r="D1621" s="18" t="str">
        <f aca="false">IF($A1621="","",IFERROR(C1621/B1621,0))</f>
        <v/>
      </c>
      <c r="E1621" s="17" t="str">
        <f aca="false">IF($A1621="","",COUNTIFS(Orders!$C$2:$C$20001,$A1621,Orders!$E$2:$E$20001,"Prepaid",Orders!$F$2:$F$20001,"Delivered")+COUNTIFS(Orders!$C$2:$C$20001,$A1621,Orders!$E$2:$E$20001,"Prepaid",Orders!$F$2:$F$20001,"RTO"))</f>
        <v/>
      </c>
      <c r="F1621" s="17" t="str">
        <f aca="false">IF($A1621="","",COUNTIFS(Orders!$C$2:$C$20001,$A1621,Orders!$E$2:$E$20001,"Prepaid",Orders!$F$2:$F$20001,"RTO"))</f>
        <v/>
      </c>
      <c r="G1621" s="18" t="str">
        <f aca="false">IF($A1621="","",IFERROR(F1621/E1621,0))</f>
        <v/>
      </c>
      <c r="H1621" s="19" t="str">
        <f aca="false">IF($A1621="","",C1621*Settings!$B$11)</f>
        <v/>
      </c>
      <c r="I1621" s="20" t="str">
        <f aca="false">IF($A1621="","",IF(N(H1621)=0,"",RANK(H1621,$H$5:$H$2004)))</f>
        <v/>
      </c>
      <c r="J1621" s="21" t="str">
        <f aca="false">IF($A1621="","",IF(B1621=0,"No COD orders",IF(B1621&lt;Settings!$B$8,"Too few orders",IF(D1621&gt;=Settings!$B$9,"Restrict COD or verify","Keep COD"))))</f>
        <v/>
      </c>
    </row>
    <row r="1622" customFormat="false" ht="15" hidden="false" customHeight="false" outlineLevel="0" collapsed="false">
      <c r="A1622" s="27"/>
      <c r="B1622" s="17" t="str">
        <f aca="false">IF($A1622="","",COUNTIFS(Orders!$C$2:$C$20001,$A1622,Orders!$E$2:$E$20001,"COD",Orders!$F$2:$F$20001,"Delivered")+COUNTIFS(Orders!$C$2:$C$20001,$A1622,Orders!$E$2:$E$20001,"COD",Orders!$F$2:$F$20001,"RTO"))</f>
        <v/>
      </c>
      <c r="C1622" s="17" t="str">
        <f aca="false">IF($A1622="","",COUNTIFS(Orders!$C$2:$C$20001,$A1622,Orders!$E$2:$E$20001,"COD",Orders!$F$2:$F$20001,"RTO"))</f>
        <v/>
      </c>
      <c r="D1622" s="18" t="str">
        <f aca="false">IF($A1622="","",IFERROR(C1622/B1622,0))</f>
        <v/>
      </c>
      <c r="E1622" s="17" t="str">
        <f aca="false">IF($A1622="","",COUNTIFS(Orders!$C$2:$C$20001,$A1622,Orders!$E$2:$E$20001,"Prepaid",Orders!$F$2:$F$20001,"Delivered")+COUNTIFS(Orders!$C$2:$C$20001,$A1622,Orders!$E$2:$E$20001,"Prepaid",Orders!$F$2:$F$20001,"RTO"))</f>
        <v/>
      </c>
      <c r="F1622" s="17" t="str">
        <f aca="false">IF($A1622="","",COUNTIFS(Orders!$C$2:$C$20001,$A1622,Orders!$E$2:$E$20001,"Prepaid",Orders!$F$2:$F$20001,"RTO"))</f>
        <v/>
      </c>
      <c r="G1622" s="18" t="str">
        <f aca="false">IF($A1622="","",IFERROR(F1622/E1622,0))</f>
        <v/>
      </c>
      <c r="H1622" s="19" t="str">
        <f aca="false">IF($A1622="","",C1622*Settings!$B$11)</f>
        <v/>
      </c>
      <c r="I1622" s="20" t="str">
        <f aca="false">IF($A1622="","",IF(N(H1622)=0,"",RANK(H1622,$H$5:$H$2004)))</f>
        <v/>
      </c>
      <c r="J1622" s="21" t="str">
        <f aca="false">IF($A1622="","",IF(B1622=0,"No COD orders",IF(B1622&lt;Settings!$B$8,"Too few orders",IF(D1622&gt;=Settings!$B$9,"Restrict COD or verify","Keep COD"))))</f>
        <v/>
      </c>
    </row>
    <row r="1623" customFormat="false" ht="15" hidden="false" customHeight="false" outlineLevel="0" collapsed="false">
      <c r="A1623" s="27"/>
      <c r="B1623" s="17" t="str">
        <f aca="false">IF($A1623="","",COUNTIFS(Orders!$C$2:$C$20001,$A1623,Orders!$E$2:$E$20001,"COD",Orders!$F$2:$F$20001,"Delivered")+COUNTIFS(Orders!$C$2:$C$20001,$A1623,Orders!$E$2:$E$20001,"COD",Orders!$F$2:$F$20001,"RTO"))</f>
        <v/>
      </c>
      <c r="C1623" s="17" t="str">
        <f aca="false">IF($A1623="","",COUNTIFS(Orders!$C$2:$C$20001,$A1623,Orders!$E$2:$E$20001,"COD",Orders!$F$2:$F$20001,"RTO"))</f>
        <v/>
      </c>
      <c r="D1623" s="18" t="str">
        <f aca="false">IF($A1623="","",IFERROR(C1623/B1623,0))</f>
        <v/>
      </c>
      <c r="E1623" s="17" t="str">
        <f aca="false">IF($A1623="","",COUNTIFS(Orders!$C$2:$C$20001,$A1623,Orders!$E$2:$E$20001,"Prepaid",Orders!$F$2:$F$20001,"Delivered")+COUNTIFS(Orders!$C$2:$C$20001,$A1623,Orders!$E$2:$E$20001,"Prepaid",Orders!$F$2:$F$20001,"RTO"))</f>
        <v/>
      </c>
      <c r="F1623" s="17" t="str">
        <f aca="false">IF($A1623="","",COUNTIFS(Orders!$C$2:$C$20001,$A1623,Orders!$E$2:$E$20001,"Prepaid",Orders!$F$2:$F$20001,"RTO"))</f>
        <v/>
      </c>
      <c r="G1623" s="18" t="str">
        <f aca="false">IF($A1623="","",IFERROR(F1623/E1623,0))</f>
        <v/>
      </c>
      <c r="H1623" s="19" t="str">
        <f aca="false">IF($A1623="","",C1623*Settings!$B$11)</f>
        <v/>
      </c>
      <c r="I1623" s="20" t="str">
        <f aca="false">IF($A1623="","",IF(N(H1623)=0,"",RANK(H1623,$H$5:$H$2004)))</f>
        <v/>
      </c>
      <c r="J1623" s="21" t="str">
        <f aca="false">IF($A1623="","",IF(B1623=0,"No COD orders",IF(B1623&lt;Settings!$B$8,"Too few orders",IF(D1623&gt;=Settings!$B$9,"Restrict COD or verify","Keep COD"))))</f>
        <v/>
      </c>
    </row>
    <row r="1624" customFormat="false" ht="15" hidden="false" customHeight="false" outlineLevel="0" collapsed="false">
      <c r="A1624" s="27"/>
      <c r="B1624" s="17" t="str">
        <f aca="false">IF($A1624="","",COUNTIFS(Orders!$C$2:$C$20001,$A1624,Orders!$E$2:$E$20001,"COD",Orders!$F$2:$F$20001,"Delivered")+COUNTIFS(Orders!$C$2:$C$20001,$A1624,Orders!$E$2:$E$20001,"COD",Orders!$F$2:$F$20001,"RTO"))</f>
        <v/>
      </c>
      <c r="C1624" s="17" t="str">
        <f aca="false">IF($A1624="","",COUNTIFS(Orders!$C$2:$C$20001,$A1624,Orders!$E$2:$E$20001,"COD",Orders!$F$2:$F$20001,"RTO"))</f>
        <v/>
      </c>
      <c r="D1624" s="18" t="str">
        <f aca="false">IF($A1624="","",IFERROR(C1624/B1624,0))</f>
        <v/>
      </c>
      <c r="E1624" s="17" t="str">
        <f aca="false">IF($A1624="","",COUNTIFS(Orders!$C$2:$C$20001,$A1624,Orders!$E$2:$E$20001,"Prepaid",Orders!$F$2:$F$20001,"Delivered")+COUNTIFS(Orders!$C$2:$C$20001,$A1624,Orders!$E$2:$E$20001,"Prepaid",Orders!$F$2:$F$20001,"RTO"))</f>
        <v/>
      </c>
      <c r="F1624" s="17" t="str">
        <f aca="false">IF($A1624="","",COUNTIFS(Orders!$C$2:$C$20001,$A1624,Orders!$E$2:$E$20001,"Prepaid",Orders!$F$2:$F$20001,"RTO"))</f>
        <v/>
      </c>
      <c r="G1624" s="18" t="str">
        <f aca="false">IF($A1624="","",IFERROR(F1624/E1624,0))</f>
        <v/>
      </c>
      <c r="H1624" s="19" t="str">
        <f aca="false">IF($A1624="","",C1624*Settings!$B$11)</f>
        <v/>
      </c>
      <c r="I1624" s="20" t="str">
        <f aca="false">IF($A1624="","",IF(N(H1624)=0,"",RANK(H1624,$H$5:$H$2004)))</f>
        <v/>
      </c>
      <c r="J1624" s="21" t="str">
        <f aca="false">IF($A1624="","",IF(B1624=0,"No COD orders",IF(B1624&lt;Settings!$B$8,"Too few orders",IF(D1624&gt;=Settings!$B$9,"Restrict COD or verify","Keep COD"))))</f>
        <v/>
      </c>
    </row>
    <row r="1625" customFormat="false" ht="15" hidden="false" customHeight="false" outlineLevel="0" collapsed="false">
      <c r="A1625" s="27"/>
      <c r="B1625" s="17" t="str">
        <f aca="false">IF($A1625="","",COUNTIFS(Orders!$C$2:$C$20001,$A1625,Orders!$E$2:$E$20001,"COD",Orders!$F$2:$F$20001,"Delivered")+COUNTIFS(Orders!$C$2:$C$20001,$A1625,Orders!$E$2:$E$20001,"COD",Orders!$F$2:$F$20001,"RTO"))</f>
        <v/>
      </c>
      <c r="C1625" s="17" t="str">
        <f aca="false">IF($A1625="","",COUNTIFS(Orders!$C$2:$C$20001,$A1625,Orders!$E$2:$E$20001,"COD",Orders!$F$2:$F$20001,"RTO"))</f>
        <v/>
      </c>
      <c r="D1625" s="18" t="str">
        <f aca="false">IF($A1625="","",IFERROR(C1625/B1625,0))</f>
        <v/>
      </c>
      <c r="E1625" s="17" t="str">
        <f aca="false">IF($A1625="","",COUNTIFS(Orders!$C$2:$C$20001,$A1625,Orders!$E$2:$E$20001,"Prepaid",Orders!$F$2:$F$20001,"Delivered")+COUNTIFS(Orders!$C$2:$C$20001,$A1625,Orders!$E$2:$E$20001,"Prepaid",Orders!$F$2:$F$20001,"RTO"))</f>
        <v/>
      </c>
      <c r="F1625" s="17" t="str">
        <f aca="false">IF($A1625="","",COUNTIFS(Orders!$C$2:$C$20001,$A1625,Orders!$E$2:$E$20001,"Prepaid",Orders!$F$2:$F$20001,"RTO"))</f>
        <v/>
      </c>
      <c r="G1625" s="18" t="str">
        <f aca="false">IF($A1625="","",IFERROR(F1625/E1625,0))</f>
        <v/>
      </c>
      <c r="H1625" s="19" t="str">
        <f aca="false">IF($A1625="","",C1625*Settings!$B$11)</f>
        <v/>
      </c>
      <c r="I1625" s="20" t="str">
        <f aca="false">IF($A1625="","",IF(N(H1625)=0,"",RANK(H1625,$H$5:$H$2004)))</f>
        <v/>
      </c>
      <c r="J1625" s="21" t="str">
        <f aca="false">IF($A1625="","",IF(B1625=0,"No COD orders",IF(B1625&lt;Settings!$B$8,"Too few orders",IF(D1625&gt;=Settings!$B$9,"Restrict COD or verify","Keep COD"))))</f>
        <v/>
      </c>
    </row>
    <row r="1626" customFormat="false" ht="15" hidden="false" customHeight="false" outlineLevel="0" collapsed="false">
      <c r="A1626" s="27"/>
      <c r="B1626" s="17" t="str">
        <f aca="false">IF($A1626="","",COUNTIFS(Orders!$C$2:$C$20001,$A1626,Orders!$E$2:$E$20001,"COD",Orders!$F$2:$F$20001,"Delivered")+COUNTIFS(Orders!$C$2:$C$20001,$A1626,Orders!$E$2:$E$20001,"COD",Orders!$F$2:$F$20001,"RTO"))</f>
        <v/>
      </c>
      <c r="C1626" s="17" t="str">
        <f aca="false">IF($A1626="","",COUNTIFS(Orders!$C$2:$C$20001,$A1626,Orders!$E$2:$E$20001,"COD",Orders!$F$2:$F$20001,"RTO"))</f>
        <v/>
      </c>
      <c r="D1626" s="18" t="str">
        <f aca="false">IF($A1626="","",IFERROR(C1626/B1626,0))</f>
        <v/>
      </c>
      <c r="E1626" s="17" t="str">
        <f aca="false">IF($A1626="","",COUNTIFS(Orders!$C$2:$C$20001,$A1626,Orders!$E$2:$E$20001,"Prepaid",Orders!$F$2:$F$20001,"Delivered")+COUNTIFS(Orders!$C$2:$C$20001,$A1626,Orders!$E$2:$E$20001,"Prepaid",Orders!$F$2:$F$20001,"RTO"))</f>
        <v/>
      </c>
      <c r="F1626" s="17" t="str">
        <f aca="false">IF($A1626="","",COUNTIFS(Orders!$C$2:$C$20001,$A1626,Orders!$E$2:$E$20001,"Prepaid",Orders!$F$2:$F$20001,"RTO"))</f>
        <v/>
      </c>
      <c r="G1626" s="18" t="str">
        <f aca="false">IF($A1626="","",IFERROR(F1626/E1626,0))</f>
        <v/>
      </c>
      <c r="H1626" s="19" t="str">
        <f aca="false">IF($A1626="","",C1626*Settings!$B$11)</f>
        <v/>
      </c>
      <c r="I1626" s="20" t="str">
        <f aca="false">IF($A1626="","",IF(N(H1626)=0,"",RANK(H1626,$H$5:$H$2004)))</f>
        <v/>
      </c>
      <c r="J1626" s="21" t="str">
        <f aca="false">IF($A1626="","",IF(B1626=0,"No COD orders",IF(B1626&lt;Settings!$B$8,"Too few orders",IF(D1626&gt;=Settings!$B$9,"Restrict COD or verify","Keep COD"))))</f>
        <v/>
      </c>
    </row>
    <row r="1627" customFormat="false" ht="15" hidden="false" customHeight="false" outlineLevel="0" collapsed="false">
      <c r="A1627" s="27"/>
      <c r="B1627" s="17" t="str">
        <f aca="false">IF($A1627="","",COUNTIFS(Orders!$C$2:$C$20001,$A1627,Orders!$E$2:$E$20001,"COD",Orders!$F$2:$F$20001,"Delivered")+COUNTIFS(Orders!$C$2:$C$20001,$A1627,Orders!$E$2:$E$20001,"COD",Orders!$F$2:$F$20001,"RTO"))</f>
        <v/>
      </c>
      <c r="C1627" s="17" t="str">
        <f aca="false">IF($A1627="","",COUNTIFS(Orders!$C$2:$C$20001,$A1627,Orders!$E$2:$E$20001,"COD",Orders!$F$2:$F$20001,"RTO"))</f>
        <v/>
      </c>
      <c r="D1627" s="18" t="str">
        <f aca="false">IF($A1627="","",IFERROR(C1627/B1627,0))</f>
        <v/>
      </c>
      <c r="E1627" s="17" t="str">
        <f aca="false">IF($A1627="","",COUNTIFS(Orders!$C$2:$C$20001,$A1627,Orders!$E$2:$E$20001,"Prepaid",Orders!$F$2:$F$20001,"Delivered")+COUNTIFS(Orders!$C$2:$C$20001,$A1627,Orders!$E$2:$E$20001,"Prepaid",Orders!$F$2:$F$20001,"RTO"))</f>
        <v/>
      </c>
      <c r="F1627" s="17" t="str">
        <f aca="false">IF($A1627="","",COUNTIFS(Orders!$C$2:$C$20001,$A1627,Orders!$E$2:$E$20001,"Prepaid",Orders!$F$2:$F$20001,"RTO"))</f>
        <v/>
      </c>
      <c r="G1627" s="18" t="str">
        <f aca="false">IF($A1627="","",IFERROR(F1627/E1627,0))</f>
        <v/>
      </c>
      <c r="H1627" s="19" t="str">
        <f aca="false">IF($A1627="","",C1627*Settings!$B$11)</f>
        <v/>
      </c>
      <c r="I1627" s="20" t="str">
        <f aca="false">IF($A1627="","",IF(N(H1627)=0,"",RANK(H1627,$H$5:$H$2004)))</f>
        <v/>
      </c>
      <c r="J1627" s="21" t="str">
        <f aca="false">IF($A1627="","",IF(B1627=0,"No COD orders",IF(B1627&lt;Settings!$B$8,"Too few orders",IF(D1627&gt;=Settings!$B$9,"Restrict COD or verify","Keep COD"))))</f>
        <v/>
      </c>
    </row>
    <row r="1628" customFormat="false" ht="15" hidden="false" customHeight="false" outlineLevel="0" collapsed="false">
      <c r="A1628" s="27"/>
      <c r="B1628" s="17" t="str">
        <f aca="false">IF($A1628="","",COUNTIFS(Orders!$C$2:$C$20001,$A1628,Orders!$E$2:$E$20001,"COD",Orders!$F$2:$F$20001,"Delivered")+COUNTIFS(Orders!$C$2:$C$20001,$A1628,Orders!$E$2:$E$20001,"COD",Orders!$F$2:$F$20001,"RTO"))</f>
        <v/>
      </c>
      <c r="C1628" s="17" t="str">
        <f aca="false">IF($A1628="","",COUNTIFS(Orders!$C$2:$C$20001,$A1628,Orders!$E$2:$E$20001,"COD",Orders!$F$2:$F$20001,"RTO"))</f>
        <v/>
      </c>
      <c r="D1628" s="18" t="str">
        <f aca="false">IF($A1628="","",IFERROR(C1628/B1628,0))</f>
        <v/>
      </c>
      <c r="E1628" s="17" t="str">
        <f aca="false">IF($A1628="","",COUNTIFS(Orders!$C$2:$C$20001,$A1628,Orders!$E$2:$E$20001,"Prepaid",Orders!$F$2:$F$20001,"Delivered")+COUNTIFS(Orders!$C$2:$C$20001,$A1628,Orders!$E$2:$E$20001,"Prepaid",Orders!$F$2:$F$20001,"RTO"))</f>
        <v/>
      </c>
      <c r="F1628" s="17" t="str">
        <f aca="false">IF($A1628="","",COUNTIFS(Orders!$C$2:$C$20001,$A1628,Orders!$E$2:$E$20001,"Prepaid",Orders!$F$2:$F$20001,"RTO"))</f>
        <v/>
      </c>
      <c r="G1628" s="18" t="str">
        <f aca="false">IF($A1628="","",IFERROR(F1628/E1628,0))</f>
        <v/>
      </c>
      <c r="H1628" s="19" t="str">
        <f aca="false">IF($A1628="","",C1628*Settings!$B$11)</f>
        <v/>
      </c>
      <c r="I1628" s="20" t="str">
        <f aca="false">IF($A1628="","",IF(N(H1628)=0,"",RANK(H1628,$H$5:$H$2004)))</f>
        <v/>
      </c>
      <c r="J1628" s="21" t="str">
        <f aca="false">IF($A1628="","",IF(B1628=0,"No COD orders",IF(B1628&lt;Settings!$B$8,"Too few orders",IF(D1628&gt;=Settings!$B$9,"Restrict COD or verify","Keep COD"))))</f>
        <v/>
      </c>
    </row>
    <row r="1629" customFormat="false" ht="15" hidden="false" customHeight="false" outlineLevel="0" collapsed="false">
      <c r="A1629" s="27"/>
      <c r="B1629" s="17" t="str">
        <f aca="false">IF($A1629="","",COUNTIFS(Orders!$C$2:$C$20001,$A1629,Orders!$E$2:$E$20001,"COD",Orders!$F$2:$F$20001,"Delivered")+COUNTIFS(Orders!$C$2:$C$20001,$A1629,Orders!$E$2:$E$20001,"COD",Orders!$F$2:$F$20001,"RTO"))</f>
        <v/>
      </c>
      <c r="C1629" s="17" t="str">
        <f aca="false">IF($A1629="","",COUNTIFS(Orders!$C$2:$C$20001,$A1629,Orders!$E$2:$E$20001,"COD",Orders!$F$2:$F$20001,"RTO"))</f>
        <v/>
      </c>
      <c r="D1629" s="18" t="str">
        <f aca="false">IF($A1629="","",IFERROR(C1629/B1629,0))</f>
        <v/>
      </c>
      <c r="E1629" s="17" t="str">
        <f aca="false">IF($A1629="","",COUNTIFS(Orders!$C$2:$C$20001,$A1629,Orders!$E$2:$E$20001,"Prepaid",Orders!$F$2:$F$20001,"Delivered")+COUNTIFS(Orders!$C$2:$C$20001,$A1629,Orders!$E$2:$E$20001,"Prepaid",Orders!$F$2:$F$20001,"RTO"))</f>
        <v/>
      </c>
      <c r="F1629" s="17" t="str">
        <f aca="false">IF($A1629="","",COUNTIFS(Orders!$C$2:$C$20001,$A1629,Orders!$E$2:$E$20001,"Prepaid",Orders!$F$2:$F$20001,"RTO"))</f>
        <v/>
      </c>
      <c r="G1629" s="18" t="str">
        <f aca="false">IF($A1629="","",IFERROR(F1629/E1629,0))</f>
        <v/>
      </c>
      <c r="H1629" s="19" t="str">
        <f aca="false">IF($A1629="","",C1629*Settings!$B$11)</f>
        <v/>
      </c>
      <c r="I1629" s="20" t="str">
        <f aca="false">IF($A1629="","",IF(N(H1629)=0,"",RANK(H1629,$H$5:$H$2004)))</f>
        <v/>
      </c>
      <c r="J1629" s="21" t="str">
        <f aca="false">IF($A1629="","",IF(B1629=0,"No COD orders",IF(B1629&lt;Settings!$B$8,"Too few orders",IF(D1629&gt;=Settings!$B$9,"Restrict COD or verify","Keep COD"))))</f>
        <v/>
      </c>
    </row>
    <row r="1630" customFormat="false" ht="15" hidden="false" customHeight="false" outlineLevel="0" collapsed="false">
      <c r="A1630" s="27"/>
      <c r="B1630" s="17" t="str">
        <f aca="false">IF($A1630="","",COUNTIFS(Orders!$C$2:$C$20001,$A1630,Orders!$E$2:$E$20001,"COD",Orders!$F$2:$F$20001,"Delivered")+COUNTIFS(Orders!$C$2:$C$20001,$A1630,Orders!$E$2:$E$20001,"COD",Orders!$F$2:$F$20001,"RTO"))</f>
        <v/>
      </c>
      <c r="C1630" s="17" t="str">
        <f aca="false">IF($A1630="","",COUNTIFS(Orders!$C$2:$C$20001,$A1630,Orders!$E$2:$E$20001,"COD",Orders!$F$2:$F$20001,"RTO"))</f>
        <v/>
      </c>
      <c r="D1630" s="18" t="str">
        <f aca="false">IF($A1630="","",IFERROR(C1630/B1630,0))</f>
        <v/>
      </c>
      <c r="E1630" s="17" t="str">
        <f aca="false">IF($A1630="","",COUNTIFS(Orders!$C$2:$C$20001,$A1630,Orders!$E$2:$E$20001,"Prepaid",Orders!$F$2:$F$20001,"Delivered")+COUNTIFS(Orders!$C$2:$C$20001,$A1630,Orders!$E$2:$E$20001,"Prepaid",Orders!$F$2:$F$20001,"RTO"))</f>
        <v/>
      </c>
      <c r="F1630" s="17" t="str">
        <f aca="false">IF($A1630="","",COUNTIFS(Orders!$C$2:$C$20001,$A1630,Orders!$E$2:$E$20001,"Prepaid",Orders!$F$2:$F$20001,"RTO"))</f>
        <v/>
      </c>
      <c r="G1630" s="18" t="str">
        <f aca="false">IF($A1630="","",IFERROR(F1630/E1630,0))</f>
        <v/>
      </c>
      <c r="H1630" s="19" t="str">
        <f aca="false">IF($A1630="","",C1630*Settings!$B$11)</f>
        <v/>
      </c>
      <c r="I1630" s="20" t="str">
        <f aca="false">IF($A1630="","",IF(N(H1630)=0,"",RANK(H1630,$H$5:$H$2004)))</f>
        <v/>
      </c>
      <c r="J1630" s="21" t="str">
        <f aca="false">IF($A1630="","",IF(B1630=0,"No COD orders",IF(B1630&lt;Settings!$B$8,"Too few orders",IF(D1630&gt;=Settings!$B$9,"Restrict COD or verify","Keep COD"))))</f>
        <v/>
      </c>
    </row>
    <row r="1631" customFormat="false" ht="15" hidden="false" customHeight="false" outlineLevel="0" collapsed="false">
      <c r="A1631" s="27"/>
      <c r="B1631" s="17" t="str">
        <f aca="false">IF($A1631="","",COUNTIFS(Orders!$C$2:$C$20001,$A1631,Orders!$E$2:$E$20001,"COD",Orders!$F$2:$F$20001,"Delivered")+COUNTIFS(Orders!$C$2:$C$20001,$A1631,Orders!$E$2:$E$20001,"COD",Orders!$F$2:$F$20001,"RTO"))</f>
        <v/>
      </c>
      <c r="C1631" s="17" t="str">
        <f aca="false">IF($A1631="","",COUNTIFS(Orders!$C$2:$C$20001,$A1631,Orders!$E$2:$E$20001,"COD",Orders!$F$2:$F$20001,"RTO"))</f>
        <v/>
      </c>
      <c r="D1631" s="18" t="str">
        <f aca="false">IF($A1631="","",IFERROR(C1631/B1631,0))</f>
        <v/>
      </c>
      <c r="E1631" s="17" t="str">
        <f aca="false">IF($A1631="","",COUNTIFS(Orders!$C$2:$C$20001,$A1631,Orders!$E$2:$E$20001,"Prepaid",Orders!$F$2:$F$20001,"Delivered")+COUNTIFS(Orders!$C$2:$C$20001,$A1631,Orders!$E$2:$E$20001,"Prepaid",Orders!$F$2:$F$20001,"RTO"))</f>
        <v/>
      </c>
      <c r="F1631" s="17" t="str">
        <f aca="false">IF($A1631="","",COUNTIFS(Orders!$C$2:$C$20001,$A1631,Orders!$E$2:$E$20001,"Prepaid",Orders!$F$2:$F$20001,"RTO"))</f>
        <v/>
      </c>
      <c r="G1631" s="18" t="str">
        <f aca="false">IF($A1631="","",IFERROR(F1631/E1631,0))</f>
        <v/>
      </c>
      <c r="H1631" s="19" t="str">
        <f aca="false">IF($A1631="","",C1631*Settings!$B$11)</f>
        <v/>
      </c>
      <c r="I1631" s="20" t="str">
        <f aca="false">IF($A1631="","",IF(N(H1631)=0,"",RANK(H1631,$H$5:$H$2004)))</f>
        <v/>
      </c>
      <c r="J1631" s="21" t="str">
        <f aca="false">IF($A1631="","",IF(B1631=0,"No COD orders",IF(B1631&lt;Settings!$B$8,"Too few orders",IF(D1631&gt;=Settings!$B$9,"Restrict COD or verify","Keep COD"))))</f>
        <v/>
      </c>
    </row>
    <row r="1632" customFormat="false" ht="15" hidden="false" customHeight="false" outlineLevel="0" collapsed="false">
      <c r="A1632" s="27"/>
      <c r="B1632" s="17" t="str">
        <f aca="false">IF($A1632="","",COUNTIFS(Orders!$C$2:$C$20001,$A1632,Orders!$E$2:$E$20001,"COD",Orders!$F$2:$F$20001,"Delivered")+COUNTIFS(Orders!$C$2:$C$20001,$A1632,Orders!$E$2:$E$20001,"COD",Orders!$F$2:$F$20001,"RTO"))</f>
        <v/>
      </c>
      <c r="C1632" s="17" t="str">
        <f aca="false">IF($A1632="","",COUNTIFS(Orders!$C$2:$C$20001,$A1632,Orders!$E$2:$E$20001,"COD",Orders!$F$2:$F$20001,"RTO"))</f>
        <v/>
      </c>
      <c r="D1632" s="18" t="str">
        <f aca="false">IF($A1632="","",IFERROR(C1632/B1632,0))</f>
        <v/>
      </c>
      <c r="E1632" s="17" t="str">
        <f aca="false">IF($A1632="","",COUNTIFS(Orders!$C$2:$C$20001,$A1632,Orders!$E$2:$E$20001,"Prepaid",Orders!$F$2:$F$20001,"Delivered")+COUNTIFS(Orders!$C$2:$C$20001,$A1632,Orders!$E$2:$E$20001,"Prepaid",Orders!$F$2:$F$20001,"RTO"))</f>
        <v/>
      </c>
      <c r="F1632" s="17" t="str">
        <f aca="false">IF($A1632="","",COUNTIFS(Orders!$C$2:$C$20001,$A1632,Orders!$E$2:$E$20001,"Prepaid",Orders!$F$2:$F$20001,"RTO"))</f>
        <v/>
      </c>
      <c r="G1632" s="18" t="str">
        <f aca="false">IF($A1632="","",IFERROR(F1632/E1632,0))</f>
        <v/>
      </c>
      <c r="H1632" s="19" t="str">
        <f aca="false">IF($A1632="","",C1632*Settings!$B$11)</f>
        <v/>
      </c>
      <c r="I1632" s="20" t="str">
        <f aca="false">IF($A1632="","",IF(N(H1632)=0,"",RANK(H1632,$H$5:$H$2004)))</f>
        <v/>
      </c>
      <c r="J1632" s="21" t="str">
        <f aca="false">IF($A1632="","",IF(B1632=0,"No COD orders",IF(B1632&lt;Settings!$B$8,"Too few orders",IF(D1632&gt;=Settings!$B$9,"Restrict COD or verify","Keep COD"))))</f>
        <v/>
      </c>
    </row>
    <row r="1633" customFormat="false" ht="15" hidden="false" customHeight="false" outlineLevel="0" collapsed="false">
      <c r="A1633" s="27"/>
      <c r="B1633" s="17" t="str">
        <f aca="false">IF($A1633="","",COUNTIFS(Orders!$C$2:$C$20001,$A1633,Orders!$E$2:$E$20001,"COD",Orders!$F$2:$F$20001,"Delivered")+COUNTIFS(Orders!$C$2:$C$20001,$A1633,Orders!$E$2:$E$20001,"COD",Orders!$F$2:$F$20001,"RTO"))</f>
        <v/>
      </c>
      <c r="C1633" s="17" t="str">
        <f aca="false">IF($A1633="","",COUNTIFS(Orders!$C$2:$C$20001,$A1633,Orders!$E$2:$E$20001,"COD",Orders!$F$2:$F$20001,"RTO"))</f>
        <v/>
      </c>
      <c r="D1633" s="18" t="str">
        <f aca="false">IF($A1633="","",IFERROR(C1633/B1633,0))</f>
        <v/>
      </c>
      <c r="E1633" s="17" t="str">
        <f aca="false">IF($A1633="","",COUNTIFS(Orders!$C$2:$C$20001,$A1633,Orders!$E$2:$E$20001,"Prepaid",Orders!$F$2:$F$20001,"Delivered")+COUNTIFS(Orders!$C$2:$C$20001,$A1633,Orders!$E$2:$E$20001,"Prepaid",Orders!$F$2:$F$20001,"RTO"))</f>
        <v/>
      </c>
      <c r="F1633" s="17" t="str">
        <f aca="false">IF($A1633="","",COUNTIFS(Orders!$C$2:$C$20001,$A1633,Orders!$E$2:$E$20001,"Prepaid",Orders!$F$2:$F$20001,"RTO"))</f>
        <v/>
      </c>
      <c r="G1633" s="18" t="str">
        <f aca="false">IF($A1633="","",IFERROR(F1633/E1633,0))</f>
        <v/>
      </c>
      <c r="H1633" s="19" t="str">
        <f aca="false">IF($A1633="","",C1633*Settings!$B$11)</f>
        <v/>
      </c>
      <c r="I1633" s="20" t="str">
        <f aca="false">IF($A1633="","",IF(N(H1633)=0,"",RANK(H1633,$H$5:$H$2004)))</f>
        <v/>
      </c>
      <c r="J1633" s="21" t="str">
        <f aca="false">IF($A1633="","",IF(B1633=0,"No COD orders",IF(B1633&lt;Settings!$B$8,"Too few orders",IF(D1633&gt;=Settings!$B$9,"Restrict COD or verify","Keep COD"))))</f>
        <v/>
      </c>
    </row>
    <row r="1634" customFormat="false" ht="15" hidden="false" customHeight="false" outlineLevel="0" collapsed="false">
      <c r="A1634" s="27"/>
      <c r="B1634" s="17" t="str">
        <f aca="false">IF($A1634="","",COUNTIFS(Orders!$C$2:$C$20001,$A1634,Orders!$E$2:$E$20001,"COD",Orders!$F$2:$F$20001,"Delivered")+COUNTIFS(Orders!$C$2:$C$20001,$A1634,Orders!$E$2:$E$20001,"COD",Orders!$F$2:$F$20001,"RTO"))</f>
        <v/>
      </c>
      <c r="C1634" s="17" t="str">
        <f aca="false">IF($A1634="","",COUNTIFS(Orders!$C$2:$C$20001,$A1634,Orders!$E$2:$E$20001,"COD",Orders!$F$2:$F$20001,"RTO"))</f>
        <v/>
      </c>
      <c r="D1634" s="18" t="str">
        <f aca="false">IF($A1634="","",IFERROR(C1634/B1634,0))</f>
        <v/>
      </c>
      <c r="E1634" s="17" t="str">
        <f aca="false">IF($A1634="","",COUNTIFS(Orders!$C$2:$C$20001,$A1634,Orders!$E$2:$E$20001,"Prepaid",Orders!$F$2:$F$20001,"Delivered")+COUNTIFS(Orders!$C$2:$C$20001,$A1634,Orders!$E$2:$E$20001,"Prepaid",Orders!$F$2:$F$20001,"RTO"))</f>
        <v/>
      </c>
      <c r="F1634" s="17" t="str">
        <f aca="false">IF($A1634="","",COUNTIFS(Orders!$C$2:$C$20001,$A1634,Orders!$E$2:$E$20001,"Prepaid",Orders!$F$2:$F$20001,"RTO"))</f>
        <v/>
      </c>
      <c r="G1634" s="18" t="str">
        <f aca="false">IF($A1634="","",IFERROR(F1634/E1634,0))</f>
        <v/>
      </c>
      <c r="H1634" s="19" t="str">
        <f aca="false">IF($A1634="","",C1634*Settings!$B$11)</f>
        <v/>
      </c>
      <c r="I1634" s="20" t="str">
        <f aca="false">IF($A1634="","",IF(N(H1634)=0,"",RANK(H1634,$H$5:$H$2004)))</f>
        <v/>
      </c>
      <c r="J1634" s="21" t="str">
        <f aca="false">IF($A1634="","",IF(B1634=0,"No COD orders",IF(B1634&lt;Settings!$B$8,"Too few orders",IF(D1634&gt;=Settings!$B$9,"Restrict COD or verify","Keep COD"))))</f>
        <v/>
      </c>
    </row>
    <row r="1635" customFormat="false" ht="15" hidden="false" customHeight="false" outlineLevel="0" collapsed="false">
      <c r="A1635" s="27"/>
      <c r="B1635" s="17" t="str">
        <f aca="false">IF($A1635="","",COUNTIFS(Orders!$C$2:$C$20001,$A1635,Orders!$E$2:$E$20001,"COD",Orders!$F$2:$F$20001,"Delivered")+COUNTIFS(Orders!$C$2:$C$20001,$A1635,Orders!$E$2:$E$20001,"COD",Orders!$F$2:$F$20001,"RTO"))</f>
        <v/>
      </c>
      <c r="C1635" s="17" t="str">
        <f aca="false">IF($A1635="","",COUNTIFS(Orders!$C$2:$C$20001,$A1635,Orders!$E$2:$E$20001,"COD",Orders!$F$2:$F$20001,"RTO"))</f>
        <v/>
      </c>
      <c r="D1635" s="18" t="str">
        <f aca="false">IF($A1635="","",IFERROR(C1635/B1635,0))</f>
        <v/>
      </c>
      <c r="E1635" s="17" t="str">
        <f aca="false">IF($A1635="","",COUNTIFS(Orders!$C$2:$C$20001,$A1635,Orders!$E$2:$E$20001,"Prepaid",Orders!$F$2:$F$20001,"Delivered")+COUNTIFS(Orders!$C$2:$C$20001,$A1635,Orders!$E$2:$E$20001,"Prepaid",Orders!$F$2:$F$20001,"RTO"))</f>
        <v/>
      </c>
      <c r="F1635" s="17" t="str">
        <f aca="false">IF($A1635="","",COUNTIFS(Orders!$C$2:$C$20001,$A1635,Orders!$E$2:$E$20001,"Prepaid",Orders!$F$2:$F$20001,"RTO"))</f>
        <v/>
      </c>
      <c r="G1635" s="18" t="str">
        <f aca="false">IF($A1635="","",IFERROR(F1635/E1635,0))</f>
        <v/>
      </c>
      <c r="H1635" s="19" t="str">
        <f aca="false">IF($A1635="","",C1635*Settings!$B$11)</f>
        <v/>
      </c>
      <c r="I1635" s="20" t="str">
        <f aca="false">IF($A1635="","",IF(N(H1635)=0,"",RANK(H1635,$H$5:$H$2004)))</f>
        <v/>
      </c>
      <c r="J1635" s="21" t="str">
        <f aca="false">IF($A1635="","",IF(B1635=0,"No COD orders",IF(B1635&lt;Settings!$B$8,"Too few orders",IF(D1635&gt;=Settings!$B$9,"Restrict COD or verify","Keep COD"))))</f>
        <v/>
      </c>
    </row>
    <row r="1636" customFormat="false" ht="15" hidden="false" customHeight="false" outlineLevel="0" collapsed="false">
      <c r="A1636" s="27"/>
      <c r="B1636" s="17" t="str">
        <f aca="false">IF($A1636="","",COUNTIFS(Orders!$C$2:$C$20001,$A1636,Orders!$E$2:$E$20001,"COD",Orders!$F$2:$F$20001,"Delivered")+COUNTIFS(Orders!$C$2:$C$20001,$A1636,Orders!$E$2:$E$20001,"COD",Orders!$F$2:$F$20001,"RTO"))</f>
        <v/>
      </c>
      <c r="C1636" s="17" t="str">
        <f aca="false">IF($A1636="","",COUNTIFS(Orders!$C$2:$C$20001,$A1636,Orders!$E$2:$E$20001,"COD",Orders!$F$2:$F$20001,"RTO"))</f>
        <v/>
      </c>
      <c r="D1636" s="18" t="str">
        <f aca="false">IF($A1636="","",IFERROR(C1636/B1636,0))</f>
        <v/>
      </c>
      <c r="E1636" s="17" t="str">
        <f aca="false">IF($A1636="","",COUNTIFS(Orders!$C$2:$C$20001,$A1636,Orders!$E$2:$E$20001,"Prepaid",Orders!$F$2:$F$20001,"Delivered")+COUNTIFS(Orders!$C$2:$C$20001,$A1636,Orders!$E$2:$E$20001,"Prepaid",Orders!$F$2:$F$20001,"RTO"))</f>
        <v/>
      </c>
      <c r="F1636" s="17" t="str">
        <f aca="false">IF($A1636="","",COUNTIFS(Orders!$C$2:$C$20001,$A1636,Orders!$E$2:$E$20001,"Prepaid",Orders!$F$2:$F$20001,"RTO"))</f>
        <v/>
      </c>
      <c r="G1636" s="18" t="str">
        <f aca="false">IF($A1636="","",IFERROR(F1636/E1636,0))</f>
        <v/>
      </c>
      <c r="H1636" s="19" t="str">
        <f aca="false">IF($A1636="","",C1636*Settings!$B$11)</f>
        <v/>
      </c>
      <c r="I1636" s="20" t="str">
        <f aca="false">IF($A1636="","",IF(N(H1636)=0,"",RANK(H1636,$H$5:$H$2004)))</f>
        <v/>
      </c>
      <c r="J1636" s="21" t="str">
        <f aca="false">IF($A1636="","",IF(B1636=0,"No COD orders",IF(B1636&lt;Settings!$B$8,"Too few orders",IF(D1636&gt;=Settings!$B$9,"Restrict COD or verify","Keep COD"))))</f>
        <v/>
      </c>
    </row>
    <row r="1637" customFormat="false" ht="15" hidden="false" customHeight="false" outlineLevel="0" collapsed="false">
      <c r="A1637" s="27"/>
      <c r="B1637" s="17" t="str">
        <f aca="false">IF($A1637="","",COUNTIFS(Orders!$C$2:$C$20001,$A1637,Orders!$E$2:$E$20001,"COD",Orders!$F$2:$F$20001,"Delivered")+COUNTIFS(Orders!$C$2:$C$20001,$A1637,Orders!$E$2:$E$20001,"COD",Orders!$F$2:$F$20001,"RTO"))</f>
        <v/>
      </c>
      <c r="C1637" s="17" t="str">
        <f aca="false">IF($A1637="","",COUNTIFS(Orders!$C$2:$C$20001,$A1637,Orders!$E$2:$E$20001,"COD",Orders!$F$2:$F$20001,"RTO"))</f>
        <v/>
      </c>
      <c r="D1637" s="18" t="str">
        <f aca="false">IF($A1637="","",IFERROR(C1637/B1637,0))</f>
        <v/>
      </c>
      <c r="E1637" s="17" t="str">
        <f aca="false">IF($A1637="","",COUNTIFS(Orders!$C$2:$C$20001,$A1637,Orders!$E$2:$E$20001,"Prepaid",Orders!$F$2:$F$20001,"Delivered")+COUNTIFS(Orders!$C$2:$C$20001,$A1637,Orders!$E$2:$E$20001,"Prepaid",Orders!$F$2:$F$20001,"RTO"))</f>
        <v/>
      </c>
      <c r="F1637" s="17" t="str">
        <f aca="false">IF($A1637="","",COUNTIFS(Orders!$C$2:$C$20001,$A1637,Orders!$E$2:$E$20001,"Prepaid",Orders!$F$2:$F$20001,"RTO"))</f>
        <v/>
      </c>
      <c r="G1637" s="18" t="str">
        <f aca="false">IF($A1637="","",IFERROR(F1637/E1637,0))</f>
        <v/>
      </c>
      <c r="H1637" s="19" t="str">
        <f aca="false">IF($A1637="","",C1637*Settings!$B$11)</f>
        <v/>
      </c>
      <c r="I1637" s="20" t="str">
        <f aca="false">IF($A1637="","",IF(N(H1637)=0,"",RANK(H1637,$H$5:$H$2004)))</f>
        <v/>
      </c>
      <c r="J1637" s="21" t="str">
        <f aca="false">IF($A1637="","",IF(B1637=0,"No COD orders",IF(B1637&lt;Settings!$B$8,"Too few orders",IF(D1637&gt;=Settings!$B$9,"Restrict COD or verify","Keep COD"))))</f>
        <v/>
      </c>
    </row>
    <row r="1638" customFormat="false" ht="15" hidden="false" customHeight="false" outlineLevel="0" collapsed="false">
      <c r="A1638" s="27"/>
      <c r="B1638" s="17" t="str">
        <f aca="false">IF($A1638="","",COUNTIFS(Orders!$C$2:$C$20001,$A1638,Orders!$E$2:$E$20001,"COD",Orders!$F$2:$F$20001,"Delivered")+COUNTIFS(Orders!$C$2:$C$20001,$A1638,Orders!$E$2:$E$20001,"COD",Orders!$F$2:$F$20001,"RTO"))</f>
        <v/>
      </c>
      <c r="C1638" s="17" t="str">
        <f aca="false">IF($A1638="","",COUNTIFS(Orders!$C$2:$C$20001,$A1638,Orders!$E$2:$E$20001,"COD",Orders!$F$2:$F$20001,"RTO"))</f>
        <v/>
      </c>
      <c r="D1638" s="18" t="str">
        <f aca="false">IF($A1638="","",IFERROR(C1638/B1638,0))</f>
        <v/>
      </c>
      <c r="E1638" s="17" t="str">
        <f aca="false">IF($A1638="","",COUNTIFS(Orders!$C$2:$C$20001,$A1638,Orders!$E$2:$E$20001,"Prepaid",Orders!$F$2:$F$20001,"Delivered")+COUNTIFS(Orders!$C$2:$C$20001,$A1638,Orders!$E$2:$E$20001,"Prepaid",Orders!$F$2:$F$20001,"RTO"))</f>
        <v/>
      </c>
      <c r="F1638" s="17" t="str">
        <f aca="false">IF($A1638="","",COUNTIFS(Orders!$C$2:$C$20001,$A1638,Orders!$E$2:$E$20001,"Prepaid",Orders!$F$2:$F$20001,"RTO"))</f>
        <v/>
      </c>
      <c r="G1638" s="18" t="str">
        <f aca="false">IF($A1638="","",IFERROR(F1638/E1638,0))</f>
        <v/>
      </c>
      <c r="H1638" s="19" t="str">
        <f aca="false">IF($A1638="","",C1638*Settings!$B$11)</f>
        <v/>
      </c>
      <c r="I1638" s="20" t="str">
        <f aca="false">IF($A1638="","",IF(N(H1638)=0,"",RANK(H1638,$H$5:$H$2004)))</f>
        <v/>
      </c>
      <c r="J1638" s="21" t="str">
        <f aca="false">IF($A1638="","",IF(B1638=0,"No COD orders",IF(B1638&lt;Settings!$B$8,"Too few orders",IF(D1638&gt;=Settings!$B$9,"Restrict COD or verify","Keep COD"))))</f>
        <v/>
      </c>
    </row>
    <row r="1639" customFormat="false" ht="15" hidden="false" customHeight="false" outlineLevel="0" collapsed="false">
      <c r="A1639" s="27"/>
      <c r="B1639" s="17" t="str">
        <f aca="false">IF($A1639="","",COUNTIFS(Orders!$C$2:$C$20001,$A1639,Orders!$E$2:$E$20001,"COD",Orders!$F$2:$F$20001,"Delivered")+COUNTIFS(Orders!$C$2:$C$20001,$A1639,Orders!$E$2:$E$20001,"COD",Orders!$F$2:$F$20001,"RTO"))</f>
        <v/>
      </c>
      <c r="C1639" s="17" t="str">
        <f aca="false">IF($A1639="","",COUNTIFS(Orders!$C$2:$C$20001,$A1639,Orders!$E$2:$E$20001,"COD",Orders!$F$2:$F$20001,"RTO"))</f>
        <v/>
      </c>
      <c r="D1639" s="18" t="str">
        <f aca="false">IF($A1639="","",IFERROR(C1639/B1639,0))</f>
        <v/>
      </c>
      <c r="E1639" s="17" t="str">
        <f aca="false">IF($A1639="","",COUNTIFS(Orders!$C$2:$C$20001,$A1639,Orders!$E$2:$E$20001,"Prepaid",Orders!$F$2:$F$20001,"Delivered")+COUNTIFS(Orders!$C$2:$C$20001,$A1639,Orders!$E$2:$E$20001,"Prepaid",Orders!$F$2:$F$20001,"RTO"))</f>
        <v/>
      </c>
      <c r="F1639" s="17" t="str">
        <f aca="false">IF($A1639="","",COUNTIFS(Orders!$C$2:$C$20001,$A1639,Orders!$E$2:$E$20001,"Prepaid",Orders!$F$2:$F$20001,"RTO"))</f>
        <v/>
      </c>
      <c r="G1639" s="18" t="str">
        <f aca="false">IF($A1639="","",IFERROR(F1639/E1639,0))</f>
        <v/>
      </c>
      <c r="H1639" s="19" t="str">
        <f aca="false">IF($A1639="","",C1639*Settings!$B$11)</f>
        <v/>
      </c>
      <c r="I1639" s="20" t="str">
        <f aca="false">IF($A1639="","",IF(N(H1639)=0,"",RANK(H1639,$H$5:$H$2004)))</f>
        <v/>
      </c>
      <c r="J1639" s="21" t="str">
        <f aca="false">IF($A1639="","",IF(B1639=0,"No COD orders",IF(B1639&lt;Settings!$B$8,"Too few orders",IF(D1639&gt;=Settings!$B$9,"Restrict COD or verify","Keep COD"))))</f>
        <v/>
      </c>
    </row>
    <row r="1640" customFormat="false" ht="15" hidden="false" customHeight="false" outlineLevel="0" collapsed="false">
      <c r="A1640" s="27"/>
      <c r="B1640" s="17" t="str">
        <f aca="false">IF($A1640="","",COUNTIFS(Orders!$C$2:$C$20001,$A1640,Orders!$E$2:$E$20001,"COD",Orders!$F$2:$F$20001,"Delivered")+COUNTIFS(Orders!$C$2:$C$20001,$A1640,Orders!$E$2:$E$20001,"COD",Orders!$F$2:$F$20001,"RTO"))</f>
        <v/>
      </c>
      <c r="C1640" s="17" t="str">
        <f aca="false">IF($A1640="","",COUNTIFS(Orders!$C$2:$C$20001,$A1640,Orders!$E$2:$E$20001,"COD",Orders!$F$2:$F$20001,"RTO"))</f>
        <v/>
      </c>
      <c r="D1640" s="18" t="str">
        <f aca="false">IF($A1640="","",IFERROR(C1640/B1640,0))</f>
        <v/>
      </c>
      <c r="E1640" s="17" t="str">
        <f aca="false">IF($A1640="","",COUNTIFS(Orders!$C$2:$C$20001,$A1640,Orders!$E$2:$E$20001,"Prepaid",Orders!$F$2:$F$20001,"Delivered")+COUNTIFS(Orders!$C$2:$C$20001,$A1640,Orders!$E$2:$E$20001,"Prepaid",Orders!$F$2:$F$20001,"RTO"))</f>
        <v/>
      </c>
      <c r="F1640" s="17" t="str">
        <f aca="false">IF($A1640="","",COUNTIFS(Orders!$C$2:$C$20001,$A1640,Orders!$E$2:$E$20001,"Prepaid",Orders!$F$2:$F$20001,"RTO"))</f>
        <v/>
      </c>
      <c r="G1640" s="18" t="str">
        <f aca="false">IF($A1640="","",IFERROR(F1640/E1640,0))</f>
        <v/>
      </c>
      <c r="H1640" s="19" t="str">
        <f aca="false">IF($A1640="","",C1640*Settings!$B$11)</f>
        <v/>
      </c>
      <c r="I1640" s="20" t="str">
        <f aca="false">IF($A1640="","",IF(N(H1640)=0,"",RANK(H1640,$H$5:$H$2004)))</f>
        <v/>
      </c>
      <c r="J1640" s="21" t="str">
        <f aca="false">IF($A1640="","",IF(B1640=0,"No COD orders",IF(B1640&lt;Settings!$B$8,"Too few orders",IF(D1640&gt;=Settings!$B$9,"Restrict COD or verify","Keep COD"))))</f>
        <v/>
      </c>
    </row>
    <row r="1641" customFormat="false" ht="15" hidden="false" customHeight="false" outlineLevel="0" collapsed="false">
      <c r="A1641" s="27"/>
      <c r="B1641" s="17" t="str">
        <f aca="false">IF($A1641="","",COUNTIFS(Orders!$C$2:$C$20001,$A1641,Orders!$E$2:$E$20001,"COD",Orders!$F$2:$F$20001,"Delivered")+COUNTIFS(Orders!$C$2:$C$20001,$A1641,Orders!$E$2:$E$20001,"COD",Orders!$F$2:$F$20001,"RTO"))</f>
        <v/>
      </c>
      <c r="C1641" s="17" t="str">
        <f aca="false">IF($A1641="","",COUNTIFS(Orders!$C$2:$C$20001,$A1641,Orders!$E$2:$E$20001,"COD",Orders!$F$2:$F$20001,"RTO"))</f>
        <v/>
      </c>
      <c r="D1641" s="18" t="str">
        <f aca="false">IF($A1641="","",IFERROR(C1641/B1641,0))</f>
        <v/>
      </c>
      <c r="E1641" s="17" t="str">
        <f aca="false">IF($A1641="","",COUNTIFS(Orders!$C$2:$C$20001,$A1641,Orders!$E$2:$E$20001,"Prepaid",Orders!$F$2:$F$20001,"Delivered")+COUNTIFS(Orders!$C$2:$C$20001,$A1641,Orders!$E$2:$E$20001,"Prepaid",Orders!$F$2:$F$20001,"RTO"))</f>
        <v/>
      </c>
      <c r="F1641" s="17" t="str">
        <f aca="false">IF($A1641="","",COUNTIFS(Orders!$C$2:$C$20001,$A1641,Orders!$E$2:$E$20001,"Prepaid",Orders!$F$2:$F$20001,"RTO"))</f>
        <v/>
      </c>
      <c r="G1641" s="18" t="str">
        <f aca="false">IF($A1641="","",IFERROR(F1641/E1641,0))</f>
        <v/>
      </c>
      <c r="H1641" s="19" t="str">
        <f aca="false">IF($A1641="","",C1641*Settings!$B$11)</f>
        <v/>
      </c>
      <c r="I1641" s="20" t="str">
        <f aca="false">IF($A1641="","",IF(N(H1641)=0,"",RANK(H1641,$H$5:$H$2004)))</f>
        <v/>
      </c>
      <c r="J1641" s="21" t="str">
        <f aca="false">IF($A1641="","",IF(B1641=0,"No COD orders",IF(B1641&lt;Settings!$B$8,"Too few orders",IF(D1641&gt;=Settings!$B$9,"Restrict COD or verify","Keep COD"))))</f>
        <v/>
      </c>
    </row>
    <row r="1642" customFormat="false" ht="15" hidden="false" customHeight="false" outlineLevel="0" collapsed="false">
      <c r="A1642" s="27"/>
      <c r="B1642" s="17" t="str">
        <f aca="false">IF($A1642="","",COUNTIFS(Orders!$C$2:$C$20001,$A1642,Orders!$E$2:$E$20001,"COD",Orders!$F$2:$F$20001,"Delivered")+COUNTIFS(Orders!$C$2:$C$20001,$A1642,Orders!$E$2:$E$20001,"COD",Orders!$F$2:$F$20001,"RTO"))</f>
        <v/>
      </c>
      <c r="C1642" s="17" t="str">
        <f aca="false">IF($A1642="","",COUNTIFS(Orders!$C$2:$C$20001,$A1642,Orders!$E$2:$E$20001,"COD",Orders!$F$2:$F$20001,"RTO"))</f>
        <v/>
      </c>
      <c r="D1642" s="18" t="str">
        <f aca="false">IF($A1642="","",IFERROR(C1642/B1642,0))</f>
        <v/>
      </c>
      <c r="E1642" s="17" t="str">
        <f aca="false">IF($A1642="","",COUNTIFS(Orders!$C$2:$C$20001,$A1642,Orders!$E$2:$E$20001,"Prepaid",Orders!$F$2:$F$20001,"Delivered")+COUNTIFS(Orders!$C$2:$C$20001,$A1642,Orders!$E$2:$E$20001,"Prepaid",Orders!$F$2:$F$20001,"RTO"))</f>
        <v/>
      </c>
      <c r="F1642" s="17" t="str">
        <f aca="false">IF($A1642="","",COUNTIFS(Orders!$C$2:$C$20001,$A1642,Orders!$E$2:$E$20001,"Prepaid",Orders!$F$2:$F$20001,"RTO"))</f>
        <v/>
      </c>
      <c r="G1642" s="18" t="str">
        <f aca="false">IF($A1642="","",IFERROR(F1642/E1642,0))</f>
        <v/>
      </c>
      <c r="H1642" s="19" t="str">
        <f aca="false">IF($A1642="","",C1642*Settings!$B$11)</f>
        <v/>
      </c>
      <c r="I1642" s="20" t="str">
        <f aca="false">IF($A1642="","",IF(N(H1642)=0,"",RANK(H1642,$H$5:$H$2004)))</f>
        <v/>
      </c>
      <c r="J1642" s="21" t="str">
        <f aca="false">IF($A1642="","",IF(B1642=0,"No COD orders",IF(B1642&lt;Settings!$B$8,"Too few orders",IF(D1642&gt;=Settings!$B$9,"Restrict COD or verify","Keep COD"))))</f>
        <v/>
      </c>
    </row>
    <row r="1643" customFormat="false" ht="15" hidden="false" customHeight="false" outlineLevel="0" collapsed="false">
      <c r="A1643" s="27"/>
      <c r="B1643" s="17" t="str">
        <f aca="false">IF($A1643="","",COUNTIFS(Orders!$C$2:$C$20001,$A1643,Orders!$E$2:$E$20001,"COD",Orders!$F$2:$F$20001,"Delivered")+COUNTIFS(Orders!$C$2:$C$20001,$A1643,Orders!$E$2:$E$20001,"COD",Orders!$F$2:$F$20001,"RTO"))</f>
        <v/>
      </c>
      <c r="C1643" s="17" t="str">
        <f aca="false">IF($A1643="","",COUNTIFS(Orders!$C$2:$C$20001,$A1643,Orders!$E$2:$E$20001,"COD",Orders!$F$2:$F$20001,"RTO"))</f>
        <v/>
      </c>
      <c r="D1643" s="18" t="str">
        <f aca="false">IF($A1643="","",IFERROR(C1643/B1643,0))</f>
        <v/>
      </c>
      <c r="E1643" s="17" t="str">
        <f aca="false">IF($A1643="","",COUNTIFS(Orders!$C$2:$C$20001,$A1643,Orders!$E$2:$E$20001,"Prepaid",Orders!$F$2:$F$20001,"Delivered")+COUNTIFS(Orders!$C$2:$C$20001,$A1643,Orders!$E$2:$E$20001,"Prepaid",Orders!$F$2:$F$20001,"RTO"))</f>
        <v/>
      </c>
      <c r="F1643" s="17" t="str">
        <f aca="false">IF($A1643="","",COUNTIFS(Orders!$C$2:$C$20001,$A1643,Orders!$E$2:$E$20001,"Prepaid",Orders!$F$2:$F$20001,"RTO"))</f>
        <v/>
      </c>
      <c r="G1643" s="18" t="str">
        <f aca="false">IF($A1643="","",IFERROR(F1643/E1643,0))</f>
        <v/>
      </c>
      <c r="H1643" s="19" t="str">
        <f aca="false">IF($A1643="","",C1643*Settings!$B$11)</f>
        <v/>
      </c>
      <c r="I1643" s="20" t="str">
        <f aca="false">IF($A1643="","",IF(N(H1643)=0,"",RANK(H1643,$H$5:$H$2004)))</f>
        <v/>
      </c>
      <c r="J1643" s="21" t="str">
        <f aca="false">IF($A1643="","",IF(B1643=0,"No COD orders",IF(B1643&lt;Settings!$B$8,"Too few orders",IF(D1643&gt;=Settings!$B$9,"Restrict COD or verify","Keep COD"))))</f>
        <v/>
      </c>
    </row>
    <row r="1644" customFormat="false" ht="15" hidden="false" customHeight="false" outlineLevel="0" collapsed="false">
      <c r="A1644" s="27"/>
      <c r="B1644" s="17" t="str">
        <f aca="false">IF($A1644="","",COUNTIFS(Orders!$C$2:$C$20001,$A1644,Orders!$E$2:$E$20001,"COD",Orders!$F$2:$F$20001,"Delivered")+COUNTIFS(Orders!$C$2:$C$20001,$A1644,Orders!$E$2:$E$20001,"COD",Orders!$F$2:$F$20001,"RTO"))</f>
        <v/>
      </c>
      <c r="C1644" s="17" t="str">
        <f aca="false">IF($A1644="","",COUNTIFS(Orders!$C$2:$C$20001,$A1644,Orders!$E$2:$E$20001,"COD",Orders!$F$2:$F$20001,"RTO"))</f>
        <v/>
      </c>
      <c r="D1644" s="18" t="str">
        <f aca="false">IF($A1644="","",IFERROR(C1644/B1644,0))</f>
        <v/>
      </c>
      <c r="E1644" s="17" t="str">
        <f aca="false">IF($A1644="","",COUNTIFS(Orders!$C$2:$C$20001,$A1644,Orders!$E$2:$E$20001,"Prepaid",Orders!$F$2:$F$20001,"Delivered")+COUNTIFS(Orders!$C$2:$C$20001,$A1644,Orders!$E$2:$E$20001,"Prepaid",Orders!$F$2:$F$20001,"RTO"))</f>
        <v/>
      </c>
      <c r="F1644" s="17" t="str">
        <f aca="false">IF($A1644="","",COUNTIFS(Orders!$C$2:$C$20001,$A1644,Orders!$E$2:$E$20001,"Prepaid",Orders!$F$2:$F$20001,"RTO"))</f>
        <v/>
      </c>
      <c r="G1644" s="18" t="str">
        <f aca="false">IF($A1644="","",IFERROR(F1644/E1644,0))</f>
        <v/>
      </c>
      <c r="H1644" s="19" t="str">
        <f aca="false">IF($A1644="","",C1644*Settings!$B$11)</f>
        <v/>
      </c>
      <c r="I1644" s="20" t="str">
        <f aca="false">IF($A1644="","",IF(N(H1644)=0,"",RANK(H1644,$H$5:$H$2004)))</f>
        <v/>
      </c>
      <c r="J1644" s="21" t="str">
        <f aca="false">IF($A1644="","",IF(B1644=0,"No COD orders",IF(B1644&lt;Settings!$B$8,"Too few orders",IF(D1644&gt;=Settings!$B$9,"Restrict COD or verify","Keep COD"))))</f>
        <v/>
      </c>
    </row>
    <row r="1645" customFormat="false" ht="15" hidden="false" customHeight="false" outlineLevel="0" collapsed="false">
      <c r="A1645" s="27"/>
      <c r="B1645" s="17" t="str">
        <f aca="false">IF($A1645="","",COUNTIFS(Orders!$C$2:$C$20001,$A1645,Orders!$E$2:$E$20001,"COD",Orders!$F$2:$F$20001,"Delivered")+COUNTIFS(Orders!$C$2:$C$20001,$A1645,Orders!$E$2:$E$20001,"COD",Orders!$F$2:$F$20001,"RTO"))</f>
        <v/>
      </c>
      <c r="C1645" s="17" t="str">
        <f aca="false">IF($A1645="","",COUNTIFS(Orders!$C$2:$C$20001,$A1645,Orders!$E$2:$E$20001,"COD",Orders!$F$2:$F$20001,"RTO"))</f>
        <v/>
      </c>
      <c r="D1645" s="18" t="str">
        <f aca="false">IF($A1645="","",IFERROR(C1645/B1645,0))</f>
        <v/>
      </c>
      <c r="E1645" s="17" t="str">
        <f aca="false">IF($A1645="","",COUNTIFS(Orders!$C$2:$C$20001,$A1645,Orders!$E$2:$E$20001,"Prepaid",Orders!$F$2:$F$20001,"Delivered")+COUNTIFS(Orders!$C$2:$C$20001,$A1645,Orders!$E$2:$E$20001,"Prepaid",Orders!$F$2:$F$20001,"RTO"))</f>
        <v/>
      </c>
      <c r="F1645" s="17" t="str">
        <f aca="false">IF($A1645="","",COUNTIFS(Orders!$C$2:$C$20001,$A1645,Orders!$E$2:$E$20001,"Prepaid",Orders!$F$2:$F$20001,"RTO"))</f>
        <v/>
      </c>
      <c r="G1645" s="18" t="str">
        <f aca="false">IF($A1645="","",IFERROR(F1645/E1645,0))</f>
        <v/>
      </c>
      <c r="H1645" s="19" t="str">
        <f aca="false">IF($A1645="","",C1645*Settings!$B$11)</f>
        <v/>
      </c>
      <c r="I1645" s="20" t="str">
        <f aca="false">IF($A1645="","",IF(N(H1645)=0,"",RANK(H1645,$H$5:$H$2004)))</f>
        <v/>
      </c>
      <c r="J1645" s="21" t="str">
        <f aca="false">IF($A1645="","",IF(B1645=0,"No COD orders",IF(B1645&lt;Settings!$B$8,"Too few orders",IF(D1645&gt;=Settings!$B$9,"Restrict COD or verify","Keep COD"))))</f>
        <v/>
      </c>
    </row>
    <row r="1646" customFormat="false" ht="15" hidden="false" customHeight="false" outlineLevel="0" collapsed="false">
      <c r="A1646" s="27"/>
      <c r="B1646" s="17" t="str">
        <f aca="false">IF($A1646="","",COUNTIFS(Orders!$C$2:$C$20001,$A1646,Orders!$E$2:$E$20001,"COD",Orders!$F$2:$F$20001,"Delivered")+COUNTIFS(Orders!$C$2:$C$20001,$A1646,Orders!$E$2:$E$20001,"COD",Orders!$F$2:$F$20001,"RTO"))</f>
        <v/>
      </c>
      <c r="C1646" s="17" t="str">
        <f aca="false">IF($A1646="","",COUNTIFS(Orders!$C$2:$C$20001,$A1646,Orders!$E$2:$E$20001,"COD",Orders!$F$2:$F$20001,"RTO"))</f>
        <v/>
      </c>
      <c r="D1646" s="18" t="str">
        <f aca="false">IF($A1646="","",IFERROR(C1646/B1646,0))</f>
        <v/>
      </c>
      <c r="E1646" s="17" t="str">
        <f aca="false">IF($A1646="","",COUNTIFS(Orders!$C$2:$C$20001,$A1646,Orders!$E$2:$E$20001,"Prepaid",Orders!$F$2:$F$20001,"Delivered")+COUNTIFS(Orders!$C$2:$C$20001,$A1646,Orders!$E$2:$E$20001,"Prepaid",Orders!$F$2:$F$20001,"RTO"))</f>
        <v/>
      </c>
      <c r="F1646" s="17" t="str">
        <f aca="false">IF($A1646="","",COUNTIFS(Orders!$C$2:$C$20001,$A1646,Orders!$E$2:$E$20001,"Prepaid",Orders!$F$2:$F$20001,"RTO"))</f>
        <v/>
      </c>
      <c r="G1646" s="18" t="str">
        <f aca="false">IF($A1646="","",IFERROR(F1646/E1646,0))</f>
        <v/>
      </c>
      <c r="H1646" s="19" t="str">
        <f aca="false">IF($A1646="","",C1646*Settings!$B$11)</f>
        <v/>
      </c>
      <c r="I1646" s="20" t="str">
        <f aca="false">IF($A1646="","",IF(N(H1646)=0,"",RANK(H1646,$H$5:$H$2004)))</f>
        <v/>
      </c>
      <c r="J1646" s="21" t="str">
        <f aca="false">IF($A1646="","",IF(B1646=0,"No COD orders",IF(B1646&lt;Settings!$B$8,"Too few orders",IF(D1646&gt;=Settings!$B$9,"Restrict COD or verify","Keep COD"))))</f>
        <v/>
      </c>
    </row>
    <row r="1647" customFormat="false" ht="15" hidden="false" customHeight="false" outlineLevel="0" collapsed="false">
      <c r="A1647" s="27"/>
      <c r="B1647" s="17" t="str">
        <f aca="false">IF($A1647="","",COUNTIFS(Orders!$C$2:$C$20001,$A1647,Orders!$E$2:$E$20001,"COD",Orders!$F$2:$F$20001,"Delivered")+COUNTIFS(Orders!$C$2:$C$20001,$A1647,Orders!$E$2:$E$20001,"COD",Orders!$F$2:$F$20001,"RTO"))</f>
        <v/>
      </c>
      <c r="C1647" s="17" t="str">
        <f aca="false">IF($A1647="","",COUNTIFS(Orders!$C$2:$C$20001,$A1647,Orders!$E$2:$E$20001,"COD",Orders!$F$2:$F$20001,"RTO"))</f>
        <v/>
      </c>
      <c r="D1647" s="18" t="str">
        <f aca="false">IF($A1647="","",IFERROR(C1647/B1647,0))</f>
        <v/>
      </c>
      <c r="E1647" s="17" t="str">
        <f aca="false">IF($A1647="","",COUNTIFS(Orders!$C$2:$C$20001,$A1647,Orders!$E$2:$E$20001,"Prepaid",Orders!$F$2:$F$20001,"Delivered")+COUNTIFS(Orders!$C$2:$C$20001,$A1647,Orders!$E$2:$E$20001,"Prepaid",Orders!$F$2:$F$20001,"RTO"))</f>
        <v/>
      </c>
      <c r="F1647" s="17" t="str">
        <f aca="false">IF($A1647="","",COUNTIFS(Orders!$C$2:$C$20001,$A1647,Orders!$E$2:$E$20001,"Prepaid",Orders!$F$2:$F$20001,"RTO"))</f>
        <v/>
      </c>
      <c r="G1647" s="18" t="str">
        <f aca="false">IF($A1647="","",IFERROR(F1647/E1647,0))</f>
        <v/>
      </c>
      <c r="H1647" s="19" t="str">
        <f aca="false">IF($A1647="","",C1647*Settings!$B$11)</f>
        <v/>
      </c>
      <c r="I1647" s="20" t="str">
        <f aca="false">IF($A1647="","",IF(N(H1647)=0,"",RANK(H1647,$H$5:$H$2004)))</f>
        <v/>
      </c>
      <c r="J1647" s="21" t="str">
        <f aca="false">IF($A1647="","",IF(B1647=0,"No COD orders",IF(B1647&lt;Settings!$B$8,"Too few orders",IF(D1647&gt;=Settings!$B$9,"Restrict COD or verify","Keep COD"))))</f>
        <v/>
      </c>
    </row>
    <row r="1648" customFormat="false" ht="15" hidden="false" customHeight="false" outlineLevel="0" collapsed="false">
      <c r="A1648" s="27"/>
      <c r="B1648" s="17" t="str">
        <f aca="false">IF($A1648="","",COUNTIFS(Orders!$C$2:$C$20001,$A1648,Orders!$E$2:$E$20001,"COD",Orders!$F$2:$F$20001,"Delivered")+COUNTIFS(Orders!$C$2:$C$20001,$A1648,Orders!$E$2:$E$20001,"COD",Orders!$F$2:$F$20001,"RTO"))</f>
        <v/>
      </c>
      <c r="C1648" s="17" t="str">
        <f aca="false">IF($A1648="","",COUNTIFS(Orders!$C$2:$C$20001,$A1648,Orders!$E$2:$E$20001,"COD",Orders!$F$2:$F$20001,"RTO"))</f>
        <v/>
      </c>
      <c r="D1648" s="18" t="str">
        <f aca="false">IF($A1648="","",IFERROR(C1648/B1648,0))</f>
        <v/>
      </c>
      <c r="E1648" s="17" t="str">
        <f aca="false">IF($A1648="","",COUNTIFS(Orders!$C$2:$C$20001,$A1648,Orders!$E$2:$E$20001,"Prepaid",Orders!$F$2:$F$20001,"Delivered")+COUNTIFS(Orders!$C$2:$C$20001,$A1648,Orders!$E$2:$E$20001,"Prepaid",Orders!$F$2:$F$20001,"RTO"))</f>
        <v/>
      </c>
      <c r="F1648" s="17" t="str">
        <f aca="false">IF($A1648="","",COUNTIFS(Orders!$C$2:$C$20001,$A1648,Orders!$E$2:$E$20001,"Prepaid",Orders!$F$2:$F$20001,"RTO"))</f>
        <v/>
      </c>
      <c r="G1648" s="18" t="str">
        <f aca="false">IF($A1648="","",IFERROR(F1648/E1648,0))</f>
        <v/>
      </c>
      <c r="H1648" s="19" t="str">
        <f aca="false">IF($A1648="","",C1648*Settings!$B$11)</f>
        <v/>
      </c>
      <c r="I1648" s="20" t="str">
        <f aca="false">IF($A1648="","",IF(N(H1648)=0,"",RANK(H1648,$H$5:$H$2004)))</f>
        <v/>
      </c>
      <c r="J1648" s="21" t="str">
        <f aca="false">IF($A1648="","",IF(B1648=0,"No COD orders",IF(B1648&lt;Settings!$B$8,"Too few orders",IF(D1648&gt;=Settings!$B$9,"Restrict COD or verify","Keep COD"))))</f>
        <v/>
      </c>
    </row>
    <row r="1649" customFormat="false" ht="15" hidden="false" customHeight="false" outlineLevel="0" collapsed="false">
      <c r="A1649" s="27"/>
      <c r="B1649" s="17" t="str">
        <f aca="false">IF($A1649="","",COUNTIFS(Orders!$C$2:$C$20001,$A1649,Orders!$E$2:$E$20001,"COD",Orders!$F$2:$F$20001,"Delivered")+COUNTIFS(Orders!$C$2:$C$20001,$A1649,Orders!$E$2:$E$20001,"COD",Orders!$F$2:$F$20001,"RTO"))</f>
        <v/>
      </c>
      <c r="C1649" s="17" t="str">
        <f aca="false">IF($A1649="","",COUNTIFS(Orders!$C$2:$C$20001,$A1649,Orders!$E$2:$E$20001,"COD",Orders!$F$2:$F$20001,"RTO"))</f>
        <v/>
      </c>
      <c r="D1649" s="18" t="str">
        <f aca="false">IF($A1649="","",IFERROR(C1649/B1649,0))</f>
        <v/>
      </c>
      <c r="E1649" s="17" t="str">
        <f aca="false">IF($A1649="","",COUNTIFS(Orders!$C$2:$C$20001,$A1649,Orders!$E$2:$E$20001,"Prepaid",Orders!$F$2:$F$20001,"Delivered")+COUNTIFS(Orders!$C$2:$C$20001,$A1649,Orders!$E$2:$E$20001,"Prepaid",Orders!$F$2:$F$20001,"RTO"))</f>
        <v/>
      </c>
      <c r="F1649" s="17" t="str">
        <f aca="false">IF($A1649="","",COUNTIFS(Orders!$C$2:$C$20001,$A1649,Orders!$E$2:$E$20001,"Prepaid",Orders!$F$2:$F$20001,"RTO"))</f>
        <v/>
      </c>
      <c r="G1649" s="18" t="str">
        <f aca="false">IF($A1649="","",IFERROR(F1649/E1649,0))</f>
        <v/>
      </c>
      <c r="H1649" s="19" t="str">
        <f aca="false">IF($A1649="","",C1649*Settings!$B$11)</f>
        <v/>
      </c>
      <c r="I1649" s="20" t="str">
        <f aca="false">IF($A1649="","",IF(N(H1649)=0,"",RANK(H1649,$H$5:$H$2004)))</f>
        <v/>
      </c>
      <c r="J1649" s="21" t="str">
        <f aca="false">IF($A1649="","",IF(B1649=0,"No COD orders",IF(B1649&lt;Settings!$B$8,"Too few orders",IF(D1649&gt;=Settings!$B$9,"Restrict COD or verify","Keep COD"))))</f>
        <v/>
      </c>
    </row>
    <row r="1650" customFormat="false" ht="15" hidden="false" customHeight="false" outlineLevel="0" collapsed="false">
      <c r="A1650" s="27"/>
      <c r="B1650" s="17" t="str">
        <f aca="false">IF($A1650="","",COUNTIFS(Orders!$C$2:$C$20001,$A1650,Orders!$E$2:$E$20001,"COD",Orders!$F$2:$F$20001,"Delivered")+COUNTIFS(Orders!$C$2:$C$20001,$A1650,Orders!$E$2:$E$20001,"COD",Orders!$F$2:$F$20001,"RTO"))</f>
        <v/>
      </c>
      <c r="C1650" s="17" t="str">
        <f aca="false">IF($A1650="","",COUNTIFS(Orders!$C$2:$C$20001,$A1650,Orders!$E$2:$E$20001,"COD",Orders!$F$2:$F$20001,"RTO"))</f>
        <v/>
      </c>
      <c r="D1650" s="18" t="str">
        <f aca="false">IF($A1650="","",IFERROR(C1650/B1650,0))</f>
        <v/>
      </c>
      <c r="E1650" s="17" t="str">
        <f aca="false">IF($A1650="","",COUNTIFS(Orders!$C$2:$C$20001,$A1650,Orders!$E$2:$E$20001,"Prepaid",Orders!$F$2:$F$20001,"Delivered")+COUNTIFS(Orders!$C$2:$C$20001,$A1650,Orders!$E$2:$E$20001,"Prepaid",Orders!$F$2:$F$20001,"RTO"))</f>
        <v/>
      </c>
      <c r="F1650" s="17" t="str">
        <f aca="false">IF($A1650="","",COUNTIFS(Orders!$C$2:$C$20001,$A1650,Orders!$E$2:$E$20001,"Prepaid",Orders!$F$2:$F$20001,"RTO"))</f>
        <v/>
      </c>
      <c r="G1650" s="18" t="str">
        <f aca="false">IF($A1650="","",IFERROR(F1650/E1650,0))</f>
        <v/>
      </c>
      <c r="H1650" s="19" t="str">
        <f aca="false">IF($A1650="","",C1650*Settings!$B$11)</f>
        <v/>
      </c>
      <c r="I1650" s="20" t="str">
        <f aca="false">IF($A1650="","",IF(N(H1650)=0,"",RANK(H1650,$H$5:$H$2004)))</f>
        <v/>
      </c>
      <c r="J1650" s="21" t="str">
        <f aca="false">IF($A1650="","",IF(B1650=0,"No COD orders",IF(B1650&lt;Settings!$B$8,"Too few orders",IF(D1650&gt;=Settings!$B$9,"Restrict COD or verify","Keep COD"))))</f>
        <v/>
      </c>
    </row>
    <row r="1651" customFormat="false" ht="15" hidden="false" customHeight="false" outlineLevel="0" collapsed="false">
      <c r="A1651" s="27"/>
      <c r="B1651" s="17" t="str">
        <f aca="false">IF($A1651="","",COUNTIFS(Orders!$C$2:$C$20001,$A1651,Orders!$E$2:$E$20001,"COD",Orders!$F$2:$F$20001,"Delivered")+COUNTIFS(Orders!$C$2:$C$20001,$A1651,Orders!$E$2:$E$20001,"COD",Orders!$F$2:$F$20001,"RTO"))</f>
        <v/>
      </c>
      <c r="C1651" s="17" t="str">
        <f aca="false">IF($A1651="","",COUNTIFS(Orders!$C$2:$C$20001,$A1651,Orders!$E$2:$E$20001,"COD",Orders!$F$2:$F$20001,"RTO"))</f>
        <v/>
      </c>
      <c r="D1651" s="18" t="str">
        <f aca="false">IF($A1651="","",IFERROR(C1651/B1651,0))</f>
        <v/>
      </c>
      <c r="E1651" s="17" t="str">
        <f aca="false">IF($A1651="","",COUNTIFS(Orders!$C$2:$C$20001,$A1651,Orders!$E$2:$E$20001,"Prepaid",Orders!$F$2:$F$20001,"Delivered")+COUNTIFS(Orders!$C$2:$C$20001,$A1651,Orders!$E$2:$E$20001,"Prepaid",Orders!$F$2:$F$20001,"RTO"))</f>
        <v/>
      </c>
      <c r="F1651" s="17" t="str">
        <f aca="false">IF($A1651="","",COUNTIFS(Orders!$C$2:$C$20001,$A1651,Orders!$E$2:$E$20001,"Prepaid",Orders!$F$2:$F$20001,"RTO"))</f>
        <v/>
      </c>
      <c r="G1651" s="18" t="str">
        <f aca="false">IF($A1651="","",IFERROR(F1651/E1651,0))</f>
        <v/>
      </c>
      <c r="H1651" s="19" t="str">
        <f aca="false">IF($A1651="","",C1651*Settings!$B$11)</f>
        <v/>
      </c>
      <c r="I1651" s="20" t="str">
        <f aca="false">IF($A1651="","",IF(N(H1651)=0,"",RANK(H1651,$H$5:$H$2004)))</f>
        <v/>
      </c>
      <c r="J1651" s="21" t="str">
        <f aca="false">IF($A1651="","",IF(B1651=0,"No COD orders",IF(B1651&lt;Settings!$B$8,"Too few orders",IF(D1651&gt;=Settings!$B$9,"Restrict COD or verify","Keep COD"))))</f>
        <v/>
      </c>
    </row>
    <row r="1652" customFormat="false" ht="15" hidden="false" customHeight="false" outlineLevel="0" collapsed="false">
      <c r="A1652" s="27"/>
      <c r="B1652" s="17" t="str">
        <f aca="false">IF($A1652="","",COUNTIFS(Orders!$C$2:$C$20001,$A1652,Orders!$E$2:$E$20001,"COD",Orders!$F$2:$F$20001,"Delivered")+COUNTIFS(Orders!$C$2:$C$20001,$A1652,Orders!$E$2:$E$20001,"COD",Orders!$F$2:$F$20001,"RTO"))</f>
        <v/>
      </c>
      <c r="C1652" s="17" t="str">
        <f aca="false">IF($A1652="","",COUNTIFS(Orders!$C$2:$C$20001,$A1652,Orders!$E$2:$E$20001,"COD",Orders!$F$2:$F$20001,"RTO"))</f>
        <v/>
      </c>
      <c r="D1652" s="18" t="str">
        <f aca="false">IF($A1652="","",IFERROR(C1652/B1652,0))</f>
        <v/>
      </c>
      <c r="E1652" s="17" t="str">
        <f aca="false">IF($A1652="","",COUNTIFS(Orders!$C$2:$C$20001,$A1652,Orders!$E$2:$E$20001,"Prepaid",Orders!$F$2:$F$20001,"Delivered")+COUNTIFS(Orders!$C$2:$C$20001,$A1652,Orders!$E$2:$E$20001,"Prepaid",Orders!$F$2:$F$20001,"RTO"))</f>
        <v/>
      </c>
      <c r="F1652" s="17" t="str">
        <f aca="false">IF($A1652="","",COUNTIFS(Orders!$C$2:$C$20001,$A1652,Orders!$E$2:$E$20001,"Prepaid",Orders!$F$2:$F$20001,"RTO"))</f>
        <v/>
      </c>
      <c r="G1652" s="18" t="str">
        <f aca="false">IF($A1652="","",IFERROR(F1652/E1652,0))</f>
        <v/>
      </c>
      <c r="H1652" s="19" t="str">
        <f aca="false">IF($A1652="","",C1652*Settings!$B$11)</f>
        <v/>
      </c>
      <c r="I1652" s="20" t="str">
        <f aca="false">IF($A1652="","",IF(N(H1652)=0,"",RANK(H1652,$H$5:$H$2004)))</f>
        <v/>
      </c>
      <c r="J1652" s="21" t="str">
        <f aca="false">IF($A1652="","",IF(B1652=0,"No COD orders",IF(B1652&lt;Settings!$B$8,"Too few orders",IF(D1652&gt;=Settings!$B$9,"Restrict COD or verify","Keep COD"))))</f>
        <v/>
      </c>
    </row>
    <row r="1653" customFormat="false" ht="15" hidden="false" customHeight="false" outlineLevel="0" collapsed="false">
      <c r="A1653" s="27"/>
      <c r="B1653" s="17" t="str">
        <f aca="false">IF($A1653="","",COUNTIFS(Orders!$C$2:$C$20001,$A1653,Orders!$E$2:$E$20001,"COD",Orders!$F$2:$F$20001,"Delivered")+COUNTIFS(Orders!$C$2:$C$20001,$A1653,Orders!$E$2:$E$20001,"COD",Orders!$F$2:$F$20001,"RTO"))</f>
        <v/>
      </c>
      <c r="C1653" s="17" t="str">
        <f aca="false">IF($A1653="","",COUNTIFS(Orders!$C$2:$C$20001,$A1653,Orders!$E$2:$E$20001,"COD",Orders!$F$2:$F$20001,"RTO"))</f>
        <v/>
      </c>
      <c r="D1653" s="18" t="str">
        <f aca="false">IF($A1653="","",IFERROR(C1653/B1653,0))</f>
        <v/>
      </c>
      <c r="E1653" s="17" t="str">
        <f aca="false">IF($A1653="","",COUNTIFS(Orders!$C$2:$C$20001,$A1653,Orders!$E$2:$E$20001,"Prepaid",Orders!$F$2:$F$20001,"Delivered")+COUNTIFS(Orders!$C$2:$C$20001,$A1653,Orders!$E$2:$E$20001,"Prepaid",Orders!$F$2:$F$20001,"RTO"))</f>
        <v/>
      </c>
      <c r="F1653" s="17" t="str">
        <f aca="false">IF($A1653="","",COUNTIFS(Orders!$C$2:$C$20001,$A1653,Orders!$E$2:$E$20001,"Prepaid",Orders!$F$2:$F$20001,"RTO"))</f>
        <v/>
      </c>
      <c r="G1653" s="18" t="str">
        <f aca="false">IF($A1653="","",IFERROR(F1653/E1653,0))</f>
        <v/>
      </c>
      <c r="H1653" s="19" t="str">
        <f aca="false">IF($A1653="","",C1653*Settings!$B$11)</f>
        <v/>
      </c>
      <c r="I1653" s="20" t="str">
        <f aca="false">IF($A1653="","",IF(N(H1653)=0,"",RANK(H1653,$H$5:$H$2004)))</f>
        <v/>
      </c>
      <c r="J1653" s="21" t="str">
        <f aca="false">IF($A1653="","",IF(B1653=0,"No COD orders",IF(B1653&lt;Settings!$B$8,"Too few orders",IF(D1653&gt;=Settings!$B$9,"Restrict COD or verify","Keep COD"))))</f>
        <v/>
      </c>
    </row>
    <row r="1654" customFormat="false" ht="15" hidden="false" customHeight="false" outlineLevel="0" collapsed="false">
      <c r="A1654" s="27"/>
      <c r="B1654" s="17" t="str">
        <f aca="false">IF($A1654="","",COUNTIFS(Orders!$C$2:$C$20001,$A1654,Orders!$E$2:$E$20001,"COD",Orders!$F$2:$F$20001,"Delivered")+COUNTIFS(Orders!$C$2:$C$20001,$A1654,Orders!$E$2:$E$20001,"COD",Orders!$F$2:$F$20001,"RTO"))</f>
        <v/>
      </c>
      <c r="C1654" s="17" t="str">
        <f aca="false">IF($A1654="","",COUNTIFS(Orders!$C$2:$C$20001,$A1654,Orders!$E$2:$E$20001,"COD",Orders!$F$2:$F$20001,"RTO"))</f>
        <v/>
      </c>
      <c r="D1654" s="18" t="str">
        <f aca="false">IF($A1654="","",IFERROR(C1654/B1654,0))</f>
        <v/>
      </c>
      <c r="E1654" s="17" t="str">
        <f aca="false">IF($A1654="","",COUNTIFS(Orders!$C$2:$C$20001,$A1654,Orders!$E$2:$E$20001,"Prepaid",Orders!$F$2:$F$20001,"Delivered")+COUNTIFS(Orders!$C$2:$C$20001,$A1654,Orders!$E$2:$E$20001,"Prepaid",Orders!$F$2:$F$20001,"RTO"))</f>
        <v/>
      </c>
      <c r="F1654" s="17" t="str">
        <f aca="false">IF($A1654="","",COUNTIFS(Orders!$C$2:$C$20001,$A1654,Orders!$E$2:$E$20001,"Prepaid",Orders!$F$2:$F$20001,"RTO"))</f>
        <v/>
      </c>
      <c r="G1654" s="18" t="str">
        <f aca="false">IF($A1654="","",IFERROR(F1654/E1654,0))</f>
        <v/>
      </c>
      <c r="H1654" s="19" t="str">
        <f aca="false">IF($A1654="","",C1654*Settings!$B$11)</f>
        <v/>
      </c>
      <c r="I1654" s="20" t="str">
        <f aca="false">IF($A1654="","",IF(N(H1654)=0,"",RANK(H1654,$H$5:$H$2004)))</f>
        <v/>
      </c>
      <c r="J1654" s="21" t="str">
        <f aca="false">IF($A1654="","",IF(B1654=0,"No COD orders",IF(B1654&lt;Settings!$B$8,"Too few orders",IF(D1654&gt;=Settings!$B$9,"Restrict COD or verify","Keep COD"))))</f>
        <v/>
      </c>
    </row>
    <row r="1655" customFormat="false" ht="15" hidden="false" customHeight="false" outlineLevel="0" collapsed="false">
      <c r="A1655" s="27"/>
      <c r="B1655" s="17" t="str">
        <f aca="false">IF($A1655="","",COUNTIFS(Orders!$C$2:$C$20001,$A1655,Orders!$E$2:$E$20001,"COD",Orders!$F$2:$F$20001,"Delivered")+COUNTIFS(Orders!$C$2:$C$20001,$A1655,Orders!$E$2:$E$20001,"COD",Orders!$F$2:$F$20001,"RTO"))</f>
        <v/>
      </c>
      <c r="C1655" s="17" t="str">
        <f aca="false">IF($A1655="","",COUNTIFS(Orders!$C$2:$C$20001,$A1655,Orders!$E$2:$E$20001,"COD",Orders!$F$2:$F$20001,"RTO"))</f>
        <v/>
      </c>
      <c r="D1655" s="18" t="str">
        <f aca="false">IF($A1655="","",IFERROR(C1655/B1655,0))</f>
        <v/>
      </c>
      <c r="E1655" s="17" t="str">
        <f aca="false">IF($A1655="","",COUNTIFS(Orders!$C$2:$C$20001,$A1655,Orders!$E$2:$E$20001,"Prepaid",Orders!$F$2:$F$20001,"Delivered")+COUNTIFS(Orders!$C$2:$C$20001,$A1655,Orders!$E$2:$E$20001,"Prepaid",Orders!$F$2:$F$20001,"RTO"))</f>
        <v/>
      </c>
      <c r="F1655" s="17" t="str">
        <f aca="false">IF($A1655="","",COUNTIFS(Orders!$C$2:$C$20001,$A1655,Orders!$E$2:$E$20001,"Prepaid",Orders!$F$2:$F$20001,"RTO"))</f>
        <v/>
      </c>
      <c r="G1655" s="18" t="str">
        <f aca="false">IF($A1655="","",IFERROR(F1655/E1655,0))</f>
        <v/>
      </c>
      <c r="H1655" s="19" t="str">
        <f aca="false">IF($A1655="","",C1655*Settings!$B$11)</f>
        <v/>
      </c>
      <c r="I1655" s="20" t="str">
        <f aca="false">IF($A1655="","",IF(N(H1655)=0,"",RANK(H1655,$H$5:$H$2004)))</f>
        <v/>
      </c>
      <c r="J1655" s="21" t="str">
        <f aca="false">IF($A1655="","",IF(B1655=0,"No COD orders",IF(B1655&lt;Settings!$B$8,"Too few orders",IF(D1655&gt;=Settings!$B$9,"Restrict COD or verify","Keep COD"))))</f>
        <v/>
      </c>
    </row>
    <row r="1656" customFormat="false" ht="15" hidden="false" customHeight="false" outlineLevel="0" collapsed="false">
      <c r="A1656" s="27"/>
      <c r="B1656" s="17" t="str">
        <f aca="false">IF($A1656="","",COUNTIFS(Orders!$C$2:$C$20001,$A1656,Orders!$E$2:$E$20001,"COD",Orders!$F$2:$F$20001,"Delivered")+COUNTIFS(Orders!$C$2:$C$20001,$A1656,Orders!$E$2:$E$20001,"COD",Orders!$F$2:$F$20001,"RTO"))</f>
        <v/>
      </c>
      <c r="C1656" s="17" t="str">
        <f aca="false">IF($A1656="","",COUNTIFS(Orders!$C$2:$C$20001,$A1656,Orders!$E$2:$E$20001,"COD",Orders!$F$2:$F$20001,"RTO"))</f>
        <v/>
      </c>
      <c r="D1656" s="18" t="str">
        <f aca="false">IF($A1656="","",IFERROR(C1656/B1656,0))</f>
        <v/>
      </c>
      <c r="E1656" s="17" t="str">
        <f aca="false">IF($A1656="","",COUNTIFS(Orders!$C$2:$C$20001,$A1656,Orders!$E$2:$E$20001,"Prepaid",Orders!$F$2:$F$20001,"Delivered")+COUNTIFS(Orders!$C$2:$C$20001,$A1656,Orders!$E$2:$E$20001,"Prepaid",Orders!$F$2:$F$20001,"RTO"))</f>
        <v/>
      </c>
      <c r="F1656" s="17" t="str">
        <f aca="false">IF($A1656="","",COUNTIFS(Orders!$C$2:$C$20001,$A1656,Orders!$E$2:$E$20001,"Prepaid",Orders!$F$2:$F$20001,"RTO"))</f>
        <v/>
      </c>
      <c r="G1656" s="18" t="str">
        <f aca="false">IF($A1656="","",IFERROR(F1656/E1656,0))</f>
        <v/>
      </c>
      <c r="H1656" s="19" t="str">
        <f aca="false">IF($A1656="","",C1656*Settings!$B$11)</f>
        <v/>
      </c>
      <c r="I1656" s="20" t="str">
        <f aca="false">IF($A1656="","",IF(N(H1656)=0,"",RANK(H1656,$H$5:$H$2004)))</f>
        <v/>
      </c>
      <c r="J1656" s="21" t="str">
        <f aca="false">IF($A1656="","",IF(B1656=0,"No COD orders",IF(B1656&lt;Settings!$B$8,"Too few orders",IF(D1656&gt;=Settings!$B$9,"Restrict COD or verify","Keep COD"))))</f>
        <v/>
      </c>
    </row>
    <row r="1657" customFormat="false" ht="15" hidden="false" customHeight="false" outlineLevel="0" collapsed="false">
      <c r="A1657" s="27"/>
      <c r="B1657" s="17" t="str">
        <f aca="false">IF($A1657="","",COUNTIFS(Orders!$C$2:$C$20001,$A1657,Orders!$E$2:$E$20001,"COD",Orders!$F$2:$F$20001,"Delivered")+COUNTIFS(Orders!$C$2:$C$20001,$A1657,Orders!$E$2:$E$20001,"COD",Orders!$F$2:$F$20001,"RTO"))</f>
        <v/>
      </c>
      <c r="C1657" s="17" t="str">
        <f aca="false">IF($A1657="","",COUNTIFS(Orders!$C$2:$C$20001,$A1657,Orders!$E$2:$E$20001,"COD",Orders!$F$2:$F$20001,"RTO"))</f>
        <v/>
      </c>
      <c r="D1657" s="18" t="str">
        <f aca="false">IF($A1657="","",IFERROR(C1657/B1657,0))</f>
        <v/>
      </c>
      <c r="E1657" s="17" t="str">
        <f aca="false">IF($A1657="","",COUNTIFS(Orders!$C$2:$C$20001,$A1657,Orders!$E$2:$E$20001,"Prepaid",Orders!$F$2:$F$20001,"Delivered")+COUNTIFS(Orders!$C$2:$C$20001,$A1657,Orders!$E$2:$E$20001,"Prepaid",Orders!$F$2:$F$20001,"RTO"))</f>
        <v/>
      </c>
      <c r="F1657" s="17" t="str">
        <f aca="false">IF($A1657="","",COUNTIFS(Orders!$C$2:$C$20001,$A1657,Orders!$E$2:$E$20001,"Prepaid",Orders!$F$2:$F$20001,"RTO"))</f>
        <v/>
      </c>
      <c r="G1657" s="18" t="str">
        <f aca="false">IF($A1657="","",IFERROR(F1657/E1657,0))</f>
        <v/>
      </c>
      <c r="H1657" s="19" t="str">
        <f aca="false">IF($A1657="","",C1657*Settings!$B$11)</f>
        <v/>
      </c>
      <c r="I1657" s="20" t="str">
        <f aca="false">IF($A1657="","",IF(N(H1657)=0,"",RANK(H1657,$H$5:$H$2004)))</f>
        <v/>
      </c>
      <c r="J1657" s="21" t="str">
        <f aca="false">IF($A1657="","",IF(B1657=0,"No COD orders",IF(B1657&lt;Settings!$B$8,"Too few orders",IF(D1657&gt;=Settings!$B$9,"Restrict COD or verify","Keep COD"))))</f>
        <v/>
      </c>
    </row>
    <row r="1658" customFormat="false" ht="15" hidden="false" customHeight="false" outlineLevel="0" collapsed="false">
      <c r="A1658" s="27"/>
      <c r="B1658" s="17" t="str">
        <f aca="false">IF($A1658="","",COUNTIFS(Orders!$C$2:$C$20001,$A1658,Orders!$E$2:$E$20001,"COD",Orders!$F$2:$F$20001,"Delivered")+COUNTIFS(Orders!$C$2:$C$20001,$A1658,Orders!$E$2:$E$20001,"COD",Orders!$F$2:$F$20001,"RTO"))</f>
        <v/>
      </c>
      <c r="C1658" s="17" t="str">
        <f aca="false">IF($A1658="","",COUNTIFS(Orders!$C$2:$C$20001,$A1658,Orders!$E$2:$E$20001,"COD",Orders!$F$2:$F$20001,"RTO"))</f>
        <v/>
      </c>
      <c r="D1658" s="18" t="str">
        <f aca="false">IF($A1658="","",IFERROR(C1658/B1658,0))</f>
        <v/>
      </c>
      <c r="E1658" s="17" t="str">
        <f aca="false">IF($A1658="","",COUNTIFS(Orders!$C$2:$C$20001,$A1658,Orders!$E$2:$E$20001,"Prepaid",Orders!$F$2:$F$20001,"Delivered")+COUNTIFS(Orders!$C$2:$C$20001,$A1658,Orders!$E$2:$E$20001,"Prepaid",Orders!$F$2:$F$20001,"RTO"))</f>
        <v/>
      </c>
      <c r="F1658" s="17" t="str">
        <f aca="false">IF($A1658="","",COUNTIFS(Orders!$C$2:$C$20001,$A1658,Orders!$E$2:$E$20001,"Prepaid",Orders!$F$2:$F$20001,"RTO"))</f>
        <v/>
      </c>
      <c r="G1658" s="18" t="str">
        <f aca="false">IF($A1658="","",IFERROR(F1658/E1658,0))</f>
        <v/>
      </c>
      <c r="H1658" s="19" t="str">
        <f aca="false">IF($A1658="","",C1658*Settings!$B$11)</f>
        <v/>
      </c>
      <c r="I1658" s="20" t="str">
        <f aca="false">IF($A1658="","",IF(N(H1658)=0,"",RANK(H1658,$H$5:$H$2004)))</f>
        <v/>
      </c>
      <c r="J1658" s="21" t="str">
        <f aca="false">IF($A1658="","",IF(B1658=0,"No COD orders",IF(B1658&lt;Settings!$B$8,"Too few orders",IF(D1658&gt;=Settings!$B$9,"Restrict COD or verify","Keep COD"))))</f>
        <v/>
      </c>
    </row>
    <row r="1659" customFormat="false" ht="15" hidden="false" customHeight="false" outlineLevel="0" collapsed="false">
      <c r="A1659" s="27"/>
      <c r="B1659" s="17" t="str">
        <f aca="false">IF($A1659="","",COUNTIFS(Orders!$C$2:$C$20001,$A1659,Orders!$E$2:$E$20001,"COD",Orders!$F$2:$F$20001,"Delivered")+COUNTIFS(Orders!$C$2:$C$20001,$A1659,Orders!$E$2:$E$20001,"COD",Orders!$F$2:$F$20001,"RTO"))</f>
        <v/>
      </c>
      <c r="C1659" s="17" t="str">
        <f aca="false">IF($A1659="","",COUNTIFS(Orders!$C$2:$C$20001,$A1659,Orders!$E$2:$E$20001,"COD",Orders!$F$2:$F$20001,"RTO"))</f>
        <v/>
      </c>
      <c r="D1659" s="18" t="str">
        <f aca="false">IF($A1659="","",IFERROR(C1659/B1659,0))</f>
        <v/>
      </c>
      <c r="E1659" s="17" t="str">
        <f aca="false">IF($A1659="","",COUNTIFS(Orders!$C$2:$C$20001,$A1659,Orders!$E$2:$E$20001,"Prepaid",Orders!$F$2:$F$20001,"Delivered")+COUNTIFS(Orders!$C$2:$C$20001,$A1659,Orders!$E$2:$E$20001,"Prepaid",Orders!$F$2:$F$20001,"RTO"))</f>
        <v/>
      </c>
      <c r="F1659" s="17" t="str">
        <f aca="false">IF($A1659="","",COUNTIFS(Orders!$C$2:$C$20001,$A1659,Orders!$E$2:$E$20001,"Prepaid",Orders!$F$2:$F$20001,"RTO"))</f>
        <v/>
      </c>
      <c r="G1659" s="18" t="str">
        <f aca="false">IF($A1659="","",IFERROR(F1659/E1659,0))</f>
        <v/>
      </c>
      <c r="H1659" s="19" t="str">
        <f aca="false">IF($A1659="","",C1659*Settings!$B$11)</f>
        <v/>
      </c>
      <c r="I1659" s="20" t="str">
        <f aca="false">IF($A1659="","",IF(N(H1659)=0,"",RANK(H1659,$H$5:$H$2004)))</f>
        <v/>
      </c>
      <c r="J1659" s="21" t="str">
        <f aca="false">IF($A1659="","",IF(B1659=0,"No COD orders",IF(B1659&lt;Settings!$B$8,"Too few orders",IF(D1659&gt;=Settings!$B$9,"Restrict COD or verify","Keep COD"))))</f>
        <v/>
      </c>
    </row>
    <row r="1660" customFormat="false" ht="15" hidden="false" customHeight="false" outlineLevel="0" collapsed="false">
      <c r="A1660" s="27"/>
      <c r="B1660" s="17" t="str">
        <f aca="false">IF($A1660="","",COUNTIFS(Orders!$C$2:$C$20001,$A1660,Orders!$E$2:$E$20001,"COD",Orders!$F$2:$F$20001,"Delivered")+COUNTIFS(Orders!$C$2:$C$20001,$A1660,Orders!$E$2:$E$20001,"COD",Orders!$F$2:$F$20001,"RTO"))</f>
        <v/>
      </c>
      <c r="C1660" s="17" t="str">
        <f aca="false">IF($A1660="","",COUNTIFS(Orders!$C$2:$C$20001,$A1660,Orders!$E$2:$E$20001,"COD",Orders!$F$2:$F$20001,"RTO"))</f>
        <v/>
      </c>
      <c r="D1660" s="18" t="str">
        <f aca="false">IF($A1660="","",IFERROR(C1660/B1660,0))</f>
        <v/>
      </c>
      <c r="E1660" s="17" t="str">
        <f aca="false">IF($A1660="","",COUNTIFS(Orders!$C$2:$C$20001,$A1660,Orders!$E$2:$E$20001,"Prepaid",Orders!$F$2:$F$20001,"Delivered")+COUNTIFS(Orders!$C$2:$C$20001,$A1660,Orders!$E$2:$E$20001,"Prepaid",Orders!$F$2:$F$20001,"RTO"))</f>
        <v/>
      </c>
      <c r="F1660" s="17" t="str">
        <f aca="false">IF($A1660="","",COUNTIFS(Orders!$C$2:$C$20001,$A1660,Orders!$E$2:$E$20001,"Prepaid",Orders!$F$2:$F$20001,"RTO"))</f>
        <v/>
      </c>
      <c r="G1660" s="18" t="str">
        <f aca="false">IF($A1660="","",IFERROR(F1660/E1660,0))</f>
        <v/>
      </c>
      <c r="H1660" s="19" t="str">
        <f aca="false">IF($A1660="","",C1660*Settings!$B$11)</f>
        <v/>
      </c>
      <c r="I1660" s="20" t="str">
        <f aca="false">IF($A1660="","",IF(N(H1660)=0,"",RANK(H1660,$H$5:$H$2004)))</f>
        <v/>
      </c>
      <c r="J1660" s="21" t="str">
        <f aca="false">IF($A1660="","",IF(B1660=0,"No COD orders",IF(B1660&lt;Settings!$B$8,"Too few orders",IF(D1660&gt;=Settings!$B$9,"Restrict COD or verify","Keep COD"))))</f>
        <v/>
      </c>
    </row>
    <row r="1661" customFormat="false" ht="15" hidden="false" customHeight="false" outlineLevel="0" collapsed="false">
      <c r="A1661" s="27"/>
      <c r="B1661" s="17" t="str">
        <f aca="false">IF($A1661="","",COUNTIFS(Orders!$C$2:$C$20001,$A1661,Orders!$E$2:$E$20001,"COD",Orders!$F$2:$F$20001,"Delivered")+COUNTIFS(Orders!$C$2:$C$20001,$A1661,Orders!$E$2:$E$20001,"COD",Orders!$F$2:$F$20001,"RTO"))</f>
        <v/>
      </c>
      <c r="C1661" s="17" t="str">
        <f aca="false">IF($A1661="","",COUNTIFS(Orders!$C$2:$C$20001,$A1661,Orders!$E$2:$E$20001,"COD",Orders!$F$2:$F$20001,"RTO"))</f>
        <v/>
      </c>
      <c r="D1661" s="18" t="str">
        <f aca="false">IF($A1661="","",IFERROR(C1661/B1661,0))</f>
        <v/>
      </c>
      <c r="E1661" s="17" t="str">
        <f aca="false">IF($A1661="","",COUNTIFS(Orders!$C$2:$C$20001,$A1661,Orders!$E$2:$E$20001,"Prepaid",Orders!$F$2:$F$20001,"Delivered")+COUNTIFS(Orders!$C$2:$C$20001,$A1661,Orders!$E$2:$E$20001,"Prepaid",Orders!$F$2:$F$20001,"RTO"))</f>
        <v/>
      </c>
      <c r="F1661" s="17" t="str">
        <f aca="false">IF($A1661="","",COUNTIFS(Orders!$C$2:$C$20001,$A1661,Orders!$E$2:$E$20001,"Prepaid",Orders!$F$2:$F$20001,"RTO"))</f>
        <v/>
      </c>
      <c r="G1661" s="18" t="str">
        <f aca="false">IF($A1661="","",IFERROR(F1661/E1661,0))</f>
        <v/>
      </c>
      <c r="H1661" s="19" t="str">
        <f aca="false">IF($A1661="","",C1661*Settings!$B$11)</f>
        <v/>
      </c>
      <c r="I1661" s="20" t="str">
        <f aca="false">IF($A1661="","",IF(N(H1661)=0,"",RANK(H1661,$H$5:$H$2004)))</f>
        <v/>
      </c>
      <c r="J1661" s="21" t="str">
        <f aca="false">IF($A1661="","",IF(B1661=0,"No COD orders",IF(B1661&lt;Settings!$B$8,"Too few orders",IF(D1661&gt;=Settings!$B$9,"Restrict COD or verify","Keep COD"))))</f>
        <v/>
      </c>
    </row>
    <row r="1662" customFormat="false" ht="15" hidden="false" customHeight="false" outlineLevel="0" collapsed="false">
      <c r="A1662" s="27"/>
      <c r="B1662" s="17" t="str">
        <f aca="false">IF($A1662="","",COUNTIFS(Orders!$C$2:$C$20001,$A1662,Orders!$E$2:$E$20001,"COD",Orders!$F$2:$F$20001,"Delivered")+COUNTIFS(Orders!$C$2:$C$20001,$A1662,Orders!$E$2:$E$20001,"COD",Orders!$F$2:$F$20001,"RTO"))</f>
        <v/>
      </c>
      <c r="C1662" s="17" t="str">
        <f aca="false">IF($A1662="","",COUNTIFS(Orders!$C$2:$C$20001,$A1662,Orders!$E$2:$E$20001,"COD",Orders!$F$2:$F$20001,"RTO"))</f>
        <v/>
      </c>
      <c r="D1662" s="18" t="str">
        <f aca="false">IF($A1662="","",IFERROR(C1662/B1662,0))</f>
        <v/>
      </c>
      <c r="E1662" s="17" t="str">
        <f aca="false">IF($A1662="","",COUNTIFS(Orders!$C$2:$C$20001,$A1662,Orders!$E$2:$E$20001,"Prepaid",Orders!$F$2:$F$20001,"Delivered")+COUNTIFS(Orders!$C$2:$C$20001,$A1662,Orders!$E$2:$E$20001,"Prepaid",Orders!$F$2:$F$20001,"RTO"))</f>
        <v/>
      </c>
      <c r="F1662" s="17" t="str">
        <f aca="false">IF($A1662="","",COUNTIFS(Orders!$C$2:$C$20001,$A1662,Orders!$E$2:$E$20001,"Prepaid",Orders!$F$2:$F$20001,"RTO"))</f>
        <v/>
      </c>
      <c r="G1662" s="18" t="str">
        <f aca="false">IF($A1662="","",IFERROR(F1662/E1662,0))</f>
        <v/>
      </c>
      <c r="H1662" s="19" t="str">
        <f aca="false">IF($A1662="","",C1662*Settings!$B$11)</f>
        <v/>
      </c>
      <c r="I1662" s="20" t="str">
        <f aca="false">IF($A1662="","",IF(N(H1662)=0,"",RANK(H1662,$H$5:$H$2004)))</f>
        <v/>
      </c>
      <c r="J1662" s="21" t="str">
        <f aca="false">IF($A1662="","",IF(B1662=0,"No COD orders",IF(B1662&lt;Settings!$B$8,"Too few orders",IF(D1662&gt;=Settings!$B$9,"Restrict COD or verify","Keep COD"))))</f>
        <v/>
      </c>
    </row>
    <row r="1663" customFormat="false" ht="15" hidden="false" customHeight="false" outlineLevel="0" collapsed="false">
      <c r="A1663" s="27"/>
      <c r="B1663" s="17" t="str">
        <f aca="false">IF($A1663="","",COUNTIFS(Orders!$C$2:$C$20001,$A1663,Orders!$E$2:$E$20001,"COD",Orders!$F$2:$F$20001,"Delivered")+COUNTIFS(Orders!$C$2:$C$20001,$A1663,Orders!$E$2:$E$20001,"COD",Orders!$F$2:$F$20001,"RTO"))</f>
        <v/>
      </c>
      <c r="C1663" s="17" t="str">
        <f aca="false">IF($A1663="","",COUNTIFS(Orders!$C$2:$C$20001,$A1663,Orders!$E$2:$E$20001,"COD",Orders!$F$2:$F$20001,"RTO"))</f>
        <v/>
      </c>
      <c r="D1663" s="18" t="str">
        <f aca="false">IF($A1663="","",IFERROR(C1663/B1663,0))</f>
        <v/>
      </c>
      <c r="E1663" s="17" t="str">
        <f aca="false">IF($A1663="","",COUNTIFS(Orders!$C$2:$C$20001,$A1663,Orders!$E$2:$E$20001,"Prepaid",Orders!$F$2:$F$20001,"Delivered")+COUNTIFS(Orders!$C$2:$C$20001,$A1663,Orders!$E$2:$E$20001,"Prepaid",Orders!$F$2:$F$20001,"RTO"))</f>
        <v/>
      </c>
      <c r="F1663" s="17" t="str">
        <f aca="false">IF($A1663="","",COUNTIFS(Orders!$C$2:$C$20001,$A1663,Orders!$E$2:$E$20001,"Prepaid",Orders!$F$2:$F$20001,"RTO"))</f>
        <v/>
      </c>
      <c r="G1663" s="18" t="str">
        <f aca="false">IF($A1663="","",IFERROR(F1663/E1663,0))</f>
        <v/>
      </c>
      <c r="H1663" s="19" t="str">
        <f aca="false">IF($A1663="","",C1663*Settings!$B$11)</f>
        <v/>
      </c>
      <c r="I1663" s="20" t="str">
        <f aca="false">IF($A1663="","",IF(N(H1663)=0,"",RANK(H1663,$H$5:$H$2004)))</f>
        <v/>
      </c>
      <c r="J1663" s="21" t="str">
        <f aca="false">IF($A1663="","",IF(B1663=0,"No COD orders",IF(B1663&lt;Settings!$B$8,"Too few orders",IF(D1663&gt;=Settings!$B$9,"Restrict COD or verify","Keep COD"))))</f>
        <v/>
      </c>
    </row>
    <row r="1664" customFormat="false" ht="15" hidden="false" customHeight="false" outlineLevel="0" collapsed="false">
      <c r="A1664" s="27"/>
      <c r="B1664" s="17" t="str">
        <f aca="false">IF($A1664="","",COUNTIFS(Orders!$C$2:$C$20001,$A1664,Orders!$E$2:$E$20001,"COD",Orders!$F$2:$F$20001,"Delivered")+COUNTIFS(Orders!$C$2:$C$20001,$A1664,Orders!$E$2:$E$20001,"COD",Orders!$F$2:$F$20001,"RTO"))</f>
        <v/>
      </c>
      <c r="C1664" s="17" t="str">
        <f aca="false">IF($A1664="","",COUNTIFS(Orders!$C$2:$C$20001,$A1664,Orders!$E$2:$E$20001,"COD",Orders!$F$2:$F$20001,"RTO"))</f>
        <v/>
      </c>
      <c r="D1664" s="18" t="str">
        <f aca="false">IF($A1664="","",IFERROR(C1664/B1664,0))</f>
        <v/>
      </c>
      <c r="E1664" s="17" t="str">
        <f aca="false">IF($A1664="","",COUNTIFS(Orders!$C$2:$C$20001,$A1664,Orders!$E$2:$E$20001,"Prepaid",Orders!$F$2:$F$20001,"Delivered")+COUNTIFS(Orders!$C$2:$C$20001,$A1664,Orders!$E$2:$E$20001,"Prepaid",Orders!$F$2:$F$20001,"RTO"))</f>
        <v/>
      </c>
      <c r="F1664" s="17" t="str">
        <f aca="false">IF($A1664="","",COUNTIFS(Orders!$C$2:$C$20001,$A1664,Orders!$E$2:$E$20001,"Prepaid",Orders!$F$2:$F$20001,"RTO"))</f>
        <v/>
      </c>
      <c r="G1664" s="18" t="str">
        <f aca="false">IF($A1664="","",IFERROR(F1664/E1664,0))</f>
        <v/>
      </c>
      <c r="H1664" s="19" t="str">
        <f aca="false">IF($A1664="","",C1664*Settings!$B$11)</f>
        <v/>
      </c>
      <c r="I1664" s="20" t="str">
        <f aca="false">IF($A1664="","",IF(N(H1664)=0,"",RANK(H1664,$H$5:$H$2004)))</f>
        <v/>
      </c>
      <c r="J1664" s="21" t="str">
        <f aca="false">IF($A1664="","",IF(B1664=0,"No COD orders",IF(B1664&lt;Settings!$B$8,"Too few orders",IF(D1664&gt;=Settings!$B$9,"Restrict COD or verify","Keep COD"))))</f>
        <v/>
      </c>
    </row>
    <row r="1665" customFormat="false" ht="15" hidden="false" customHeight="false" outlineLevel="0" collapsed="false">
      <c r="A1665" s="27"/>
      <c r="B1665" s="17" t="str">
        <f aca="false">IF($A1665="","",COUNTIFS(Orders!$C$2:$C$20001,$A1665,Orders!$E$2:$E$20001,"COD",Orders!$F$2:$F$20001,"Delivered")+COUNTIFS(Orders!$C$2:$C$20001,$A1665,Orders!$E$2:$E$20001,"COD",Orders!$F$2:$F$20001,"RTO"))</f>
        <v/>
      </c>
      <c r="C1665" s="17" t="str">
        <f aca="false">IF($A1665="","",COUNTIFS(Orders!$C$2:$C$20001,$A1665,Orders!$E$2:$E$20001,"COD",Orders!$F$2:$F$20001,"RTO"))</f>
        <v/>
      </c>
      <c r="D1665" s="18" t="str">
        <f aca="false">IF($A1665="","",IFERROR(C1665/B1665,0))</f>
        <v/>
      </c>
      <c r="E1665" s="17" t="str">
        <f aca="false">IF($A1665="","",COUNTIFS(Orders!$C$2:$C$20001,$A1665,Orders!$E$2:$E$20001,"Prepaid",Orders!$F$2:$F$20001,"Delivered")+COUNTIFS(Orders!$C$2:$C$20001,$A1665,Orders!$E$2:$E$20001,"Prepaid",Orders!$F$2:$F$20001,"RTO"))</f>
        <v/>
      </c>
      <c r="F1665" s="17" t="str">
        <f aca="false">IF($A1665="","",COUNTIFS(Orders!$C$2:$C$20001,$A1665,Orders!$E$2:$E$20001,"Prepaid",Orders!$F$2:$F$20001,"RTO"))</f>
        <v/>
      </c>
      <c r="G1665" s="18" t="str">
        <f aca="false">IF($A1665="","",IFERROR(F1665/E1665,0))</f>
        <v/>
      </c>
      <c r="H1665" s="19" t="str">
        <f aca="false">IF($A1665="","",C1665*Settings!$B$11)</f>
        <v/>
      </c>
      <c r="I1665" s="20" t="str">
        <f aca="false">IF($A1665="","",IF(N(H1665)=0,"",RANK(H1665,$H$5:$H$2004)))</f>
        <v/>
      </c>
      <c r="J1665" s="21" t="str">
        <f aca="false">IF($A1665="","",IF(B1665=0,"No COD orders",IF(B1665&lt;Settings!$B$8,"Too few orders",IF(D1665&gt;=Settings!$B$9,"Restrict COD or verify","Keep COD"))))</f>
        <v/>
      </c>
    </row>
    <row r="1666" customFormat="false" ht="15" hidden="false" customHeight="false" outlineLevel="0" collapsed="false">
      <c r="A1666" s="27"/>
      <c r="B1666" s="17" t="str">
        <f aca="false">IF($A1666="","",COUNTIFS(Orders!$C$2:$C$20001,$A1666,Orders!$E$2:$E$20001,"COD",Orders!$F$2:$F$20001,"Delivered")+COUNTIFS(Orders!$C$2:$C$20001,$A1666,Orders!$E$2:$E$20001,"COD",Orders!$F$2:$F$20001,"RTO"))</f>
        <v/>
      </c>
      <c r="C1666" s="17" t="str">
        <f aca="false">IF($A1666="","",COUNTIFS(Orders!$C$2:$C$20001,$A1666,Orders!$E$2:$E$20001,"COD",Orders!$F$2:$F$20001,"RTO"))</f>
        <v/>
      </c>
      <c r="D1666" s="18" t="str">
        <f aca="false">IF($A1666="","",IFERROR(C1666/B1666,0))</f>
        <v/>
      </c>
      <c r="E1666" s="17" t="str">
        <f aca="false">IF($A1666="","",COUNTIFS(Orders!$C$2:$C$20001,$A1666,Orders!$E$2:$E$20001,"Prepaid",Orders!$F$2:$F$20001,"Delivered")+COUNTIFS(Orders!$C$2:$C$20001,$A1666,Orders!$E$2:$E$20001,"Prepaid",Orders!$F$2:$F$20001,"RTO"))</f>
        <v/>
      </c>
      <c r="F1666" s="17" t="str">
        <f aca="false">IF($A1666="","",COUNTIFS(Orders!$C$2:$C$20001,$A1666,Orders!$E$2:$E$20001,"Prepaid",Orders!$F$2:$F$20001,"RTO"))</f>
        <v/>
      </c>
      <c r="G1666" s="18" t="str">
        <f aca="false">IF($A1666="","",IFERROR(F1666/E1666,0))</f>
        <v/>
      </c>
      <c r="H1666" s="19" t="str">
        <f aca="false">IF($A1666="","",C1666*Settings!$B$11)</f>
        <v/>
      </c>
      <c r="I1666" s="20" t="str">
        <f aca="false">IF($A1666="","",IF(N(H1666)=0,"",RANK(H1666,$H$5:$H$2004)))</f>
        <v/>
      </c>
      <c r="J1666" s="21" t="str">
        <f aca="false">IF($A1666="","",IF(B1666=0,"No COD orders",IF(B1666&lt;Settings!$B$8,"Too few orders",IF(D1666&gt;=Settings!$B$9,"Restrict COD or verify","Keep COD"))))</f>
        <v/>
      </c>
    </row>
    <row r="1667" customFormat="false" ht="15" hidden="false" customHeight="false" outlineLevel="0" collapsed="false">
      <c r="A1667" s="27"/>
      <c r="B1667" s="17" t="str">
        <f aca="false">IF($A1667="","",COUNTIFS(Orders!$C$2:$C$20001,$A1667,Orders!$E$2:$E$20001,"COD",Orders!$F$2:$F$20001,"Delivered")+COUNTIFS(Orders!$C$2:$C$20001,$A1667,Orders!$E$2:$E$20001,"COD",Orders!$F$2:$F$20001,"RTO"))</f>
        <v/>
      </c>
      <c r="C1667" s="17" t="str">
        <f aca="false">IF($A1667="","",COUNTIFS(Orders!$C$2:$C$20001,$A1667,Orders!$E$2:$E$20001,"COD",Orders!$F$2:$F$20001,"RTO"))</f>
        <v/>
      </c>
      <c r="D1667" s="18" t="str">
        <f aca="false">IF($A1667="","",IFERROR(C1667/B1667,0))</f>
        <v/>
      </c>
      <c r="E1667" s="17" t="str">
        <f aca="false">IF($A1667="","",COUNTIFS(Orders!$C$2:$C$20001,$A1667,Orders!$E$2:$E$20001,"Prepaid",Orders!$F$2:$F$20001,"Delivered")+COUNTIFS(Orders!$C$2:$C$20001,$A1667,Orders!$E$2:$E$20001,"Prepaid",Orders!$F$2:$F$20001,"RTO"))</f>
        <v/>
      </c>
      <c r="F1667" s="17" t="str">
        <f aca="false">IF($A1667="","",COUNTIFS(Orders!$C$2:$C$20001,$A1667,Orders!$E$2:$E$20001,"Prepaid",Orders!$F$2:$F$20001,"RTO"))</f>
        <v/>
      </c>
      <c r="G1667" s="18" t="str">
        <f aca="false">IF($A1667="","",IFERROR(F1667/E1667,0))</f>
        <v/>
      </c>
      <c r="H1667" s="19" t="str">
        <f aca="false">IF($A1667="","",C1667*Settings!$B$11)</f>
        <v/>
      </c>
      <c r="I1667" s="20" t="str">
        <f aca="false">IF($A1667="","",IF(N(H1667)=0,"",RANK(H1667,$H$5:$H$2004)))</f>
        <v/>
      </c>
      <c r="J1667" s="21" t="str">
        <f aca="false">IF($A1667="","",IF(B1667=0,"No COD orders",IF(B1667&lt;Settings!$B$8,"Too few orders",IF(D1667&gt;=Settings!$B$9,"Restrict COD or verify","Keep COD"))))</f>
        <v/>
      </c>
    </row>
    <row r="1668" customFormat="false" ht="15" hidden="false" customHeight="false" outlineLevel="0" collapsed="false">
      <c r="A1668" s="27"/>
      <c r="B1668" s="17" t="str">
        <f aca="false">IF($A1668="","",COUNTIFS(Orders!$C$2:$C$20001,$A1668,Orders!$E$2:$E$20001,"COD",Orders!$F$2:$F$20001,"Delivered")+COUNTIFS(Orders!$C$2:$C$20001,$A1668,Orders!$E$2:$E$20001,"COD",Orders!$F$2:$F$20001,"RTO"))</f>
        <v/>
      </c>
      <c r="C1668" s="17" t="str">
        <f aca="false">IF($A1668="","",COUNTIFS(Orders!$C$2:$C$20001,$A1668,Orders!$E$2:$E$20001,"COD",Orders!$F$2:$F$20001,"RTO"))</f>
        <v/>
      </c>
      <c r="D1668" s="18" t="str">
        <f aca="false">IF($A1668="","",IFERROR(C1668/B1668,0))</f>
        <v/>
      </c>
      <c r="E1668" s="17" t="str">
        <f aca="false">IF($A1668="","",COUNTIFS(Orders!$C$2:$C$20001,$A1668,Orders!$E$2:$E$20001,"Prepaid",Orders!$F$2:$F$20001,"Delivered")+COUNTIFS(Orders!$C$2:$C$20001,$A1668,Orders!$E$2:$E$20001,"Prepaid",Orders!$F$2:$F$20001,"RTO"))</f>
        <v/>
      </c>
      <c r="F1668" s="17" t="str">
        <f aca="false">IF($A1668="","",COUNTIFS(Orders!$C$2:$C$20001,$A1668,Orders!$E$2:$E$20001,"Prepaid",Orders!$F$2:$F$20001,"RTO"))</f>
        <v/>
      </c>
      <c r="G1668" s="18" t="str">
        <f aca="false">IF($A1668="","",IFERROR(F1668/E1668,0))</f>
        <v/>
      </c>
      <c r="H1668" s="19" t="str">
        <f aca="false">IF($A1668="","",C1668*Settings!$B$11)</f>
        <v/>
      </c>
      <c r="I1668" s="20" t="str">
        <f aca="false">IF($A1668="","",IF(N(H1668)=0,"",RANK(H1668,$H$5:$H$2004)))</f>
        <v/>
      </c>
      <c r="J1668" s="21" t="str">
        <f aca="false">IF($A1668="","",IF(B1668=0,"No COD orders",IF(B1668&lt;Settings!$B$8,"Too few orders",IF(D1668&gt;=Settings!$B$9,"Restrict COD or verify","Keep COD"))))</f>
        <v/>
      </c>
    </row>
    <row r="1669" customFormat="false" ht="15" hidden="false" customHeight="false" outlineLevel="0" collapsed="false">
      <c r="A1669" s="27"/>
      <c r="B1669" s="17" t="str">
        <f aca="false">IF($A1669="","",COUNTIFS(Orders!$C$2:$C$20001,$A1669,Orders!$E$2:$E$20001,"COD",Orders!$F$2:$F$20001,"Delivered")+COUNTIFS(Orders!$C$2:$C$20001,$A1669,Orders!$E$2:$E$20001,"COD",Orders!$F$2:$F$20001,"RTO"))</f>
        <v/>
      </c>
      <c r="C1669" s="17" t="str">
        <f aca="false">IF($A1669="","",COUNTIFS(Orders!$C$2:$C$20001,$A1669,Orders!$E$2:$E$20001,"COD",Orders!$F$2:$F$20001,"RTO"))</f>
        <v/>
      </c>
      <c r="D1669" s="18" t="str">
        <f aca="false">IF($A1669="","",IFERROR(C1669/B1669,0))</f>
        <v/>
      </c>
      <c r="E1669" s="17" t="str">
        <f aca="false">IF($A1669="","",COUNTIFS(Orders!$C$2:$C$20001,$A1669,Orders!$E$2:$E$20001,"Prepaid",Orders!$F$2:$F$20001,"Delivered")+COUNTIFS(Orders!$C$2:$C$20001,$A1669,Orders!$E$2:$E$20001,"Prepaid",Orders!$F$2:$F$20001,"RTO"))</f>
        <v/>
      </c>
      <c r="F1669" s="17" t="str">
        <f aca="false">IF($A1669="","",COUNTIFS(Orders!$C$2:$C$20001,$A1669,Orders!$E$2:$E$20001,"Prepaid",Orders!$F$2:$F$20001,"RTO"))</f>
        <v/>
      </c>
      <c r="G1669" s="18" t="str">
        <f aca="false">IF($A1669="","",IFERROR(F1669/E1669,0))</f>
        <v/>
      </c>
      <c r="H1669" s="19" t="str">
        <f aca="false">IF($A1669="","",C1669*Settings!$B$11)</f>
        <v/>
      </c>
      <c r="I1669" s="20" t="str">
        <f aca="false">IF($A1669="","",IF(N(H1669)=0,"",RANK(H1669,$H$5:$H$2004)))</f>
        <v/>
      </c>
      <c r="J1669" s="21" t="str">
        <f aca="false">IF($A1669="","",IF(B1669=0,"No COD orders",IF(B1669&lt;Settings!$B$8,"Too few orders",IF(D1669&gt;=Settings!$B$9,"Restrict COD or verify","Keep COD"))))</f>
        <v/>
      </c>
    </row>
    <row r="1670" customFormat="false" ht="15" hidden="false" customHeight="false" outlineLevel="0" collapsed="false">
      <c r="A1670" s="27"/>
      <c r="B1670" s="17" t="str">
        <f aca="false">IF($A1670="","",COUNTIFS(Orders!$C$2:$C$20001,$A1670,Orders!$E$2:$E$20001,"COD",Orders!$F$2:$F$20001,"Delivered")+COUNTIFS(Orders!$C$2:$C$20001,$A1670,Orders!$E$2:$E$20001,"COD",Orders!$F$2:$F$20001,"RTO"))</f>
        <v/>
      </c>
      <c r="C1670" s="17" t="str">
        <f aca="false">IF($A1670="","",COUNTIFS(Orders!$C$2:$C$20001,$A1670,Orders!$E$2:$E$20001,"COD",Orders!$F$2:$F$20001,"RTO"))</f>
        <v/>
      </c>
      <c r="D1670" s="18" t="str">
        <f aca="false">IF($A1670="","",IFERROR(C1670/B1670,0))</f>
        <v/>
      </c>
      <c r="E1670" s="17" t="str">
        <f aca="false">IF($A1670="","",COUNTIFS(Orders!$C$2:$C$20001,$A1670,Orders!$E$2:$E$20001,"Prepaid",Orders!$F$2:$F$20001,"Delivered")+COUNTIFS(Orders!$C$2:$C$20001,$A1670,Orders!$E$2:$E$20001,"Prepaid",Orders!$F$2:$F$20001,"RTO"))</f>
        <v/>
      </c>
      <c r="F1670" s="17" t="str">
        <f aca="false">IF($A1670="","",COUNTIFS(Orders!$C$2:$C$20001,$A1670,Orders!$E$2:$E$20001,"Prepaid",Orders!$F$2:$F$20001,"RTO"))</f>
        <v/>
      </c>
      <c r="G1670" s="18" t="str">
        <f aca="false">IF($A1670="","",IFERROR(F1670/E1670,0))</f>
        <v/>
      </c>
      <c r="H1670" s="19" t="str">
        <f aca="false">IF($A1670="","",C1670*Settings!$B$11)</f>
        <v/>
      </c>
      <c r="I1670" s="20" t="str">
        <f aca="false">IF($A1670="","",IF(N(H1670)=0,"",RANK(H1670,$H$5:$H$2004)))</f>
        <v/>
      </c>
      <c r="J1670" s="21" t="str">
        <f aca="false">IF($A1670="","",IF(B1670=0,"No COD orders",IF(B1670&lt;Settings!$B$8,"Too few orders",IF(D1670&gt;=Settings!$B$9,"Restrict COD or verify","Keep COD"))))</f>
        <v/>
      </c>
    </row>
    <row r="1671" customFormat="false" ht="15" hidden="false" customHeight="false" outlineLevel="0" collapsed="false">
      <c r="A1671" s="27"/>
      <c r="B1671" s="17" t="str">
        <f aca="false">IF($A1671="","",COUNTIFS(Orders!$C$2:$C$20001,$A1671,Orders!$E$2:$E$20001,"COD",Orders!$F$2:$F$20001,"Delivered")+COUNTIFS(Orders!$C$2:$C$20001,$A1671,Orders!$E$2:$E$20001,"COD",Orders!$F$2:$F$20001,"RTO"))</f>
        <v/>
      </c>
      <c r="C1671" s="17" t="str">
        <f aca="false">IF($A1671="","",COUNTIFS(Orders!$C$2:$C$20001,$A1671,Orders!$E$2:$E$20001,"COD",Orders!$F$2:$F$20001,"RTO"))</f>
        <v/>
      </c>
      <c r="D1671" s="18" t="str">
        <f aca="false">IF($A1671="","",IFERROR(C1671/B1671,0))</f>
        <v/>
      </c>
      <c r="E1671" s="17" t="str">
        <f aca="false">IF($A1671="","",COUNTIFS(Orders!$C$2:$C$20001,$A1671,Orders!$E$2:$E$20001,"Prepaid",Orders!$F$2:$F$20001,"Delivered")+COUNTIFS(Orders!$C$2:$C$20001,$A1671,Orders!$E$2:$E$20001,"Prepaid",Orders!$F$2:$F$20001,"RTO"))</f>
        <v/>
      </c>
      <c r="F1671" s="17" t="str">
        <f aca="false">IF($A1671="","",COUNTIFS(Orders!$C$2:$C$20001,$A1671,Orders!$E$2:$E$20001,"Prepaid",Orders!$F$2:$F$20001,"RTO"))</f>
        <v/>
      </c>
      <c r="G1671" s="18" t="str">
        <f aca="false">IF($A1671="","",IFERROR(F1671/E1671,0))</f>
        <v/>
      </c>
      <c r="H1671" s="19" t="str">
        <f aca="false">IF($A1671="","",C1671*Settings!$B$11)</f>
        <v/>
      </c>
      <c r="I1671" s="20" t="str">
        <f aca="false">IF($A1671="","",IF(N(H1671)=0,"",RANK(H1671,$H$5:$H$2004)))</f>
        <v/>
      </c>
      <c r="J1671" s="21" t="str">
        <f aca="false">IF($A1671="","",IF(B1671=0,"No COD orders",IF(B1671&lt;Settings!$B$8,"Too few orders",IF(D1671&gt;=Settings!$B$9,"Restrict COD or verify","Keep COD"))))</f>
        <v/>
      </c>
    </row>
    <row r="1672" customFormat="false" ht="15" hidden="false" customHeight="false" outlineLevel="0" collapsed="false">
      <c r="A1672" s="27"/>
      <c r="B1672" s="17" t="str">
        <f aca="false">IF($A1672="","",COUNTIFS(Orders!$C$2:$C$20001,$A1672,Orders!$E$2:$E$20001,"COD",Orders!$F$2:$F$20001,"Delivered")+COUNTIFS(Orders!$C$2:$C$20001,$A1672,Orders!$E$2:$E$20001,"COD",Orders!$F$2:$F$20001,"RTO"))</f>
        <v/>
      </c>
      <c r="C1672" s="17" t="str">
        <f aca="false">IF($A1672="","",COUNTIFS(Orders!$C$2:$C$20001,$A1672,Orders!$E$2:$E$20001,"COD",Orders!$F$2:$F$20001,"RTO"))</f>
        <v/>
      </c>
      <c r="D1672" s="18" t="str">
        <f aca="false">IF($A1672="","",IFERROR(C1672/B1672,0))</f>
        <v/>
      </c>
      <c r="E1672" s="17" t="str">
        <f aca="false">IF($A1672="","",COUNTIFS(Orders!$C$2:$C$20001,$A1672,Orders!$E$2:$E$20001,"Prepaid",Orders!$F$2:$F$20001,"Delivered")+COUNTIFS(Orders!$C$2:$C$20001,$A1672,Orders!$E$2:$E$20001,"Prepaid",Orders!$F$2:$F$20001,"RTO"))</f>
        <v/>
      </c>
      <c r="F1672" s="17" t="str">
        <f aca="false">IF($A1672="","",COUNTIFS(Orders!$C$2:$C$20001,$A1672,Orders!$E$2:$E$20001,"Prepaid",Orders!$F$2:$F$20001,"RTO"))</f>
        <v/>
      </c>
      <c r="G1672" s="18" t="str">
        <f aca="false">IF($A1672="","",IFERROR(F1672/E1672,0))</f>
        <v/>
      </c>
      <c r="H1672" s="19" t="str">
        <f aca="false">IF($A1672="","",C1672*Settings!$B$11)</f>
        <v/>
      </c>
      <c r="I1672" s="20" t="str">
        <f aca="false">IF($A1672="","",IF(N(H1672)=0,"",RANK(H1672,$H$5:$H$2004)))</f>
        <v/>
      </c>
      <c r="J1672" s="21" t="str">
        <f aca="false">IF($A1672="","",IF(B1672=0,"No COD orders",IF(B1672&lt;Settings!$B$8,"Too few orders",IF(D1672&gt;=Settings!$B$9,"Restrict COD or verify","Keep COD"))))</f>
        <v/>
      </c>
    </row>
    <row r="1673" customFormat="false" ht="15" hidden="false" customHeight="false" outlineLevel="0" collapsed="false">
      <c r="A1673" s="27"/>
      <c r="B1673" s="17" t="str">
        <f aca="false">IF($A1673="","",COUNTIFS(Orders!$C$2:$C$20001,$A1673,Orders!$E$2:$E$20001,"COD",Orders!$F$2:$F$20001,"Delivered")+COUNTIFS(Orders!$C$2:$C$20001,$A1673,Orders!$E$2:$E$20001,"COD",Orders!$F$2:$F$20001,"RTO"))</f>
        <v/>
      </c>
      <c r="C1673" s="17" t="str">
        <f aca="false">IF($A1673="","",COUNTIFS(Orders!$C$2:$C$20001,$A1673,Orders!$E$2:$E$20001,"COD",Orders!$F$2:$F$20001,"RTO"))</f>
        <v/>
      </c>
      <c r="D1673" s="18" t="str">
        <f aca="false">IF($A1673="","",IFERROR(C1673/B1673,0))</f>
        <v/>
      </c>
      <c r="E1673" s="17" t="str">
        <f aca="false">IF($A1673="","",COUNTIFS(Orders!$C$2:$C$20001,$A1673,Orders!$E$2:$E$20001,"Prepaid",Orders!$F$2:$F$20001,"Delivered")+COUNTIFS(Orders!$C$2:$C$20001,$A1673,Orders!$E$2:$E$20001,"Prepaid",Orders!$F$2:$F$20001,"RTO"))</f>
        <v/>
      </c>
      <c r="F1673" s="17" t="str">
        <f aca="false">IF($A1673="","",COUNTIFS(Orders!$C$2:$C$20001,$A1673,Orders!$E$2:$E$20001,"Prepaid",Orders!$F$2:$F$20001,"RTO"))</f>
        <v/>
      </c>
      <c r="G1673" s="18" t="str">
        <f aca="false">IF($A1673="","",IFERROR(F1673/E1673,0))</f>
        <v/>
      </c>
      <c r="H1673" s="19" t="str">
        <f aca="false">IF($A1673="","",C1673*Settings!$B$11)</f>
        <v/>
      </c>
      <c r="I1673" s="20" t="str">
        <f aca="false">IF($A1673="","",IF(N(H1673)=0,"",RANK(H1673,$H$5:$H$2004)))</f>
        <v/>
      </c>
      <c r="J1673" s="21" t="str">
        <f aca="false">IF($A1673="","",IF(B1673=0,"No COD orders",IF(B1673&lt;Settings!$B$8,"Too few orders",IF(D1673&gt;=Settings!$B$9,"Restrict COD or verify","Keep COD"))))</f>
        <v/>
      </c>
    </row>
    <row r="1674" customFormat="false" ht="15" hidden="false" customHeight="false" outlineLevel="0" collapsed="false">
      <c r="A1674" s="27"/>
      <c r="B1674" s="17" t="str">
        <f aca="false">IF($A1674="","",COUNTIFS(Orders!$C$2:$C$20001,$A1674,Orders!$E$2:$E$20001,"COD",Orders!$F$2:$F$20001,"Delivered")+COUNTIFS(Orders!$C$2:$C$20001,$A1674,Orders!$E$2:$E$20001,"COD",Orders!$F$2:$F$20001,"RTO"))</f>
        <v/>
      </c>
      <c r="C1674" s="17" t="str">
        <f aca="false">IF($A1674="","",COUNTIFS(Orders!$C$2:$C$20001,$A1674,Orders!$E$2:$E$20001,"COD",Orders!$F$2:$F$20001,"RTO"))</f>
        <v/>
      </c>
      <c r="D1674" s="18" t="str">
        <f aca="false">IF($A1674="","",IFERROR(C1674/B1674,0))</f>
        <v/>
      </c>
      <c r="E1674" s="17" t="str">
        <f aca="false">IF($A1674="","",COUNTIFS(Orders!$C$2:$C$20001,$A1674,Orders!$E$2:$E$20001,"Prepaid",Orders!$F$2:$F$20001,"Delivered")+COUNTIFS(Orders!$C$2:$C$20001,$A1674,Orders!$E$2:$E$20001,"Prepaid",Orders!$F$2:$F$20001,"RTO"))</f>
        <v/>
      </c>
      <c r="F1674" s="17" t="str">
        <f aca="false">IF($A1674="","",COUNTIFS(Orders!$C$2:$C$20001,$A1674,Orders!$E$2:$E$20001,"Prepaid",Orders!$F$2:$F$20001,"RTO"))</f>
        <v/>
      </c>
      <c r="G1674" s="18" t="str">
        <f aca="false">IF($A1674="","",IFERROR(F1674/E1674,0))</f>
        <v/>
      </c>
      <c r="H1674" s="19" t="str">
        <f aca="false">IF($A1674="","",C1674*Settings!$B$11)</f>
        <v/>
      </c>
      <c r="I1674" s="20" t="str">
        <f aca="false">IF($A1674="","",IF(N(H1674)=0,"",RANK(H1674,$H$5:$H$2004)))</f>
        <v/>
      </c>
      <c r="J1674" s="21" t="str">
        <f aca="false">IF($A1674="","",IF(B1674=0,"No COD orders",IF(B1674&lt;Settings!$B$8,"Too few orders",IF(D1674&gt;=Settings!$B$9,"Restrict COD or verify","Keep COD"))))</f>
        <v/>
      </c>
    </row>
    <row r="1675" customFormat="false" ht="15" hidden="false" customHeight="false" outlineLevel="0" collapsed="false">
      <c r="A1675" s="27"/>
      <c r="B1675" s="17" t="str">
        <f aca="false">IF($A1675="","",COUNTIFS(Orders!$C$2:$C$20001,$A1675,Orders!$E$2:$E$20001,"COD",Orders!$F$2:$F$20001,"Delivered")+COUNTIFS(Orders!$C$2:$C$20001,$A1675,Orders!$E$2:$E$20001,"COD",Orders!$F$2:$F$20001,"RTO"))</f>
        <v/>
      </c>
      <c r="C1675" s="17" t="str">
        <f aca="false">IF($A1675="","",COUNTIFS(Orders!$C$2:$C$20001,$A1675,Orders!$E$2:$E$20001,"COD",Orders!$F$2:$F$20001,"RTO"))</f>
        <v/>
      </c>
      <c r="D1675" s="18" t="str">
        <f aca="false">IF($A1675="","",IFERROR(C1675/B1675,0))</f>
        <v/>
      </c>
      <c r="E1675" s="17" t="str">
        <f aca="false">IF($A1675="","",COUNTIFS(Orders!$C$2:$C$20001,$A1675,Orders!$E$2:$E$20001,"Prepaid",Orders!$F$2:$F$20001,"Delivered")+COUNTIFS(Orders!$C$2:$C$20001,$A1675,Orders!$E$2:$E$20001,"Prepaid",Orders!$F$2:$F$20001,"RTO"))</f>
        <v/>
      </c>
      <c r="F1675" s="17" t="str">
        <f aca="false">IF($A1675="","",COUNTIFS(Orders!$C$2:$C$20001,$A1675,Orders!$E$2:$E$20001,"Prepaid",Orders!$F$2:$F$20001,"RTO"))</f>
        <v/>
      </c>
      <c r="G1675" s="18" t="str">
        <f aca="false">IF($A1675="","",IFERROR(F1675/E1675,0))</f>
        <v/>
      </c>
      <c r="H1675" s="19" t="str">
        <f aca="false">IF($A1675="","",C1675*Settings!$B$11)</f>
        <v/>
      </c>
      <c r="I1675" s="20" t="str">
        <f aca="false">IF($A1675="","",IF(N(H1675)=0,"",RANK(H1675,$H$5:$H$2004)))</f>
        <v/>
      </c>
      <c r="J1675" s="21" t="str">
        <f aca="false">IF($A1675="","",IF(B1675=0,"No COD orders",IF(B1675&lt;Settings!$B$8,"Too few orders",IF(D1675&gt;=Settings!$B$9,"Restrict COD or verify","Keep COD"))))</f>
        <v/>
      </c>
    </row>
    <row r="1676" customFormat="false" ht="15" hidden="false" customHeight="false" outlineLevel="0" collapsed="false">
      <c r="A1676" s="27"/>
      <c r="B1676" s="17" t="str">
        <f aca="false">IF($A1676="","",COUNTIFS(Orders!$C$2:$C$20001,$A1676,Orders!$E$2:$E$20001,"COD",Orders!$F$2:$F$20001,"Delivered")+COUNTIFS(Orders!$C$2:$C$20001,$A1676,Orders!$E$2:$E$20001,"COD",Orders!$F$2:$F$20001,"RTO"))</f>
        <v/>
      </c>
      <c r="C1676" s="17" t="str">
        <f aca="false">IF($A1676="","",COUNTIFS(Orders!$C$2:$C$20001,$A1676,Orders!$E$2:$E$20001,"COD",Orders!$F$2:$F$20001,"RTO"))</f>
        <v/>
      </c>
      <c r="D1676" s="18" t="str">
        <f aca="false">IF($A1676="","",IFERROR(C1676/B1676,0))</f>
        <v/>
      </c>
      <c r="E1676" s="17" t="str">
        <f aca="false">IF($A1676="","",COUNTIFS(Orders!$C$2:$C$20001,$A1676,Orders!$E$2:$E$20001,"Prepaid",Orders!$F$2:$F$20001,"Delivered")+COUNTIFS(Orders!$C$2:$C$20001,$A1676,Orders!$E$2:$E$20001,"Prepaid",Orders!$F$2:$F$20001,"RTO"))</f>
        <v/>
      </c>
      <c r="F1676" s="17" t="str">
        <f aca="false">IF($A1676="","",COUNTIFS(Orders!$C$2:$C$20001,$A1676,Orders!$E$2:$E$20001,"Prepaid",Orders!$F$2:$F$20001,"RTO"))</f>
        <v/>
      </c>
      <c r="G1676" s="18" t="str">
        <f aca="false">IF($A1676="","",IFERROR(F1676/E1676,0))</f>
        <v/>
      </c>
      <c r="H1676" s="19" t="str">
        <f aca="false">IF($A1676="","",C1676*Settings!$B$11)</f>
        <v/>
      </c>
      <c r="I1676" s="20" t="str">
        <f aca="false">IF($A1676="","",IF(N(H1676)=0,"",RANK(H1676,$H$5:$H$2004)))</f>
        <v/>
      </c>
      <c r="J1676" s="21" t="str">
        <f aca="false">IF($A1676="","",IF(B1676=0,"No COD orders",IF(B1676&lt;Settings!$B$8,"Too few orders",IF(D1676&gt;=Settings!$B$9,"Restrict COD or verify","Keep COD"))))</f>
        <v/>
      </c>
    </row>
    <row r="1677" customFormat="false" ht="15" hidden="false" customHeight="false" outlineLevel="0" collapsed="false">
      <c r="A1677" s="27"/>
      <c r="B1677" s="17" t="str">
        <f aca="false">IF($A1677="","",COUNTIFS(Orders!$C$2:$C$20001,$A1677,Orders!$E$2:$E$20001,"COD",Orders!$F$2:$F$20001,"Delivered")+COUNTIFS(Orders!$C$2:$C$20001,$A1677,Orders!$E$2:$E$20001,"COD",Orders!$F$2:$F$20001,"RTO"))</f>
        <v/>
      </c>
      <c r="C1677" s="17" t="str">
        <f aca="false">IF($A1677="","",COUNTIFS(Orders!$C$2:$C$20001,$A1677,Orders!$E$2:$E$20001,"COD",Orders!$F$2:$F$20001,"RTO"))</f>
        <v/>
      </c>
      <c r="D1677" s="18" t="str">
        <f aca="false">IF($A1677="","",IFERROR(C1677/B1677,0))</f>
        <v/>
      </c>
      <c r="E1677" s="17" t="str">
        <f aca="false">IF($A1677="","",COUNTIFS(Orders!$C$2:$C$20001,$A1677,Orders!$E$2:$E$20001,"Prepaid",Orders!$F$2:$F$20001,"Delivered")+COUNTIFS(Orders!$C$2:$C$20001,$A1677,Orders!$E$2:$E$20001,"Prepaid",Orders!$F$2:$F$20001,"RTO"))</f>
        <v/>
      </c>
      <c r="F1677" s="17" t="str">
        <f aca="false">IF($A1677="","",COUNTIFS(Orders!$C$2:$C$20001,$A1677,Orders!$E$2:$E$20001,"Prepaid",Orders!$F$2:$F$20001,"RTO"))</f>
        <v/>
      </c>
      <c r="G1677" s="18" t="str">
        <f aca="false">IF($A1677="","",IFERROR(F1677/E1677,0))</f>
        <v/>
      </c>
      <c r="H1677" s="19" t="str">
        <f aca="false">IF($A1677="","",C1677*Settings!$B$11)</f>
        <v/>
      </c>
      <c r="I1677" s="20" t="str">
        <f aca="false">IF($A1677="","",IF(N(H1677)=0,"",RANK(H1677,$H$5:$H$2004)))</f>
        <v/>
      </c>
      <c r="J1677" s="21" t="str">
        <f aca="false">IF($A1677="","",IF(B1677=0,"No COD orders",IF(B1677&lt;Settings!$B$8,"Too few orders",IF(D1677&gt;=Settings!$B$9,"Restrict COD or verify","Keep COD"))))</f>
        <v/>
      </c>
    </row>
    <row r="1678" customFormat="false" ht="15" hidden="false" customHeight="false" outlineLevel="0" collapsed="false">
      <c r="A1678" s="27"/>
      <c r="B1678" s="17" t="str">
        <f aca="false">IF($A1678="","",COUNTIFS(Orders!$C$2:$C$20001,$A1678,Orders!$E$2:$E$20001,"COD",Orders!$F$2:$F$20001,"Delivered")+COUNTIFS(Orders!$C$2:$C$20001,$A1678,Orders!$E$2:$E$20001,"COD",Orders!$F$2:$F$20001,"RTO"))</f>
        <v/>
      </c>
      <c r="C1678" s="17" t="str">
        <f aca="false">IF($A1678="","",COUNTIFS(Orders!$C$2:$C$20001,$A1678,Orders!$E$2:$E$20001,"COD",Orders!$F$2:$F$20001,"RTO"))</f>
        <v/>
      </c>
      <c r="D1678" s="18" t="str">
        <f aca="false">IF($A1678="","",IFERROR(C1678/B1678,0))</f>
        <v/>
      </c>
      <c r="E1678" s="17" t="str">
        <f aca="false">IF($A1678="","",COUNTIFS(Orders!$C$2:$C$20001,$A1678,Orders!$E$2:$E$20001,"Prepaid",Orders!$F$2:$F$20001,"Delivered")+COUNTIFS(Orders!$C$2:$C$20001,$A1678,Orders!$E$2:$E$20001,"Prepaid",Orders!$F$2:$F$20001,"RTO"))</f>
        <v/>
      </c>
      <c r="F1678" s="17" t="str">
        <f aca="false">IF($A1678="","",COUNTIFS(Orders!$C$2:$C$20001,$A1678,Orders!$E$2:$E$20001,"Prepaid",Orders!$F$2:$F$20001,"RTO"))</f>
        <v/>
      </c>
      <c r="G1678" s="18" t="str">
        <f aca="false">IF($A1678="","",IFERROR(F1678/E1678,0))</f>
        <v/>
      </c>
      <c r="H1678" s="19" t="str">
        <f aca="false">IF($A1678="","",C1678*Settings!$B$11)</f>
        <v/>
      </c>
      <c r="I1678" s="20" t="str">
        <f aca="false">IF($A1678="","",IF(N(H1678)=0,"",RANK(H1678,$H$5:$H$2004)))</f>
        <v/>
      </c>
      <c r="J1678" s="21" t="str">
        <f aca="false">IF($A1678="","",IF(B1678=0,"No COD orders",IF(B1678&lt;Settings!$B$8,"Too few orders",IF(D1678&gt;=Settings!$B$9,"Restrict COD or verify","Keep COD"))))</f>
        <v/>
      </c>
    </row>
    <row r="1679" customFormat="false" ht="15" hidden="false" customHeight="false" outlineLevel="0" collapsed="false">
      <c r="A1679" s="27"/>
      <c r="B1679" s="17" t="str">
        <f aca="false">IF($A1679="","",COUNTIFS(Orders!$C$2:$C$20001,$A1679,Orders!$E$2:$E$20001,"COD",Orders!$F$2:$F$20001,"Delivered")+COUNTIFS(Orders!$C$2:$C$20001,$A1679,Orders!$E$2:$E$20001,"COD",Orders!$F$2:$F$20001,"RTO"))</f>
        <v/>
      </c>
      <c r="C1679" s="17" t="str">
        <f aca="false">IF($A1679="","",COUNTIFS(Orders!$C$2:$C$20001,$A1679,Orders!$E$2:$E$20001,"COD",Orders!$F$2:$F$20001,"RTO"))</f>
        <v/>
      </c>
      <c r="D1679" s="18" t="str">
        <f aca="false">IF($A1679="","",IFERROR(C1679/B1679,0))</f>
        <v/>
      </c>
      <c r="E1679" s="17" t="str">
        <f aca="false">IF($A1679="","",COUNTIFS(Orders!$C$2:$C$20001,$A1679,Orders!$E$2:$E$20001,"Prepaid",Orders!$F$2:$F$20001,"Delivered")+COUNTIFS(Orders!$C$2:$C$20001,$A1679,Orders!$E$2:$E$20001,"Prepaid",Orders!$F$2:$F$20001,"RTO"))</f>
        <v/>
      </c>
      <c r="F1679" s="17" t="str">
        <f aca="false">IF($A1679="","",COUNTIFS(Orders!$C$2:$C$20001,$A1679,Orders!$E$2:$E$20001,"Prepaid",Orders!$F$2:$F$20001,"RTO"))</f>
        <v/>
      </c>
      <c r="G1679" s="18" t="str">
        <f aca="false">IF($A1679="","",IFERROR(F1679/E1679,0))</f>
        <v/>
      </c>
      <c r="H1679" s="19" t="str">
        <f aca="false">IF($A1679="","",C1679*Settings!$B$11)</f>
        <v/>
      </c>
      <c r="I1679" s="20" t="str">
        <f aca="false">IF($A1679="","",IF(N(H1679)=0,"",RANK(H1679,$H$5:$H$2004)))</f>
        <v/>
      </c>
      <c r="J1679" s="21" t="str">
        <f aca="false">IF($A1679="","",IF(B1679=0,"No COD orders",IF(B1679&lt;Settings!$B$8,"Too few orders",IF(D1679&gt;=Settings!$B$9,"Restrict COD or verify","Keep COD"))))</f>
        <v/>
      </c>
    </row>
    <row r="1680" customFormat="false" ht="15" hidden="false" customHeight="false" outlineLevel="0" collapsed="false">
      <c r="A1680" s="27"/>
      <c r="B1680" s="17" t="str">
        <f aca="false">IF($A1680="","",COUNTIFS(Orders!$C$2:$C$20001,$A1680,Orders!$E$2:$E$20001,"COD",Orders!$F$2:$F$20001,"Delivered")+COUNTIFS(Orders!$C$2:$C$20001,$A1680,Orders!$E$2:$E$20001,"COD",Orders!$F$2:$F$20001,"RTO"))</f>
        <v/>
      </c>
      <c r="C1680" s="17" t="str">
        <f aca="false">IF($A1680="","",COUNTIFS(Orders!$C$2:$C$20001,$A1680,Orders!$E$2:$E$20001,"COD",Orders!$F$2:$F$20001,"RTO"))</f>
        <v/>
      </c>
      <c r="D1680" s="18" t="str">
        <f aca="false">IF($A1680="","",IFERROR(C1680/B1680,0))</f>
        <v/>
      </c>
      <c r="E1680" s="17" t="str">
        <f aca="false">IF($A1680="","",COUNTIFS(Orders!$C$2:$C$20001,$A1680,Orders!$E$2:$E$20001,"Prepaid",Orders!$F$2:$F$20001,"Delivered")+COUNTIFS(Orders!$C$2:$C$20001,$A1680,Orders!$E$2:$E$20001,"Prepaid",Orders!$F$2:$F$20001,"RTO"))</f>
        <v/>
      </c>
      <c r="F1680" s="17" t="str">
        <f aca="false">IF($A1680="","",COUNTIFS(Orders!$C$2:$C$20001,$A1680,Orders!$E$2:$E$20001,"Prepaid",Orders!$F$2:$F$20001,"RTO"))</f>
        <v/>
      </c>
      <c r="G1680" s="18" t="str">
        <f aca="false">IF($A1680="","",IFERROR(F1680/E1680,0))</f>
        <v/>
      </c>
      <c r="H1680" s="19" t="str">
        <f aca="false">IF($A1680="","",C1680*Settings!$B$11)</f>
        <v/>
      </c>
      <c r="I1680" s="20" t="str">
        <f aca="false">IF($A1680="","",IF(N(H1680)=0,"",RANK(H1680,$H$5:$H$2004)))</f>
        <v/>
      </c>
      <c r="J1680" s="21" t="str">
        <f aca="false">IF($A1680="","",IF(B1680=0,"No COD orders",IF(B1680&lt;Settings!$B$8,"Too few orders",IF(D1680&gt;=Settings!$B$9,"Restrict COD or verify","Keep COD"))))</f>
        <v/>
      </c>
    </row>
    <row r="1681" customFormat="false" ht="15" hidden="false" customHeight="false" outlineLevel="0" collapsed="false">
      <c r="A1681" s="27"/>
      <c r="B1681" s="17" t="str">
        <f aca="false">IF($A1681="","",COUNTIFS(Orders!$C$2:$C$20001,$A1681,Orders!$E$2:$E$20001,"COD",Orders!$F$2:$F$20001,"Delivered")+COUNTIFS(Orders!$C$2:$C$20001,$A1681,Orders!$E$2:$E$20001,"COD",Orders!$F$2:$F$20001,"RTO"))</f>
        <v/>
      </c>
      <c r="C1681" s="17" t="str">
        <f aca="false">IF($A1681="","",COUNTIFS(Orders!$C$2:$C$20001,$A1681,Orders!$E$2:$E$20001,"COD",Orders!$F$2:$F$20001,"RTO"))</f>
        <v/>
      </c>
      <c r="D1681" s="18" t="str">
        <f aca="false">IF($A1681="","",IFERROR(C1681/B1681,0))</f>
        <v/>
      </c>
      <c r="E1681" s="17" t="str">
        <f aca="false">IF($A1681="","",COUNTIFS(Orders!$C$2:$C$20001,$A1681,Orders!$E$2:$E$20001,"Prepaid",Orders!$F$2:$F$20001,"Delivered")+COUNTIFS(Orders!$C$2:$C$20001,$A1681,Orders!$E$2:$E$20001,"Prepaid",Orders!$F$2:$F$20001,"RTO"))</f>
        <v/>
      </c>
      <c r="F1681" s="17" t="str">
        <f aca="false">IF($A1681="","",COUNTIFS(Orders!$C$2:$C$20001,$A1681,Orders!$E$2:$E$20001,"Prepaid",Orders!$F$2:$F$20001,"RTO"))</f>
        <v/>
      </c>
      <c r="G1681" s="18" t="str">
        <f aca="false">IF($A1681="","",IFERROR(F1681/E1681,0))</f>
        <v/>
      </c>
      <c r="H1681" s="19" t="str">
        <f aca="false">IF($A1681="","",C1681*Settings!$B$11)</f>
        <v/>
      </c>
      <c r="I1681" s="20" t="str">
        <f aca="false">IF($A1681="","",IF(N(H1681)=0,"",RANK(H1681,$H$5:$H$2004)))</f>
        <v/>
      </c>
      <c r="J1681" s="21" t="str">
        <f aca="false">IF($A1681="","",IF(B1681=0,"No COD orders",IF(B1681&lt;Settings!$B$8,"Too few orders",IF(D1681&gt;=Settings!$B$9,"Restrict COD or verify","Keep COD"))))</f>
        <v/>
      </c>
    </row>
    <row r="1682" customFormat="false" ht="15" hidden="false" customHeight="false" outlineLevel="0" collapsed="false">
      <c r="A1682" s="27"/>
      <c r="B1682" s="17" t="str">
        <f aca="false">IF($A1682="","",COUNTIFS(Orders!$C$2:$C$20001,$A1682,Orders!$E$2:$E$20001,"COD",Orders!$F$2:$F$20001,"Delivered")+COUNTIFS(Orders!$C$2:$C$20001,$A1682,Orders!$E$2:$E$20001,"COD",Orders!$F$2:$F$20001,"RTO"))</f>
        <v/>
      </c>
      <c r="C1682" s="17" t="str">
        <f aca="false">IF($A1682="","",COUNTIFS(Orders!$C$2:$C$20001,$A1682,Orders!$E$2:$E$20001,"COD",Orders!$F$2:$F$20001,"RTO"))</f>
        <v/>
      </c>
      <c r="D1682" s="18" t="str">
        <f aca="false">IF($A1682="","",IFERROR(C1682/B1682,0))</f>
        <v/>
      </c>
      <c r="E1682" s="17" t="str">
        <f aca="false">IF($A1682="","",COUNTIFS(Orders!$C$2:$C$20001,$A1682,Orders!$E$2:$E$20001,"Prepaid",Orders!$F$2:$F$20001,"Delivered")+COUNTIFS(Orders!$C$2:$C$20001,$A1682,Orders!$E$2:$E$20001,"Prepaid",Orders!$F$2:$F$20001,"RTO"))</f>
        <v/>
      </c>
      <c r="F1682" s="17" t="str">
        <f aca="false">IF($A1682="","",COUNTIFS(Orders!$C$2:$C$20001,$A1682,Orders!$E$2:$E$20001,"Prepaid",Orders!$F$2:$F$20001,"RTO"))</f>
        <v/>
      </c>
      <c r="G1682" s="18" t="str">
        <f aca="false">IF($A1682="","",IFERROR(F1682/E1682,0))</f>
        <v/>
      </c>
      <c r="H1682" s="19" t="str">
        <f aca="false">IF($A1682="","",C1682*Settings!$B$11)</f>
        <v/>
      </c>
      <c r="I1682" s="20" t="str">
        <f aca="false">IF($A1682="","",IF(N(H1682)=0,"",RANK(H1682,$H$5:$H$2004)))</f>
        <v/>
      </c>
      <c r="J1682" s="21" t="str">
        <f aca="false">IF($A1682="","",IF(B1682=0,"No COD orders",IF(B1682&lt;Settings!$B$8,"Too few orders",IF(D1682&gt;=Settings!$B$9,"Restrict COD or verify","Keep COD"))))</f>
        <v/>
      </c>
    </row>
    <row r="1683" customFormat="false" ht="15" hidden="false" customHeight="false" outlineLevel="0" collapsed="false">
      <c r="A1683" s="27"/>
      <c r="B1683" s="17" t="str">
        <f aca="false">IF($A1683="","",COUNTIFS(Orders!$C$2:$C$20001,$A1683,Orders!$E$2:$E$20001,"COD",Orders!$F$2:$F$20001,"Delivered")+COUNTIFS(Orders!$C$2:$C$20001,$A1683,Orders!$E$2:$E$20001,"COD",Orders!$F$2:$F$20001,"RTO"))</f>
        <v/>
      </c>
      <c r="C1683" s="17" t="str">
        <f aca="false">IF($A1683="","",COUNTIFS(Orders!$C$2:$C$20001,$A1683,Orders!$E$2:$E$20001,"COD",Orders!$F$2:$F$20001,"RTO"))</f>
        <v/>
      </c>
      <c r="D1683" s="18" t="str">
        <f aca="false">IF($A1683="","",IFERROR(C1683/B1683,0))</f>
        <v/>
      </c>
      <c r="E1683" s="17" t="str">
        <f aca="false">IF($A1683="","",COUNTIFS(Orders!$C$2:$C$20001,$A1683,Orders!$E$2:$E$20001,"Prepaid",Orders!$F$2:$F$20001,"Delivered")+COUNTIFS(Orders!$C$2:$C$20001,$A1683,Orders!$E$2:$E$20001,"Prepaid",Orders!$F$2:$F$20001,"RTO"))</f>
        <v/>
      </c>
      <c r="F1683" s="17" t="str">
        <f aca="false">IF($A1683="","",COUNTIFS(Orders!$C$2:$C$20001,$A1683,Orders!$E$2:$E$20001,"Prepaid",Orders!$F$2:$F$20001,"RTO"))</f>
        <v/>
      </c>
      <c r="G1683" s="18" t="str">
        <f aca="false">IF($A1683="","",IFERROR(F1683/E1683,0))</f>
        <v/>
      </c>
      <c r="H1683" s="19" t="str">
        <f aca="false">IF($A1683="","",C1683*Settings!$B$11)</f>
        <v/>
      </c>
      <c r="I1683" s="20" t="str">
        <f aca="false">IF($A1683="","",IF(N(H1683)=0,"",RANK(H1683,$H$5:$H$2004)))</f>
        <v/>
      </c>
      <c r="J1683" s="21" t="str">
        <f aca="false">IF($A1683="","",IF(B1683=0,"No COD orders",IF(B1683&lt;Settings!$B$8,"Too few orders",IF(D1683&gt;=Settings!$B$9,"Restrict COD or verify","Keep COD"))))</f>
        <v/>
      </c>
    </row>
    <row r="1684" customFormat="false" ht="15" hidden="false" customHeight="false" outlineLevel="0" collapsed="false">
      <c r="A1684" s="27"/>
      <c r="B1684" s="17" t="str">
        <f aca="false">IF($A1684="","",COUNTIFS(Orders!$C$2:$C$20001,$A1684,Orders!$E$2:$E$20001,"COD",Orders!$F$2:$F$20001,"Delivered")+COUNTIFS(Orders!$C$2:$C$20001,$A1684,Orders!$E$2:$E$20001,"COD",Orders!$F$2:$F$20001,"RTO"))</f>
        <v/>
      </c>
      <c r="C1684" s="17" t="str">
        <f aca="false">IF($A1684="","",COUNTIFS(Orders!$C$2:$C$20001,$A1684,Orders!$E$2:$E$20001,"COD",Orders!$F$2:$F$20001,"RTO"))</f>
        <v/>
      </c>
      <c r="D1684" s="18" t="str">
        <f aca="false">IF($A1684="","",IFERROR(C1684/B1684,0))</f>
        <v/>
      </c>
      <c r="E1684" s="17" t="str">
        <f aca="false">IF($A1684="","",COUNTIFS(Orders!$C$2:$C$20001,$A1684,Orders!$E$2:$E$20001,"Prepaid",Orders!$F$2:$F$20001,"Delivered")+COUNTIFS(Orders!$C$2:$C$20001,$A1684,Orders!$E$2:$E$20001,"Prepaid",Orders!$F$2:$F$20001,"RTO"))</f>
        <v/>
      </c>
      <c r="F1684" s="17" t="str">
        <f aca="false">IF($A1684="","",COUNTIFS(Orders!$C$2:$C$20001,$A1684,Orders!$E$2:$E$20001,"Prepaid",Orders!$F$2:$F$20001,"RTO"))</f>
        <v/>
      </c>
      <c r="G1684" s="18" t="str">
        <f aca="false">IF($A1684="","",IFERROR(F1684/E1684,0))</f>
        <v/>
      </c>
      <c r="H1684" s="19" t="str">
        <f aca="false">IF($A1684="","",C1684*Settings!$B$11)</f>
        <v/>
      </c>
      <c r="I1684" s="20" t="str">
        <f aca="false">IF($A1684="","",IF(N(H1684)=0,"",RANK(H1684,$H$5:$H$2004)))</f>
        <v/>
      </c>
      <c r="J1684" s="21" t="str">
        <f aca="false">IF($A1684="","",IF(B1684=0,"No COD orders",IF(B1684&lt;Settings!$B$8,"Too few orders",IF(D1684&gt;=Settings!$B$9,"Restrict COD or verify","Keep COD"))))</f>
        <v/>
      </c>
    </row>
    <row r="1685" customFormat="false" ht="15" hidden="false" customHeight="false" outlineLevel="0" collapsed="false">
      <c r="A1685" s="27"/>
      <c r="B1685" s="17" t="str">
        <f aca="false">IF($A1685="","",COUNTIFS(Orders!$C$2:$C$20001,$A1685,Orders!$E$2:$E$20001,"COD",Orders!$F$2:$F$20001,"Delivered")+COUNTIFS(Orders!$C$2:$C$20001,$A1685,Orders!$E$2:$E$20001,"COD",Orders!$F$2:$F$20001,"RTO"))</f>
        <v/>
      </c>
      <c r="C1685" s="17" t="str">
        <f aca="false">IF($A1685="","",COUNTIFS(Orders!$C$2:$C$20001,$A1685,Orders!$E$2:$E$20001,"COD",Orders!$F$2:$F$20001,"RTO"))</f>
        <v/>
      </c>
      <c r="D1685" s="18" t="str">
        <f aca="false">IF($A1685="","",IFERROR(C1685/B1685,0))</f>
        <v/>
      </c>
      <c r="E1685" s="17" t="str">
        <f aca="false">IF($A1685="","",COUNTIFS(Orders!$C$2:$C$20001,$A1685,Orders!$E$2:$E$20001,"Prepaid",Orders!$F$2:$F$20001,"Delivered")+COUNTIFS(Orders!$C$2:$C$20001,$A1685,Orders!$E$2:$E$20001,"Prepaid",Orders!$F$2:$F$20001,"RTO"))</f>
        <v/>
      </c>
      <c r="F1685" s="17" t="str">
        <f aca="false">IF($A1685="","",COUNTIFS(Orders!$C$2:$C$20001,$A1685,Orders!$E$2:$E$20001,"Prepaid",Orders!$F$2:$F$20001,"RTO"))</f>
        <v/>
      </c>
      <c r="G1685" s="18" t="str">
        <f aca="false">IF($A1685="","",IFERROR(F1685/E1685,0))</f>
        <v/>
      </c>
      <c r="H1685" s="19" t="str">
        <f aca="false">IF($A1685="","",C1685*Settings!$B$11)</f>
        <v/>
      </c>
      <c r="I1685" s="20" t="str">
        <f aca="false">IF($A1685="","",IF(N(H1685)=0,"",RANK(H1685,$H$5:$H$2004)))</f>
        <v/>
      </c>
      <c r="J1685" s="21" t="str">
        <f aca="false">IF($A1685="","",IF(B1685=0,"No COD orders",IF(B1685&lt;Settings!$B$8,"Too few orders",IF(D1685&gt;=Settings!$B$9,"Restrict COD or verify","Keep COD"))))</f>
        <v/>
      </c>
    </row>
    <row r="1686" customFormat="false" ht="15" hidden="false" customHeight="false" outlineLevel="0" collapsed="false">
      <c r="A1686" s="27"/>
      <c r="B1686" s="17" t="str">
        <f aca="false">IF($A1686="","",COUNTIFS(Orders!$C$2:$C$20001,$A1686,Orders!$E$2:$E$20001,"COD",Orders!$F$2:$F$20001,"Delivered")+COUNTIFS(Orders!$C$2:$C$20001,$A1686,Orders!$E$2:$E$20001,"COD",Orders!$F$2:$F$20001,"RTO"))</f>
        <v/>
      </c>
      <c r="C1686" s="17" t="str">
        <f aca="false">IF($A1686="","",COUNTIFS(Orders!$C$2:$C$20001,$A1686,Orders!$E$2:$E$20001,"COD",Orders!$F$2:$F$20001,"RTO"))</f>
        <v/>
      </c>
      <c r="D1686" s="18" t="str">
        <f aca="false">IF($A1686="","",IFERROR(C1686/B1686,0))</f>
        <v/>
      </c>
      <c r="E1686" s="17" t="str">
        <f aca="false">IF($A1686="","",COUNTIFS(Orders!$C$2:$C$20001,$A1686,Orders!$E$2:$E$20001,"Prepaid",Orders!$F$2:$F$20001,"Delivered")+COUNTIFS(Orders!$C$2:$C$20001,$A1686,Orders!$E$2:$E$20001,"Prepaid",Orders!$F$2:$F$20001,"RTO"))</f>
        <v/>
      </c>
      <c r="F1686" s="17" t="str">
        <f aca="false">IF($A1686="","",COUNTIFS(Orders!$C$2:$C$20001,$A1686,Orders!$E$2:$E$20001,"Prepaid",Orders!$F$2:$F$20001,"RTO"))</f>
        <v/>
      </c>
      <c r="G1686" s="18" t="str">
        <f aca="false">IF($A1686="","",IFERROR(F1686/E1686,0))</f>
        <v/>
      </c>
      <c r="H1686" s="19" t="str">
        <f aca="false">IF($A1686="","",C1686*Settings!$B$11)</f>
        <v/>
      </c>
      <c r="I1686" s="20" t="str">
        <f aca="false">IF($A1686="","",IF(N(H1686)=0,"",RANK(H1686,$H$5:$H$2004)))</f>
        <v/>
      </c>
      <c r="J1686" s="21" t="str">
        <f aca="false">IF($A1686="","",IF(B1686=0,"No COD orders",IF(B1686&lt;Settings!$B$8,"Too few orders",IF(D1686&gt;=Settings!$B$9,"Restrict COD or verify","Keep COD"))))</f>
        <v/>
      </c>
    </row>
    <row r="1687" customFormat="false" ht="15" hidden="false" customHeight="false" outlineLevel="0" collapsed="false">
      <c r="A1687" s="27"/>
      <c r="B1687" s="17" t="str">
        <f aca="false">IF($A1687="","",COUNTIFS(Orders!$C$2:$C$20001,$A1687,Orders!$E$2:$E$20001,"COD",Orders!$F$2:$F$20001,"Delivered")+COUNTIFS(Orders!$C$2:$C$20001,$A1687,Orders!$E$2:$E$20001,"COD",Orders!$F$2:$F$20001,"RTO"))</f>
        <v/>
      </c>
      <c r="C1687" s="17" t="str">
        <f aca="false">IF($A1687="","",COUNTIFS(Orders!$C$2:$C$20001,$A1687,Orders!$E$2:$E$20001,"COD",Orders!$F$2:$F$20001,"RTO"))</f>
        <v/>
      </c>
      <c r="D1687" s="18" t="str">
        <f aca="false">IF($A1687="","",IFERROR(C1687/B1687,0))</f>
        <v/>
      </c>
      <c r="E1687" s="17" t="str">
        <f aca="false">IF($A1687="","",COUNTIFS(Orders!$C$2:$C$20001,$A1687,Orders!$E$2:$E$20001,"Prepaid",Orders!$F$2:$F$20001,"Delivered")+COUNTIFS(Orders!$C$2:$C$20001,$A1687,Orders!$E$2:$E$20001,"Prepaid",Orders!$F$2:$F$20001,"RTO"))</f>
        <v/>
      </c>
      <c r="F1687" s="17" t="str">
        <f aca="false">IF($A1687="","",COUNTIFS(Orders!$C$2:$C$20001,$A1687,Orders!$E$2:$E$20001,"Prepaid",Orders!$F$2:$F$20001,"RTO"))</f>
        <v/>
      </c>
      <c r="G1687" s="18" t="str">
        <f aca="false">IF($A1687="","",IFERROR(F1687/E1687,0))</f>
        <v/>
      </c>
      <c r="H1687" s="19" t="str">
        <f aca="false">IF($A1687="","",C1687*Settings!$B$11)</f>
        <v/>
      </c>
      <c r="I1687" s="20" t="str">
        <f aca="false">IF($A1687="","",IF(N(H1687)=0,"",RANK(H1687,$H$5:$H$2004)))</f>
        <v/>
      </c>
      <c r="J1687" s="21" t="str">
        <f aca="false">IF($A1687="","",IF(B1687=0,"No COD orders",IF(B1687&lt;Settings!$B$8,"Too few orders",IF(D1687&gt;=Settings!$B$9,"Restrict COD or verify","Keep COD"))))</f>
        <v/>
      </c>
    </row>
    <row r="1688" customFormat="false" ht="15" hidden="false" customHeight="false" outlineLevel="0" collapsed="false">
      <c r="A1688" s="27"/>
      <c r="B1688" s="17" t="str">
        <f aca="false">IF($A1688="","",COUNTIFS(Orders!$C$2:$C$20001,$A1688,Orders!$E$2:$E$20001,"COD",Orders!$F$2:$F$20001,"Delivered")+COUNTIFS(Orders!$C$2:$C$20001,$A1688,Orders!$E$2:$E$20001,"COD",Orders!$F$2:$F$20001,"RTO"))</f>
        <v/>
      </c>
      <c r="C1688" s="17" t="str">
        <f aca="false">IF($A1688="","",COUNTIFS(Orders!$C$2:$C$20001,$A1688,Orders!$E$2:$E$20001,"COD",Orders!$F$2:$F$20001,"RTO"))</f>
        <v/>
      </c>
      <c r="D1688" s="18" t="str">
        <f aca="false">IF($A1688="","",IFERROR(C1688/B1688,0))</f>
        <v/>
      </c>
      <c r="E1688" s="17" t="str">
        <f aca="false">IF($A1688="","",COUNTIFS(Orders!$C$2:$C$20001,$A1688,Orders!$E$2:$E$20001,"Prepaid",Orders!$F$2:$F$20001,"Delivered")+COUNTIFS(Orders!$C$2:$C$20001,$A1688,Orders!$E$2:$E$20001,"Prepaid",Orders!$F$2:$F$20001,"RTO"))</f>
        <v/>
      </c>
      <c r="F1688" s="17" t="str">
        <f aca="false">IF($A1688="","",COUNTIFS(Orders!$C$2:$C$20001,$A1688,Orders!$E$2:$E$20001,"Prepaid",Orders!$F$2:$F$20001,"RTO"))</f>
        <v/>
      </c>
      <c r="G1688" s="18" t="str">
        <f aca="false">IF($A1688="","",IFERROR(F1688/E1688,0))</f>
        <v/>
      </c>
      <c r="H1688" s="19" t="str">
        <f aca="false">IF($A1688="","",C1688*Settings!$B$11)</f>
        <v/>
      </c>
      <c r="I1688" s="20" t="str">
        <f aca="false">IF($A1688="","",IF(N(H1688)=0,"",RANK(H1688,$H$5:$H$2004)))</f>
        <v/>
      </c>
      <c r="J1688" s="21" t="str">
        <f aca="false">IF($A1688="","",IF(B1688=0,"No COD orders",IF(B1688&lt;Settings!$B$8,"Too few orders",IF(D1688&gt;=Settings!$B$9,"Restrict COD or verify","Keep COD"))))</f>
        <v/>
      </c>
    </row>
    <row r="1689" customFormat="false" ht="15" hidden="false" customHeight="false" outlineLevel="0" collapsed="false">
      <c r="A1689" s="27"/>
      <c r="B1689" s="17" t="str">
        <f aca="false">IF($A1689="","",COUNTIFS(Orders!$C$2:$C$20001,$A1689,Orders!$E$2:$E$20001,"COD",Orders!$F$2:$F$20001,"Delivered")+COUNTIFS(Orders!$C$2:$C$20001,$A1689,Orders!$E$2:$E$20001,"COD",Orders!$F$2:$F$20001,"RTO"))</f>
        <v/>
      </c>
      <c r="C1689" s="17" t="str">
        <f aca="false">IF($A1689="","",COUNTIFS(Orders!$C$2:$C$20001,$A1689,Orders!$E$2:$E$20001,"COD",Orders!$F$2:$F$20001,"RTO"))</f>
        <v/>
      </c>
      <c r="D1689" s="18" t="str">
        <f aca="false">IF($A1689="","",IFERROR(C1689/B1689,0))</f>
        <v/>
      </c>
      <c r="E1689" s="17" t="str">
        <f aca="false">IF($A1689="","",COUNTIFS(Orders!$C$2:$C$20001,$A1689,Orders!$E$2:$E$20001,"Prepaid",Orders!$F$2:$F$20001,"Delivered")+COUNTIFS(Orders!$C$2:$C$20001,$A1689,Orders!$E$2:$E$20001,"Prepaid",Orders!$F$2:$F$20001,"RTO"))</f>
        <v/>
      </c>
      <c r="F1689" s="17" t="str">
        <f aca="false">IF($A1689="","",COUNTIFS(Orders!$C$2:$C$20001,$A1689,Orders!$E$2:$E$20001,"Prepaid",Orders!$F$2:$F$20001,"RTO"))</f>
        <v/>
      </c>
      <c r="G1689" s="18" t="str">
        <f aca="false">IF($A1689="","",IFERROR(F1689/E1689,0))</f>
        <v/>
      </c>
      <c r="H1689" s="19" t="str">
        <f aca="false">IF($A1689="","",C1689*Settings!$B$11)</f>
        <v/>
      </c>
      <c r="I1689" s="20" t="str">
        <f aca="false">IF($A1689="","",IF(N(H1689)=0,"",RANK(H1689,$H$5:$H$2004)))</f>
        <v/>
      </c>
      <c r="J1689" s="21" t="str">
        <f aca="false">IF($A1689="","",IF(B1689=0,"No COD orders",IF(B1689&lt;Settings!$B$8,"Too few orders",IF(D1689&gt;=Settings!$B$9,"Restrict COD or verify","Keep COD"))))</f>
        <v/>
      </c>
    </row>
    <row r="1690" customFormat="false" ht="15" hidden="false" customHeight="false" outlineLevel="0" collapsed="false">
      <c r="A1690" s="27"/>
      <c r="B1690" s="17" t="str">
        <f aca="false">IF($A1690="","",COUNTIFS(Orders!$C$2:$C$20001,$A1690,Orders!$E$2:$E$20001,"COD",Orders!$F$2:$F$20001,"Delivered")+COUNTIFS(Orders!$C$2:$C$20001,$A1690,Orders!$E$2:$E$20001,"COD",Orders!$F$2:$F$20001,"RTO"))</f>
        <v/>
      </c>
      <c r="C1690" s="17" t="str">
        <f aca="false">IF($A1690="","",COUNTIFS(Orders!$C$2:$C$20001,$A1690,Orders!$E$2:$E$20001,"COD",Orders!$F$2:$F$20001,"RTO"))</f>
        <v/>
      </c>
      <c r="D1690" s="18" t="str">
        <f aca="false">IF($A1690="","",IFERROR(C1690/B1690,0))</f>
        <v/>
      </c>
      <c r="E1690" s="17" t="str">
        <f aca="false">IF($A1690="","",COUNTIFS(Orders!$C$2:$C$20001,$A1690,Orders!$E$2:$E$20001,"Prepaid",Orders!$F$2:$F$20001,"Delivered")+COUNTIFS(Orders!$C$2:$C$20001,$A1690,Orders!$E$2:$E$20001,"Prepaid",Orders!$F$2:$F$20001,"RTO"))</f>
        <v/>
      </c>
      <c r="F1690" s="17" t="str">
        <f aca="false">IF($A1690="","",COUNTIFS(Orders!$C$2:$C$20001,$A1690,Orders!$E$2:$E$20001,"Prepaid",Orders!$F$2:$F$20001,"RTO"))</f>
        <v/>
      </c>
      <c r="G1690" s="18" t="str">
        <f aca="false">IF($A1690="","",IFERROR(F1690/E1690,0))</f>
        <v/>
      </c>
      <c r="H1690" s="19" t="str">
        <f aca="false">IF($A1690="","",C1690*Settings!$B$11)</f>
        <v/>
      </c>
      <c r="I1690" s="20" t="str">
        <f aca="false">IF($A1690="","",IF(N(H1690)=0,"",RANK(H1690,$H$5:$H$2004)))</f>
        <v/>
      </c>
      <c r="J1690" s="21" t="str">
        <f aca="false">IF($A1690="","",IF(B1690=0,"No COD orders",IF(B1690&lt;Settings!$B$8,"Too few orders",IF(D1690&gt;=Settings!$B$9,"Restrict COD or verify","Keep COD"))))</f>
        <v/>
      </c>
    </row>
    <row r="1691" customFormat="false" ht="15" hidden="false" customHeight="false" outlineLevel="0" collapsed="false">
      <c r="A1691" s="27"/>
      <c r="B1691" s="17" t="str">
        <f aca="false">IF($A1691="","",COUNTIFS(Orders!$C$2:$C$20001,$A1691,Orders!$E$2:$E$20001,"COD",Orders!$F$2:$F$20001,"Delivered")+COUNTIFS(Orders!$C$2:$C$20001,$A1691,Orders!$E$2:$E$20001,"COD",Orders!$F$2:$F$20001,"RTO"))</f>
        <v/>
      </c>
      <c r="C1691" s="17" t="str">
        <f aca="false">IF($A1691="","",COUNTIFS(Orders!$C$2:$C$20001,$A1691,Orders!$E$2:$E$20001,"COD",Orders!$F$2:$F$20001,"RTO"))</f>
        <v/>
      </c>
      <c r="D1691" s="18" t="str">
        <f aca="false">IF($A1691="","",IFERROR(C1691/B1691,0))</f>
        <v/>
      </c>
      <c r="E1691" s="17" t="str">
        <f aca="false">IF($A1691="","",COUNTIFS(Orders!$C$2:$C$20001,$A1691,Orders!$E$2:$E$20001,"Prepaid",Orders!$F$2:$F$20001,"Delivered")+COUNTIFS(Orders!$C$2:$C$20001,$A1691,Orders!$E$2:$E$20001,"Prepaid",Orders!$F$2:$F$20001,"RTO"))</f>
        <v/>
      </c>
      <c r="F1691" s="17" t="str">
        <f aca="false">IF($A1691="","",COUNTIFS(Orders!$C$2:$C$20001,$A1691,Orders!$E$2:$E$20001,"Prepaid",Orders!$F$2:$F$20001,"RTO"))</f>
        <v/>
      </c>
      <c r="G1691" s="18" t="str">
        <f aca="false">IF($A1691="","",IFERROR(F1691/E1691,0))</f>
        <v/>
      </c>
      <c r="H1691" s="19" t="str">
        <f aca="false">IF($A1691="","",C1691*Settings!$B$11)</f>
        <v/>
      </c>
      <c r="I1691" s="20" t="str">
        <f aca="false">IF($A1691="","",IF(N(H1691)=0,"",RANK(H1691,$H$5:$H$2004)))</f>
        <v/>
      </c>
      <c r="J1691" s="21" t="str">
        <f aca="false">IF($A1691="","",IF(B1691=0,"No COD orders",IF(B1691&lt;Settings!$B$8,"Too few orders",IF(D1691&gt;=Settings!$B$9,"Restrict COD or verify","Keep COD"))))</f>
        <v/>
      </c>
    </row>
    <row r="1692" customFormat="false" ht="15" hidden="false" customHeight="false" outlineLevel="0" collapsed="false">
      <c r="A1692" s="27"/>
      <c r="B1692" s="17" t="str">
        <f aca="false">IF($A1692="","",COUNTIFS(Orders!$C$2:$C$20001,$A1692,Orders!$E$2:$E$20001,"COD",Orders!$F$2:$F$20001,"Delivered")+COUNTIFS(Orders!$C$2:$C$20001,$A1692,Orders!$E$2:$E$20001,"COD",Orders!$F$2:$F$20001,"RTO"))</f>
        <v/>
      </c>
      <c r="C1692" s="17" t="str">
        <f aca="false">IF($A1692="","",COUNTIFS(Orders!$C$2:$C$20001,$A1692,Orders!$E$2:$E$20001,"COD",Orders!$F$2:$F$20001,"RTO"))</f>
        <v/>
      </c>
      <c r="D1692" s="18" t="str">
        <f aca="false">IF($A1692="","",IFERROR(C1692/B1692,0))</f>
        <v/>
      </c>
      <c r="E1692" s="17" t="str">
        <f aca="false">IF($A1692="","",COUNTIFS(Orders!$C$2:$C$20001,$A1692,Orders!$E$2:$E$20001,"Prepaid",Orders!$F$2:$F$20001,"Delivered")+COUNTIFS(Orders!$C$2:$C$20001,$A1692,Orders!$E$2:$E$20001,"Prepaid",Orders!$F$2:$F$20001,"RTO"))</f>
        <v/>
      </c>
      <c r="F1692" s="17" t="str">
        <f aca="false">IF($A1692="","",COUNTIFS(Orders!$C$2:$C$20001,$A1692,Orders!$E$2:$E$20001,"Prepaid",Orders!$F$2:$F$20001,"RTO"))</f>
        <v/>
      </c>
      <c r="G1692" s="18" t="str">
        <f aca="false">IF($A1692="","",IFERROR(F1692/E1692,0))</f>
        <v/>
      </c>
      <c r="H1692" s="19" t="str">
        <f aca="false">IF($A1692="","",C1692*Settings!$B$11)</f>
        <v/>
      </c>
      <c r="I1692" s="20" t="str">
        <f aca="false">IF($A1692="","",IF(N(H1692)=0,"",RANK(H1692,$H$5:$H$2004)))</f>
        <v/>
      </c>
      <c r="J1692" s="21" t="str">
        <f aca="false">IF($A1692="","",IF(B1692=0,"No COD orders",IF(B1692&lt;Settings!$B$8,"Too few orders",IF(D1692&gt;=Settings!$B$9,"Restrict COD or verify","Keep COD"))))</f>
        <v/>
      </c>
    </row>
    <row r="1693" customFormat="false" ht="15" hidden="false" customHeight="false" outlineLevel="0" collapsed="false">
      <c r="A1693" s="27"/>
      <c r="B1693" s="17" t="str">
        <f aca="false">IF($A1693="","",COUNTIFS(Orders!$C$2:$C$20001,$A1693,Orders!$E$2:$E$20001,"COD",Orders!$F$2:$F$20001,"Delivered")+COUNTIFS(Orders!$C$2:$C$20001,$A1693,Orders!$E$2:$E$20001,"COD",Orders!$F$2:$F$20001,"RTO"))</f>
        <v/>
      </c>
      <c r="C1693" s="17" t="str">
        <f aca="false">IF($A1693="","",COUNTIFS(Orders!$C$2:$C$20001,$A1693,Orders!$E$2:$E$20001,"COD",Orders!$F$2:$F$20001,"RTO"))</f>
        <v/>
      </c>
      <c r="D1693" s="18" t="str">
        <f aca="false">IF($A1693="","",IFERROR(C1693/B1693,0))</f>
        <v/>
      </c>
      <c r="E1693" s="17" t="str">
        <f aca="false">IF($A1693="","",COUNTIFS(Orders!$C$2:$C$20001,$A1693,Orders!$E$2:$E$20001,"Prepaid",Orders!$F$2:$F$20001,"Delivered")+COUNTIFS(Orders!$C$2:$C$20001,$A1693,Orders!$E$2:$E$20001,"Prepaid",Orders!$F$2:$F$20001,"RTO"))</f>
        <v/>
      </c>
      <c r="F1693" s="17" t="str">
        <f aca="false">IF($A1693="","",COUNTIFS(Orders!$C$2:$C$20001,$A1693,Orders!$E$2:$E$20001,"Prepaid",Orders!$F$2:$F$20001,"RTO"))</f>
        <v/>
      </c>
      <c r="G1693" s="18" t="str">
        <f aca="false">IF($A1693="","",IFERROR(F1693/E1693,0))</f>
        <v/>
      </c>
      <c r="H1693" s="19" t="str">
        <f aca="false">IF($A1693="","",C1693*Settings!$B$11)</f>
        <v/>
      </c>
      <c r="I1693" s="20" t="str">
        <f aca="false">IF($A1693="","",IF(N(H1693)=0,"",RANK(H1693,$H$5:$H$2004)))</f>
        <v/>
      </c>
      <c r="J1693" s="21" t="str">
        <f aca="false">IF($A1693="","",IF(B1693=0,"No COD orders",IF(B1693&lt;Settings!$B$8,"Too few orders",IF(D1693&gt;=Settings!$B$9,"Restrict COD or verify","Keep COD"))))</f>
        <v/>
      </c>
    </row>
    <row r="1694" customFormat="false" ht="15" hidden="false" customHeight="false" outlineLevel="0" collapsed="false">
      <c r="A1694" s="27"/>
      <c r="B1694" s="17" t="str">
        <f aca="false">IF($A1694="","",COUNTIFS(Orders!$C$2:$C$20001,$A1694,Orders!$E$2:$E$20001,"COD",Orders!$F$2:$F$20001,"Delivered")+COUNTIFS(Orders!$C$2:$C$20001,$A1694,Orders!$E$2:$E$20001,"COD",Orders!$F$2:$F$20001,"RTO"))</f>
        <v/>
      </c>
      <c r="C1694" s="17" t="str">
        <f aca="false">IF($A1694="","",COUNTIFS(Orders!$C$2:$C$20001,$A1694,Orders!$E$2:$E$20001,"COD",Orders!$F$2:$F$20001,"RTO"))</f>
        <v/>
      </c>
      <c r="D1694" s="18" t="str">
        <f aca="false">IF($A1694="","",IFERROR(C1694/B1694,0))</f>
        <v/>
      </c>
      <c r="E1694" s="17" t="str">
        <f aca="false">IF($A1694="","",COUNTIFS(Orders!$C$2:$C$20001,$A1694,Orders!$E$2:$E$20001,"Prepaid",Orders!$F$2:$F$20001,"Delivered")+COUNTIFS(Orders!$C$2:$C$20001,$A1694,Orders!$E$2:$E$20001,"Prepaid",Orders!$F$2:$F$20001,"RTO"))</f>
        <v/>
      </c>
      <c r="F1694" s="17" t="str">
        <f aca="false">IF($A1694="","",COUNTIFS(Orders!$C$2:$C$20001,$A1694,Orders!$E$2:$E$20001,"Prepaid",Orders!$F$2:$F$20001,"RTO"))</f>
        <v/>
      </c>
      <c r="G1694" s="18" t="str">
        <f aca="false">IF($A1694="","",IFERROR(F1694/E1694,0))</f>
        <v/>
      </c>
      <c r="H1694" s="19" t="str">
        <f aca="false">IF($A1694="","",C1694*Settings!$B$11)</f>
        <v/>
      </c>
      <c r="I1694" s="20" t="str">
        <f aca="false">IF($A1694="","",IF(N(H1694)=0,"",RANK(H1694,$H$5:$H$2004)))</f>
        <v/>
      </c>
      <c r="J1694" s="21" t="str">
        <f aca="false">IF($A1694="","",IF(B1694=0,"No COD orders",IF(B1694&lt;Settings!$B$8,"Too few orders",IF(D1694&gt;=Settings!$B$9,"Restrict COD or verify","Keep COD"))))</f>
        <v/>
      </c>
    </row>
    <row r="1695" customFormat="false" ht="15" hidden="false" customHeight="false" outlineLevel="0" collapsed="false">
      <c r="A1695" s="27"/>
      <c r="B1695" s="17" t="str">
        <f aca="false">IF($A1695="","",COUNTIFS(Orders!$C$2:$C$20001,$A1695,Orders!$E$2:$E$20001,"COD",Orders!$F$2:$F$20001,"Delivered")+COUNTIFS(Orders!$C$2:$C$20001,$A1695,Orders!$E$2:$E$20001,"COD",Orders!$F$2:$F$20001,"RTO"))</f>
        <v/>
      </c>
      <c r="C1695" s="17" t="str">
        <f aca="false">IF($A1695="","",COUNTIFS(Orders!$C$2:$C$20001,$A1695,Orders!$E$2:$E$20001,"COD",Orders!$F$2:$F$20001,"RTO"))</f>
        <v/>
      </c>
      <c r="D1695" s="18" t="str">
        <f aca="false">IF($A1695="","",IFERROR(C1695/B1695,0))</f>
        <v/>
      </c>
      <c r="E1695" s="17" t="str">
        <f aca="false">IF($A1695="","",COUNTIFS(Orders!$C$2:$C$20001,$A1695,Orders!$E$2:$E$20001,"Prepaid",Orders!$F$2:$F$20001,"Delivered")+COUNTIFS(Orders!$C$2:$C$20001,$A1695,Orders!$E$2:$E$20001,"Prepaid",Orders!$F$2:$F$20001,"RTO"))</f>
        <v/>
      </c>
      <c r="F1695" s="17" t="str">
        <f aca="false">IF($A1695="","",COUNTIFS(Orders!$C$2:$C$20001,$A1695,Orders!$E$2:$E$20001,"Prepaid",Orders!$F$2:$F$20001,"RTO"))</f>
        <v/>
      </c>
      <c r="G1695" s="18" t="str">
        <f aca="false">IF($A1695="","",IFERROR(F1695/E1695,0))</f>
        <v/>
      </c>
      <c r="H1695" s="19" t="str">
        <f aca="false">IF($A1695="","",C1695*Settings!$B$11)</f>
        <v/>
      </c>
      <c r="I1695" s="20" t="str">
        <f aca="false">IF($A1695="","",IF(N(H1695)=0,"",RANK(H1695,$H$5:$H$2004)))</f>
        <v/>
      </c>
      <c r="J1695" s="21" t="str">
        <f aca="false">IF($A1695="","",IF(B1695=0,"No COD orders",IF(B1695&lt;Settings!$B$8,"Too few orders",IF(D1695&gt;=Settings!$B$9,"Restrict COD or verify","Keep COD"))))</f>
        <v/>
      </c>
    </row>
    <row r="1696" customFormat="false" ht="15" hidden="false" customHeight="false" outlineLevel="0" collapsed="false">
      <c r="A1696" s="27"/>
      <c r="B1696" s="17" t="str">
        <f aca="false">IF($A1696="","",COUNTIFS(Orders!$C$2:$C$20001,$A1696,Orders!$E$2:$E$20001,"COD",Orders!$F$2:$F$20001,"Delivered")+COUNTIFS(Orders!$C$2:$C$20001,$A1696,Orders!$E$2:$E$20001,"COD",Orders!$F$2:$F$20001,"RTO"))</f>
        <v/>
      </c>
      <c r="C1696" s="17" t="str">
        <f aca="false">IF($A1696="","",COUNTIFS(Orders!$C$2:$C$20001,$A1696,Orders!$E$2:$E$20001,"COD",Orders!$F$2:$F$20001,"RTO"))</f>
        <v/>
      </c>
      <c r="D1696" s="18" t="str">
        <f aca="false">IF($A1696="","",IFERROR(C1696/B1696,0))</f>
        <v/>
      </c>
      <c r="E1696" s="17" t="str">
        <f aca="false">IF($A1696="","",COUNTIFS(Orders!$C$2:$C$20001,$A1696,Orders!$E$2:$E$20001,"Prepaid",Orders!$F$2:$F$20001,"Delivered")+COUNTIFS(Orders!$C$2:$C$20001,$A1696,Orders!$E$2:$E$20001,"Prepaid",Orders!$F$2:$F$20001,"RTO"))</f>
        <v/>
      </c>
      <c r="F1696" s="17" t="str">
        <f aca="false">IF($A1696="","",COUNTIFS(Orders!$C$2:$C$20001,$A1696,Orders!$E$2:$E$20001,"Prepaid",Orders!$F$2:$F$20001,"RTO"))</f>
        <v/>
      </c>
      <c r="G1696" s="18" t="str">
        <f aca="false">IF($A1696="","",IFERROR(F1696/E1696,0))</f>
        <v/>
      </c>
      <c r="H1696" s="19" t="str">
        <f aca="false">IF($A1696="","",C1696*Settings!$B$11)</f>
        <v/>
      </c>
      <c r="I1696" s="20" t="str">
        <f aca="false">IF($A1696="","",IF(N(H1696)=0,"",RANK(H1696,$H$5:$H$2004)))</f>
        <v/>
      </c>
      <c r="J1696" s="21" t="str">
        <f aca="false">IF($A1696="","",IF(B1696=0,"No COD orders",IF(B1696&lt;Settings!$B$8,"Too few orders",IF(D1696&gt;=Settings!$B$9,"Restrict COD or verify","Keep COD"))))</f>
        <v/>
      </c>
    </row>
    <row r="1697" customFormat="false" ht="15" hidden="false" customHeight="false" outlineLevel="0" collapsed="false">
      <c r="A1697" s="27"/>
      <c r="B1697" s="17" t="str">
        <f aca="false">IF($A1697="","",COUNTIFS(Orders!$C$2:$C$20001,$A1697,Orders!$E$2:$E$20001,"COD",Orders!$F$2:$F$20001,"Delivered")+COUNTIFS(Orders!$C$2:$C$20001,$A1697,Orders!$E$2:$E$20001,"COD",Orders!$F$2:$F$20001,"RTO"))</f>
        <v/>
      </c>
      <c r="C1697" s="17" t="str">
        <f aca="false">IF($A1697="","",COUNTIFS(Orders!$C$2:$C$20001,$A1697,Orders!$E$2:$E$20001,"COD",Orders!$F$2:$F$20001,"RTO"))</f>
        <v/>
      </c>
      <c r="D1697" s="18" t="str">
        <f aca="false">IF($A1697="","",IFERROR(C1697/B1697,0))</f>
        <v/>
      </c>
      <c r="E1697" s="17" t="str">
        <f aca="false">IF($A1697="","",COUNTIFS(Orders!$C$2:$C$20001,$A1697,Orders!$E$2:$E$20001,"Prepaid",Orders!$F$2:$F$20001,"Delivered")+COUNTIFS(Orders!$C$2:$C$20001,$A1697,Orders!$E$2:$E$20001,"Prepaid",Orders!$F$2:$F$20001,"RTO"))</f>
        <v/>
      </c>
      <c r="F1697" s="17" t="str">
        <f aca="false">IF($A1697="","",COUNTIFS(Orders!$C$2:$C$20001,$A1697,Orders!$E$2:$E$20001,"Prepaid",Orders!$F$2:$F$20001,"RTO"))</f>
        <v/>
      </c>
      <c r="G1697" s="18" t="str">
        <f aca="false">IF($A1697="","",IFERROR(F1697/E1697,0))</f>
        <v/>
      </c>
      <c r="H1697" s="19" t="str">
        <f aca="false">IF($A1697="","",C1697*Settings!$B$11)</f>
        <v/>
      </c>
      <c r="I1697" s="20" t="str">
        <f aca="false">IF($A1697="","",IF(N(H1697)=0,"",RANK(H1697,$H$5:$H$2004)))</f>
        <v/>
      </c>
      <c r="J1697" s="21" t="str">
        <f aca="false">IF($A1697="","",IF(B1697=0,"No COD orders",IF(B1697&lt;Settings!$B$8,"Too few orders",IF(D1697&gt;=Settings!$B$9,"Restrict COD or verify","Keep COD"))))</f>
        <v/>
      </c>
    </row>
    <row r="1698" customFormat="false" ht="15" hidden="false" customHeight="false" outlineLevel="0" collapsed="false">
      <c r="A1698" s="27"/>
      <c r="B1698" s="17" t="str">
        <f aca="false">IF($A1698="","",COUNTIFS(Orders!$C$2:$C$20001,$A1698,Orders!$E$2:$E$20001,"COD",Orders!$F$2:$F$20001,"Delivered")+COUNTIFS(Orders!$C$2:$C$20001,$A1698,Orders!$E$2:$E$20001,"COD",Orders!$F$2:$F$20001,"RTO"))</f>
        <v/>
      </c>
      <c r="C1698" s="17" t="str">
        <f aca="false">IF($A1698="","",COUNTIFS(Orders!$C$2:$C$20001,$A1698,Orders!$E$2:$E$20001,"COD",Orders!$F$2:$F$20001,"RTO"))</f>
        <v/>
      </c>
      <c r="D1698" s="18" t="str">
        <f aca="false">IF($A1698="","",IFERROR(C1698/B1698,0))</f>
        <v/>
      </c>
      <c r="E1698" s="17" t="str">
        <f aca="false">IF($A1698="","",COUNTIFS(Orders!$C$2:$C$20001,$A1698,Orders!$E$2:$E$20001,"Prepaid",Orders!$F$2:$F$20001,"Delivered")+COUNTIFS(Orders!$C$2:$C$20001,$A1698,Orders!$E$2:$E$20001,"Prepaid",Orders!$F$2:$F$20001,"RTO"))</f>
        <v/>
      </c>
      <c r="F1698" s="17" t="str">
        <f aca="false">IF($A1698="","",COUNTIFS(Orders!$C$2:$C$20001,$A1698,Orders!$E$2:$E$20001,"Prepaid",Orders!$F$2:$F$20001,"RTO"))</f>
        <v/>
      </c>
      <c r="G1698" s="18" t="str">
        <f aca="false">IF($A1698="","",IFERROR(F1698/E1698,0))</f>
        <v/>
      </c>
      <c r="H1698" s="19" t="str">
        <f aca="false">IF($A1698="","",C1698*Settings!$B$11)</f>
        <v/>
      </c>
      <c r="I1698" s="20" t="str">
        <f aca="false">IF($A1698="","",IF(N(H1698)=0,"",RANK(H1698,$H$5:$H$2004)))</f>
        <v/>
      </c>
      <c r="J1698" s="21" t="str">
        <f aca="false">IF($A1698="","",IF(B1698=0,"No COD orders",IF(B1698&lt;Settings!$B$8,"Too few orders",IF(D1698&gt;=Settings!$B$9,"Restrict COD or verify","Keep COD"))))</f>
        <v/>
      </c>
    </row>
    <row r="1699" customFormat="false" ht="15" hidden="false" customHeight="false" outlineLevel="0" collapsed="false">
      <c r="A1699" s="27"/>
      <c r="B1699" s="17" t="str">
        <f aca="false">IF($A1699="","",COUNTIFS(Orders!$C$2:$C$20001,$A1699,Orders!$E$2:$E$20001,"COD",Orders!$F$2:$F$20001,"Delivered")+COUNTIFS(Orders!$C$2:$C$20001,$A1699,Orders!$E$2:$E$20001,"COD",Orders!$F$2:$F$20001,"RTO"))</f>
        <v/>
      </c>
      <c r="C1699" s="17" t="str">
        <f aca="false">IF($A1699="","",COUNTIFS(Orders!$C$2:$C$20001,$A1699,Orders!$E$2:$E$20001,"COD",Orders!$F$2:$F$20001,"RTO"))</f>
        <v/>
      </c>
      <c r="D1699" s="18" t="str">
        <f aca="false">IF($A1699="","",IFERROR(C1699/B1699,0))</f>
        <v/>
      </c>
      <c r="E1699" s="17" t="str">
        <f aca="false">IF($A1699="","",COUNTIFS(Orders!$C$2:$C$20001,$A1699,Orders!$E$2:$E$20001,"Prepaid",Orders!$F$2:$F$20001,"Delivered")+COUNTIFS(Orders!$C$2:$C$20001,$A1699,Orders!$E$2:$E$20001,"Prepaid",Orders!$F$2:$F$20001,"RTO"))</f>
        <v/>
      </c>
      <c r="F1699" s="17" t="str">
        <f aca="false">IF($A1699="","",COUNTIFS(Orders!$C$2:$C$20001,$A1699,Orders!$E$2:$E$20001,"Prepaid",Orders!$F$2:$F$20001,"RTO"))</f>
        <v/>
      </c>
      <c r="G1699" s="18" t="str">
        <f aca="false">IF($A1699="","",IFERROR(F1699/E1699,0))</f>
        <v/>
      </c>
      <c r="H1699" s="19" t="str">
        <f aca="false">IF($A1699="","",C1699*Settings!$B$11)</f>
        <v/>
      </c>
      <c r="I1699" s="20" t="str">
        <f aca="false">IF($A1699="","",IF(N(H1699)=0,"",RANK(H1699,$H$5:$H$2004)))</f>
        <v/>
      </c>
      <c r="J1699" s="21" t="str">
        <f aca="false">IF($A1699="","",IF(B1699=0,"No COD orders",IF(B1699&lt;Settings!$B$8,"Too few orders",IF(D1699&gt;=Settings!$B$9,"Restrict COD or verify","Keep COD"))))</f>
        <v/>
      </c>
    </row>
    <row r="1700" customFormat="false" ht="15" hidden="false" customHeight="false" outlineLevel="0" collapsed="false">
      <c r="A1700" s="27"/>
      <c r="B1700" s="17" t="str">
        <f aca="false">IF($A1700="","",COUNTIFS(Orders!$C$2:$C$20001,$A1700,Orders!$E$2:$E$20001,"COD",Orders!$F$2:$F$20001,"Delivered")+COUNTIFS(Orders!$C$2:$C$20001,$A1700,Orders!$E$2:$E$20001,"COD",Orders!$F$2:$F$20001,"RTO"))</f>
        <v/>
      </c>
      <c r="C1700" s="17" t="str">
        <f aca="false">IF($A1700="","",COUNTIFS(Orders!$C$2:$C$20001,$A1700,Orders!$E$2:$E$20001,"COD",Orders!$F$2:$F$20001,"RTO"))</f>
        <v/>
      </c>
      <c r="D1700" s="18" t="str">
        <f aca="false">IF($A1700="","",IFERROR(C1700/B1700,0))</f>
        <v/>
      </c>
      <c r="E1700" s="17" t="str">
        <f aca="false">IF($A1700="","",COUNTIFS(Orders!$C$2:$C$20001,$A1700,Orders!$E$2:$E$20001,"Prepaid",Orders!$F$2:$F$20001,"Delivered")+COUNTIFS(Orders!$C$2:$C$20001,$A1700,Orders!$E$2:$E$20001,"Prepaid",Orders!$F$2:$F$20001,"RTO"))</f>
        <v/>
      </c>
      <c r="F1700" s="17" t="str">
        <f aca="false">IF($A1700="","",COUNTIFS(Orders!$C$2:$C$20001,$A1700,Orders!$E$2:$E$20001,"Prepaid",Orders!$F$2:$F$20001,"RTO"))</f>
        <v/>
      </c>
      <c r="G1700" s="18" t="str">
        <f aca="false">IF($A1700="","",IFERROR(F1700/E1700,0))</f>
        <v/>
      </c>
      <c r="H1700" s="19" t="str">
        <f aca="false">IF($A1700="","",C1700*Settings!$B$11)</f>
        <v/>
      </c>
      <c r="I1700" s="20" t="str">
        <f aca="false">IF($A1700="","",IF(N(H1700)=0,"",RANK(H1700,$H$5:$H$2004)))</f>
        <v/>
      </c>
      <c r="J1700" s="21" t="str">
        <f aca="false">IF($A1700="","",IF(B1700=0,"No COD orders",IF(B1700&lt;Settings!$B$8,"Too few orders",IF(D1700&gt;=Settings!$B$9,"Restrict COD or verify","Keep COD"))))</f>
        <v/>
      </c>
    </row>
    <row r="1701" customFormat="false" ht="15" hidden="false" customHeight="false" outlineLevel="0" collapsed="false">
      <c r="A1701" s="27"/>
      <c r="B1701" s="17" t="str">
        <f aca="false">IF($A1701="","",COUNTIFS(Orders!$C$2:$C$20001,$A1701,Orders!$E$2:$E$20001,"COD",Orders!$F$2:$F$20001,"Delivered")+COUNTIFS(Orders!$C$2:$C$20001,$A1701,Orders!$E$2:$E$20001,"COD",Orders!$F$2:$F$20001,"RTO"))</f>
        <v/>
      </c>
      <c r="C1701" s="17" t="str">
        <f aca="false">IF($A1701="","",COUNTIFS(Orders!$C$2:$C$20001,$A1701,Orders!$E$2:$E$20001,"COD",Orders!$F$2:$F$20001,"RTO"))</f>
        <v/>
      </c>
      <c r="D1701" s="18" t="str">
        <f aca="false">IF($A1701="","",IFERROR(C1701/B1701,0))</f>
        <v/>
      </c>
      <c r="E1701" s="17" t="str">
        <f aca="false">IF($A1701="","",COUNTIFS(Orders!$C$2:$C$20001,$A1701,Orders!$E$2:$E$20001,"Prepaid",Orders!$F$2:$F$20001,"Delivered")+COUNTIFS(Orders!$C$2:$C$20001,$A1701,Orders!$E$2:$E$20001,"Prepaid",Orders!$F$2:$F$20001,"RTO"))</f>
        <v/>
      </c>
      <c r="F1701" s="17" t="str">
        <f aca="false">IF($A1701="","",COUNTIFS(Orders!$C$2:$C$20001,$A1701,Orders!$E$2:$E$20001,"Prepaid",Orders!$F$2:$F$20001,"RTO"))</f>
        <v/>
      </c>
      <c r="G1701" s="18" t="str">
        <f aca="false">IF($A1701="","",IFERROR(F1701/E1701,0))</f>
        <v/>
      </c>
      <c r="H1701" s="19" t="str">
        <f aca="false">IF($A1701="","",C1701*Settings!$B$11)</f>
        <v/>
      </c>
      <c r="I1701" s="20" t="str">
        <f aca="false">IF($A1701="","",IF(N(H1701)=0,"",RANK(H1701,$H$5:$H$2004)))</f>
        <v/>
      </c>
      <c r="J1701" s="21" t="str">
        <f aca="false">IF($A1701="","",IF(B1701=0,"No COD orders",IF(B1701&lt;Settings!$B$8,"Too few orders",IF(D1701&gt;=Settings!$B$9,"Restrict COD or verify","Keep COD"))))</f>
        <v/>
      </c>
    </row>
    <row r="1702" customFormat="false" ht="15" hidden="false" customHeight="false" outlineLevel="0" collapsed="false">
      <c r="A1702" s="27"/>
      <c r="B1702" s="17" t="str">
        <f aca="false">IF($A1702="","",COUNTIFS(Orders!$C$2:$C$20001,$A1702,Orders!$E$2:$E$20001,"COD",Orders!$F$2:$F$20001,"Delivered")+COUNTIFS(Orders!$C$2:$C$20001,$A1702,Orders!$E$2:$E$20001,"COD",Orders!$F$2:$F$20001,"RTO"))</f>
        <v/>
      </c>
      <c r="C1702" s="17" t="str">
        <f aca="false">IF($A1702="","",COUNTIFS(Orders!$C$2:$C$20001,$A1702,Orders!$E$2:$E$20001,"COD",Orders!$F$2:$F$20001,"RTO"))</f>
        <v/>
      </c>
      <c r="D1702" s="18" t="str">
        <f aca="false">IF($A1702="","",IFERROR(C1702/B1702,0))</f>
        <v/>
      </c>
      <c r="E1702" s="17" t="str">
        <f aca="false">IF($A1702="","",COUNTIFS(Orders!$C$2:$C$20001,$A1702,Orders!$E$2:$E$20001,"Prepaid",Orders!$F$2:$F$20001,"Delivered")+COUNTIFS(Orders!$C$2:$C$20001,$A1702,Orders!$E$2:$E$20001,"Prepaid",Orders!$F$2:$F$20001,"RTO"))</f>
        <v/>
      </c>
      <c r="F1702" s="17" t="str">
        <f aca="false">IF($A1702="","",COUNTIFS(Orders!$C$2:$C$20001,$A1702,Orders!$E$2:$E$20001,"Prepaid",Orders!$F$2:$F$20001,"RTO"))</f>
        <v/>
      </c>
      <c r="G1702" s="18" t="str">
        <f aca="false">IF($A1702="","",IFERROR(F1702/E1702,0))</f>
        <v/>
      </c>
      <c r="H1702" s="19" t="str">
        <f aca="false">IF($A1702="","",C1702*Settings!$B$11)</f>
        <v/>
      </c>
      <c r="I1702" s="20" t="str">
        <f aca="false">IF($A1702="","",IF(N(H1702)=0,"",RANK(H1702,$H$5:$H$2004)))</f>
        <v/>
      </c>
      <c r="J1702" s="21" t="str">
        <f aca="false">IF($A1702="","",IF(B1702=0,"No COD orders",IF(B1702&lt;Settings!$B$8,"Too few orders",IF(D1702&gt;=Settings!$B$9,"Restrict COD or verify","Keep COD"))))</f>
        <v/>
      </c>
    </row>
    <row r="1703" customFormat="false" ht="15" hidden="false" customHeight="false" outlineLevel="0" collapsed="false">
      <c r="A1703" s="27"/>
      <c r="B1703" s="17" t="str">
        <f aca="false">IF($A1703="","",COUNTIFS(Orders!$C$2:$C$20001,$A1703,Orders!$E$2:$E$20001,"COD",Orders!$F$2:$F$20001,"Delivered")+COUNTIFS(Orders!$C$2:$C$20001,$A1703,Orders!$E$2:$E$20001,"COD",Orders!$F$2:$F$20001,"RTO"))</f>
        <v/>
      </c>
      <c r="C1703" s="17" t="str">
        <f aca="false">IF($A1703="","",COUNTIFS(Orders!$C$2:$C$20001,$A1703,Orders!$E$2:$E$20001,"COD",Orders!$F$2:$F$20001,"RTO"))</f>
        <v/>
      </c>
      <c r="D1703" s="18" t="str">
        <f aca="false">IF($A1703="","",IFERROR(C1703/B1703,0))</f>
        <v/>
      </c>
      <c r="E1703" s="17" t="str">
        <f aca="false">IF($A1703="","",COUNTIFS(Orders!$C$2:$C$20001,$A1703,Orders!$E$2:$E$20001,"Prepaid",Orders!$F$2:$F$20001,"Delivered")+COUNTIFS(Orders!$C$2:$C$20001,$A1703,Orders!$E$2:$E$20001,"Prepaid",Orders!$F$2:$F$20001,"RTO"))</f>
        <v/>
      </c>
      <c r="F1703" s="17" t="str">
        <f aca="false">IF($A1703="","",COUNTIFS(Orders!$C$2:$C$20001,$A1703,Orders!$E$2:$E$20001,"Prepaid",Orders!$F$2:$F$20001,"RTO"))</f>
        <v/>
      </c>
      <c r="G1703" s="18" t="str">
        <f aca="false">IF($A1703="","",IFERROR(F1703/E1703,0))</f>
        <v/>
      </c>
      <c r="H1703" s="19" t="str">
        <f aca="false">IF($A1703="","",C1703*Settings!$B$11)</f>
        <v/>
      </c>
      <c r="I1703" s="20" t="str">
        <f aca="false">IF($A1703="","",IF(N(H1703)=0,"",RANK(H1703,$H$5:$H$2004)))</f>
        <v/>
      </c>
      <c r="J1703" s="21" t="str">
        <f aca="false">IF($A1703="","",IF(B1703=0,"No COD orders",IF(B1703&lt;Settings!$B$8,"Too few orders",IF(D1703&gt;=Settings!$B$9,"Restrict COD or verify","Keep COD"))))</f>
        <v/>
      </c>
    </row>
    <row r="1704" customFormat="false" ht="15" hidden="false" customHeight="false" outlineLevel="0" collapsed="false">
      <c r="A1704" s="27"/>
      <c r="B1704" s="17" t="str">
        <f aca="false">IF($A1704="","",COUNTIFS(Orders!$C$2:$C$20001,$A1704,Orders!$E$2:$E$20001,"COD",Orders!$F$2:$F$20001,"Delivered")+COUNTIFS(Orders!$C$2:$C$20001,$A1704,Orders!$E$2:$E$20001,"COD",Orders!$F$2:$F$20001,"RTO"))</f>
        <v/>
      </c>
      <c r="C1704" s="17" t="str">
        <f aca="false">IF($A1704="","",COUNTIFS(Orders!$C$2:$C$20001,$A1704,Orders!$E$2:$E$20001,"COD",Orders!$F$2:$F$20001,"RTO"))</f>
        <v/>
      </c>
      <c r="D1704" s="18" t="str">
        <f aca="false">IF($A1704="","",IFERROR(C1704/B1704,0))</f>
        <v/>
      </c>
      <c r="E1704" s="17" t="str">
        <f aca="false">IF($A1704="","",COUNTIFS(Orders!$C$2:$C$20001,$A1704,Orders!$E$2:$E$20001,"Prepaid",Orders!$F$2:$F$20001,"Delivered")+COUNTIFS(Orders!$C$2:$C$20001,$A1704,Orders!$E$2:$E$20001,"Prepaid",Orders!$F$2:$F$20001,"RTO"))</f>
        <v/>
      </c>
      <c r="F1704" s="17" t="str">
        <f aca="false">IF($A1704="","",COUNTIFS(Orders!$C$2:$C$20001,$A1704,Orders!$E$2:$E$20001,"Prepaid",Orders!$F$2:$F$20001,"RTO"))</f>
        <v/>
      </c>
      <c r="G1704" s="18" t="str">
        <f aca="false">IF($A1704="","",IFERROR(F1704/E1704,0))</f>
        <v/>
      </c>
      <c r="H1704" s="19" t="str">
        <f aca="false">IF($A1704="","",C1704*Settings!$B$11)</f>
        <v/>
      </c>
      <c r="I1704" s="20" t="str">
        <f aca="false">IF($A1704="","",IF(N(H1704)=0,"",RANK(H1704,$H$5:$H$2004)))</f>
        <v/>
      </c>
      <c r="J1704" s="21" t="str">
        <f aca="false">IF($A1704="","",IF(B1704=0,"No COD orders",IF(B1704&lt;Settings!$B$8,"Too few orders",IF(D1704&gt;=Settings!$B$9,"Restrict COD or verify","Keep COD"))))</f>
        <v/>
      </c>
    </row>
    <row r="1705" customFormat="false" ht="15" hidden="false" customHeight="false" outlineLevel="0" collapsed="false">
      <c r="A1705" s="27"/>
      <c r="B1705" s="17" t="str">
        <f aca="false">IF($A1705="","",COUNTIFS(Orders!$C$2:$C$20001,$A1705,Orders!$E$2:$E$20001,"COD",Orders!$F$2:$F$20001,"Delivered")+COUNTIFS(Orders!$C$2:$C$20001,$A1705,Orders!$E$2:$E$20001,"COD",Orders!$F$2:$F$20001,"RTO"))</f>
        <v/>
      </c>
      <c r="C1705" s="17" t="str">
        <f aca="false">IF($A1705="","",COUNTIFS(Orders!$C$2:$C$20001,$A1705,Orders!$E$2:$E$20001,"COD",Orders!$F$2:$F$20001,"RTO"))</f>
        <v/>
      </c>
      <c r="D1705" s="18" t="str">
        <f aca="false">IF($A1705="","",IFERROR(C1705/B1705,0))</f>
        <v/>
      </c>
      <c r="E1705" s="17" t="str">
        <f aca="false">IF($A1705="","",COUNTIFS(Orders!$C$2:$C$20001,$A1705,Orders!$E$2:$E$20001,"Prepaid",Orders!$F$2:$F$20001,"Delivered")+COUNTIFS(Orders!$C$2:$C$20001,$A1705,Orders!$E$2:$E$20001,"Prepaid",Orders!$F$2:$F$20001,"RTO"))</f>
        <v/>
      </c>
      <c r="F1705" s="17" t="str">
        <f aca="false">IF($A1705="","",COUNTIFS(Orders!$C$2:$C$20001,$A1705,Orders!$E$2:$E$20001,"Prepaid",Orders!$F$2:$F$20001,"RTO"))</f>
        <v/>
      </c>
      <c r="G1705" s="18" t="str">
        <f aca="false">IF($A1705="","",IFERROR(F1705/E1705,0))</f>
        <v/>
      </c>
      <c r="H1705" s="19" t="str">
        <f aca="false">IF($A1705="","",C1705*Settings!$B$11)</f>
        <v/>
      </c>
      <c r="I1705" s="20" t="str">
        <f aca="false">IF($A1705="","",IF(N(H1705)=0,"",RANK(H1705,$H$5:$H$2004)))</f>
        <v/>
      </c>
      <c r="J1705" s="21" t="str">
        <f aca="false">IF($A1705="","",IF(B1705=0,"No COD orders",IF(B1705&lt;Settings!$B$8,"Too few orders",IF(D1705&gt;=Settings!$B$9,"Restrict COD or verify","Keep COD"))))</f>
        <v/>
      </c>
    </row>
    <row r="1706" customFormat="false" ht="15" hidden="false" customHeight="false" outlineLevel="0" collapsed="false">
      <c r="A1706" s="27"/>
      <c r="B1706" s="17" t="str">
        <f aca="false">IF($A1706="","",COUNTIFS(Orders!$C$2:$C$20001,$A1706,Orders!$E$2:$E$20001,"COD",Orders!$F$2:$F$20001,"Delivered")+COUNTIFS(Orders!$C$2:$C$20001,$A1706,Orders!$E$2:$E$20001,"COD",Orders!$F$2:$F$20001,"RTO"))</f>
        <v/>
      </c>
      <c r="C1706" s="17" t="str">
        <f aca="false">IF($A1706="","",COUNTIFS(Orders!$C$2:$C$20001,$A1706,Orders!$E$2:$E$20001,"COD",Orders!$F$2:$F$20001,"RTO"))</f>
        <v/>
      </c>
      <c r="D1706" s="18" t="str">
        <f aca="false">IF($A1706="","",IFERROR(C1706/B1706,0))</f>
        <v/>
      </c>
      <c r="E1706" s="17" t="str">
        <f aca="false">IF($A1706="","",COUNTIFS(Orders!$C$2:$C$20001,$A1706,Orders!$E$2:$E$20001,"Prepaid",Orders!$F$2:$F$20001,"Delivered")+COUNTIFS(Orders!$C$2:$C$20001,$A1706,Orders!$E$2:$E$20001,"Prepaid",Orders!$F$2:$F$20001,"RTO"))</f>
        <v/>
      </c>
      <c r="F1706" s="17" t="str">
        <f aca="false">IF($A1706="","",COUNTIFS(Orders!$C$2:$C$20001,$A1706,Orders!$E$2:$E$20001,"Prepaid",Orders!$F$2:$F$20001,"RTO"))</f>
        <v/>
      </c>
      <c r="G1706" s="18" t="str">
        <f aca="false">IF($A1706="","",IFERROR(F1706/E1706,0))</f>
        <v/>
      </c>
      <c r="H1706" s="19" t="str">
        <f aca="false">IF($A1706="","",C1706*Settings!$B$11)</f>
        <v/>
      </c>
      <c r="I1706" s="20" t="str">
        <f aca="false">IF($A1706="","",IF(N(H1706)=0,"",RANK(H1706,$H$5:$H$2004)))</f>
        <v/>
      </c>
      <c r="J1706" s="21" t="str">
        <f aca="false">IF($A1706="","",IF(B1706=0,"No COD orders",IF(B1706&lt;Settings!$B$8,"Too few orders",IF(D1706&gt;=Settings!$B$9,"Restrict COD or verify","Keep COD"))))</f>
        <v/>
      </c>
    </row>
    <row r="1707" customFormat="false" ht="15" hidden="false" customHeight="false" outlineLevel="0" collapsed="false">
      <c r="A1707" s="27"/>
      <c r="B1707" s="17" t="str">
        <f aca="false">IF($A1707="","",COUNTIFS(Orders!$C$2:$C$20001,$A1707,Orders!$E$2:$E$20001,"COD",Orders!$F$2:$F$20001,"Delivered")+COUNTIFS(Orders!$C$2:$C$20001,$A1707,Orders!$E$2:$E$20001,"COD",Orders!$F$2:$F$20001,"RTO"))</f>
        <v/>
      </c>
      <c r="C1707" s="17" t="str">
        <f aca="false">IF($A1707="","",COUNTIFS(Orders!$C$2:$C$20001,$A1707,Orders!$E$2:$E$20001,"COD",Orders!$F$2:$F$20001,"RTO"))</f>
        <v/>
      </c>
      <c r="D1707" s="18" t="str">
        <f aca="false">IF($A1707="","",IFERROR(C1707/B1707,0))</f>
        <v/>
      </c>
      <c r="E1707" s="17" t="str">
        <f aca="false">IF($A1707="","",COUNTIFS(Orders!$C$2:$C$20001,$A1707,Orders!$E$2:$E$20001,"Prepaid",Orders!$F$2:$F$20001,"Delivered")+COUNTIFS(Orders!$C$2:$C$20001,$A1707,Orders!$E$2:$E$20001,"Prepaid",Orders!$F$2:$F$20001,"RTO"))</f>
        <v/>
      </c>
      <c r="F1707" s="17" t="str">
        <f aca="false">IF($A1707="","",COUNTIFS(Orders!$C$2:$C$20001,$A1707,Orders!$E$2:$E$20001,"Prepaid",Orders!$F$2:$F$20001,"RTO"))</f>
        <v/>
      </c>
      <c r="G1707" s="18" t="str">
        <f aca="false">IF($A1707="","",IFERROR(F1707/E1707,0))</f>
        <v/>
      </c>
      <c r="H1707" s="19" t="str">
        <f aca="false">IF($A1707="","",C1707*Settings!$B$11)</f>
        <v/>
      </c>
      <c r="I1707" s="20" t="str">
        <f aca="false">IF($A1707="","",IF(N(H1707)=0,"",RANK(H1707,$H$5:$H$2004)))</f>
        <v/>
      </c>
      <c r="J1707" s="21" t="str">
        <f aca="false">IF($A1707="","",IF(B1707=0,"No COD orders",IF(B1707&lt;Settings!$B$8,"Too few orders",IF(D1707&gt;=Settings!$B$9,"Restrict COD or verify","Keep COD"))))</f>
        <v/>
      </c>
    </row>
    <row r="1708" customFormat="false" ht="15" hidden="false" customHeight="false" outlineLevel="0" collapsed="false">
      <c r="A1708" s="27"/>
      <c r="B1708" s="17" t="str">
        <f aca="false">IF($A1708="","",COUNTIFS(Orders!$C$2:$C$20001,$A1708,Orders!$E$2:$E$20001,"COD",Orders!$F$2:$F$20001,"Delivered")+COUNTIFS(Orders!$C$2:$C$20001,$A1708,Orders!$E$2:$E$20001,"COD",Orders!$F$2:$F$20001,"RTO"))</f>
        <v/>
      </c>
      <c r="C1708" s="17" t="str">
        <f aca="false">IF($A1708="","",COUNTIFS(Orders!$C$2:$C$20001,$A1708,Orders!$E$2:$E$20001,"COD",Orders!$F$2:$F$20001,"RTO"))</f>
        <v/>
      </c>
      <c r="D1708" s="18" t="str">
        <f aca="false">IF($A1708="","",IFERROR(C1708/B1708,0))</f>
        <v/>
      </c>
      <c r="E1708" s="17" t="str">
        <f aca="false">IF($A1708="","",COUNTIFS(Orders!$C$2:$C$20001,$A1708,Orders!$E$2:$E$20001,"Prepaid",Orders!$F$2:$F$20001,"Delivered")+COUNTIFS(Orders!$C$2:$C$20001,$A1708,Orders!$E$2:$E$20001,"Prepaid",Orders!$F$2:$F$20001,"RTO"))</f>
        <v/>
      </c>
      <c r="F1708" s="17" t="str">
        <f aca="false">IF($A1708="","",COUNTIFS(Orders!$C$2:$C$20001,$A1708,Orders!$E$2:$E$20001,"Prepaid",Orders!$F$2:$F$20001,"RTO"))</f>
        <v/>
      </c>
      <c r="G1708" s="18" t="str">
        <f aca="false">IF($A1708="","",IFERROR(F1708/E1708,0))</f>
        <v/>
      </c>
      <c r="H1708" s="19" t="str">
        <f aca="false">IF($A1708="","",C1708*Settings!$B$11)</f>
        <v/>
      </c>
      <c r="I1708" s="20" t="str">
        <f aca="false">IF($A1708="","",IF(N(H1708)=0,"",RANK(H1708,$H$5:$H$2004)))</f>
        <v/>
      </c>
      <c r="J1708" s="21" t="str">
        <f aca="false">IF($A1708="","",IF(B1708=0,"No COD orders",IF(B1708&lt;Settings!$B$8,"Too few orders",IF(D1708&gt;=Settings!$B$9,"Restrict COD or verify","Keep COD"))))</f>
        <v/>
      </c>
    </row>
    <row r="1709" customFormat="false" ht="15" hidden="false" customHeight="false" outlineLevel="0" collapsed="false">
      <c r="A1709" s="27"/>
      <c r="B1709" s="17" t="str">
        <f aca="false">IF($A1709="","",COUNTIFS(Orders!$C$2:$C$20001,$A1709,Orders!$E$2:$E$20001,"COD",Orders!$F$2:$F$20001,"Delivered")+COUNTIFS(Orders!$C$2:$C$20001,$A1709,Orders!$E$2:$E$20001,"COD",Orders!$F$2:$F$20001,"RTO"))</f>
        <v/>
      </c>
      <c r="C1709" s="17" t="str">
        <f aca="false">IF($A1709="","",COUNTIFS(Orders!$C$2:$C$20001,$A1709,Orders!$E$2:$E$20001,"COD",Orders!$F$2:$F$20001,"RTO"))</f>
        <v/>
      </c>
      <c r="D1709" s="18" t="str">
        <f aca="false">IF($A1709="","",IFERROR(C1709/B1709,0))</f>
        <v/>
      </c>
      <c r="E1709" s="17" t="str">
        <f aca="false">IF($A1709="","",COUNTIFS(Orders!$C$2:$C$20001,$A1709,Orders!$E$2:$E$20001,"Prepaid",Orders!$F$2:$F$20001,"Delivered")+COUNTIFS(Orders!$C$2:$C$20001,$A1709,Orders!$E$2:$E$20001,"Prepaid",Orders!$F$2:$F$20001,"RTO"))</f>
        <v/>
      </c>
      <c r="F1709" s="17" t="str">
        <f aca="false">IF($A1709="","",COUNTIFS(Orders!$C$2:$C$20001,$A1709,Orders!$E$2:$E$20001,"Prepaid",Orders!$F$2:$F$20001,"RTO"))</f>
        <v/>
      </c>
      <c r="G1709" s="18" t="str">
        <f aca="false">IF($A1709="","",IFERROR(F1709/E1709,0))</f>
        <v/>
      </c>
      <c r="H1709" s="19" t="str">
        <f aca="false">IF($A1709="","",C1709*Settings!$B$11)</f>
        <v/>
      </c>
      <c r="I1709" s="20" t="str">
        <f aca="false">IF($A1709="","",IF(N(H1709)=0,"",RANK(H1709,$H$5:$H$2004)))</f>
        <v/>
      </c>
      <c r="J1709" s="21" t="str">
        <f aca="false">IF($A1709="","",IF(B1709=0,"No COD orders",IF(B1709&lt;Settings!$B$8,"Too few orders",IF(D1709&gt;=Settings!$B$9,"Restrict COD or verify","Keep COD"))))</f>
        <v/>
      </c>
    </row>
    <row r="1710" customFormat="false" ht="15" hidden="false" customHeight="false" outlineLevel="0" collapsed="false">
      <c r="A1710" s="27"/>
      <c r="B1710" s="17" t="str">
        <f aca="false">IF($A1710="","",COUNTIFS(Orders!$C$2:$C$20001,$A1710,Orders!$E$2:$E$20001,"COD",Orders!$F$2:$F$20001,"Delivered")+COUNTIFS(Orders!$C$2:$C$20001,$A1710,Orders!$E$2:$E$20001,"COD",Orders!$F$2:$F$20001,"RTO"))</f>
        <v/>
      </c>
      <c r="C1710" s="17" t="str">
        <f aca="false">IF($A1710="","",COUNTIFS(Orders!$C$2:$C$20001,$A1710,Orders!$E$2:$E$20001,"COD",Orders!$F$2:$F$20001,"RTO"))</f>
        <v/>
      </c>
      <c r="D1710" s="18" t="str">
        <f aca="false">IF($A1710="","",IFERROR(C1710/B1710,0))</f>
        <v/>
      </c>
      <c r="E1710" s="17" t="str">
        <f aca="false">IF($A1710="","",COUNTIFS(Orders!$C$2:$C$20001,$A1710,Orders!$E$2:$E$20001,"Prepaid",Orders!$F$2:$F$20001,"Delivered")+COUNTIFS(Orders!$C$2:$C$20001,$A1710,Orders!$E$2:$E$20001,"Prepaid",Orders!$F$2:$F$20001,"RTO"))</f>
        <v/>
      </c>
      <c r="F1710" s="17" t="str">
        <f aca="false">IF($A1710="","",COUNTIFS(Orders!$C$2:$C$20001,$A1710,Orders!$E$2:$E$20001,"Prepaid",Orders!$F$2:$F$20001,"RTO"))</f>
        <v/>
      </c>
      <c r="G1710" s="18" t="str">
        <f aca="false">IF($A1710="","",IFERROR(F1710/E1710,0))</f>
        <v/>
      </c>
      <c r="H1710" s="19" t="str">
        <f aca="false">IF($A1710="","",C1710*Settings!$B$11)</f>
        <v/>
      </c>
      <c r="I1710" s="20" t="str">
        <f aca="false">IF($A1710="","",IF(N(H1710)=0,"",RANK(H1710,$H$5:$H$2004)))</f>
        <v/>
      </c>
      <c r="J1710" s="21" t="str">
        <f aca="false">IF($A1710="","",IF(B1710=0,"No COD orders",IF(B1710&lt;Settings!$B$8,"Too few orders",IF(D1710&gt;=Settings!$B$9,"Restrict COD or verify","Keep COD"))))</f>
        <v/>
      </c>
    </row>
    <row r="1711" customFormat="false" ht="15" hidden="false" customHeight="false" outlineLevel="0" collapsed="false">
      <c r="A1711" s="27"/>
      <c r="B1711" s="17" t="str">
        <f aca="false">IF($A1711="","",COUNTIFS(Orders!$C$2:$C$20001,$A1711,Orders!$E$2:$E$20001,"COD",Orders!$F$2:$F$20001,"Delivered")+COUNTIFS(Orders!$C$2:$C$20001,$A1711,Orders!$E$2:$E$20001,"COD",Orders!$F$2:$F$20001,"RTO"))</f>
        <v/>
      </c>
      <c r="C1711" s="17" t="str">
        <f aca="false">IF($A1711="","",COUNTIFS(Orders!$C$2:$C$20001,$A1711,Orders!$E$2:$E$20001,"COD",Orders!$F$2:$F$20001,"RTO"))</f>
        <v/>
      </c>
      <c r="D1711" s="18" t="str">
        <f aca="false">IF($A1711="","",IFERROR(C1711/B1711,0))</f>
        <v/>
      </c>
      <c r="E1711" s="17" t="str">
        <f aca="false">IF($A1711="","",COUNTIFS(Orders!$C$2:$C$20001,$A1711,Orders!$E$2:$E$20001,"Prepaid",Orders!$F$2:$F$20001,"Delivered")+COUNTIFS(Orders!$C$2:$C$20001,$A1711,Orders!$E$2:$E$20001,"Prepaid",Orders!$F$2:$F$20001,"RTO"))</f>
        <v/>
      </c>
      <c r="F1711" s="17" t="str">
        <f aca="false">IF($A1711="","",COUNTIFS(Orders!$C$2:$C$20001,$A1711,Orders!$E$2:$E$20001,"Prepaid",Orders!$F$2:$F$20001,"RTO"))</f>
        <v/>
      </c>
      <c r="G1711" s="18" t="str">
        <f aca="false">IF($A1711="","",IFERROR(F1711/E1711,0))</f>
        <v/>
      </c>
      <c r="H1711" s="19" t="str">
        <f aca="false">IF($A1711="","",C1711*Settings!$B$11)</f>
        <v/>
      </c>
      <c r="I1711" s="20" t="str">
        <f aca="false">IF($A1711="","",IF(N(H1711)=0,"",RANK(H1711,$H$5:$H$2004)))</f>
        <v/>
      </c>
      <c r="J1711" s="21" t="str">
        <f aca="false">IF($A1711="","",IF(B1711=0,"No COD orders",IF(B1711&lt;Settings!$B$8,"Too few orders",IF(D1711&gt;=Settings!$B$9,"Restrict COD or verify","Keep COD"))))</f>
        <v/>
      </c>
    </row>
    <row r="1712" customFormat="false" ht="15" hidden="false" customHeight="false" outlineLevel="0" collapsed="false">
      <c r="A1712" s="27"/>
      <c r="B1712" s="17" t="str">
        <f aca="false">IF($A1712="","",COUNTIFS(Orders!$C$2:$C$20001,$A1712,Orders!$E$2:$E$20001,"COD",Orders!$F$2:$F$20001,"Delivered")+COUNTIFS(Orders!$C$2:$C$20001,$A1712,Orders!$E$2:$E$20001,"COD",Orders!$F$2:$F$20001,"RTO"))</f>
        <v/>
      </c>
      <c r="C1712" s="17" t="str">
        <f aca="false">IF($A1712="","",COUNTIFS(Orders!$C$2:$C$20001,$A1712,Orders!$E$2:$E$20001,"COD",Orders!$F$2:$F$20001,"RTO"))</f>
        <v/>
      </c>
      <c r="D1712" s="18" t="str">
        <f aca="false">IF($A1712="","",IFERROR(C1712/B1712,0))</f>
        <v/>
      </c>
      <c r="E1712" s="17" t="str">
        <f aca="false">IF($A1712="","",COUNTIFS(Orders!$C$2:$C$20001,$A1712,Orders!$E$2:$E$20001,"Prepaid",Orders!$F$2:$F$20001,"Delivered")+COUNTIFS(Orders!$C$2:$C$20001,$A1712,Orders!$E$2:$E$20001,"Prepaid",Orders!$F$2:$F$20001,"RTO"))</f>
        <v/>
      </c>
      <c r="F1712" s="17" t="str">
        <f aca="false">IF($A1712="","",COUNTIFS(Orders!$C$2:$C$20001,$A1712,Orders!$E$2:$E$20001,"Prepaid",Orders!$F$2:$F$20001,"RTO"))</f>
        <v/>
      </c>
      <c r="G1712" s="18" t="str">
        <f aca="false">IF($A1712="","",IFERROR(F1712/E1712,0))</f>
        <v/>
      </c>
      <c r="H1712" s="19" t="str">
        <f aca="false">IF($A1712="","",C1712*Settings!$B$11)</f>
        <v/>
      </c>
      <c r="I1712" s="20" t="str">
        <f aca="false">IF($A1712="","",IF(N(H1712)=0,"",RANK(H1712,$H$5:$H$2004)))</f>
        <v/>
      </c>
      <c r="J1712" s="21" t="str">
        <f aca="false">IF($A1712="","",IF(B1712=0,"No COD orders",IF(B1712&lt;Settings!$B$8,"Too few orders",IF(D1712&gt;=Settings!$B$9,"Restrict COD or verify","Keep COD"))))</f>
        <v/>
      </c>
    </row>
    <row r="1713" customFormat="false" ht="15" hidden="false" customHeight="false" outlineLevel="0" collapsed="false">
      <c r="A1713" s="27"/>
      <c r="B1713" s="17" t="str">
        <f aca="false">IF($A1713="","",COUNTIFS(Orders!$C$2:$C$20001,$A1713,Orders!$E$2:$E$20001,"COD",Orders!$F$2:$F$20001,"Delivered")+COUNTIFS(Orders!$C$2:$C$20001,$A1713,Orders!$E$2:$E$20001,"COD",Orders!$F$2:$F$20001,"RTO"))</f>
        <v/>
      </c>
      <c r="C1713" s="17" t="str">
        <f aca="false">IF($A1713="","",COUNTIFS(Orders!$C$2:$C$20001,$A1713,Orders!$E$2:$E$20001,"COD",Orders!$F$2:$F$20001,"RTO"))</f>
        <v/>
      </c>
      <c r="D1713" s="18" t="str">
        <f aca="false">IF($A1713="","",IFERROR(C1713/B1713,0))</f>
        <v/>
      </c>
      <c r="E1713" s="17" t="str">
        <f aca="false">IF($A1713="","",COUNTIFS(Orders!$C$2:$C$20001,$A1713,Orders!$E$2:$E$20001,"Prepaid",Orders!$F$2:$F$20001,"Delivered")+COUNTIFS(Orders!$C$2:$C$20001,$A1713,Orders!$E$2:$E$20001,"Prepaid",Orders!$F$2:$F$20001,"RTO"))</f>
        <v/>
      </c>
      <c r="F1713" s="17" t="str">
        <f aca="false">IF($A1713="","",COUNTIFS(Orders!$C$2:$C$20001,$A1713,Orders!$E$2:$E$20001,"Prepaid",Orders!$F$2:$F$20001,"RTO"))</f>
        <v/>
      </c>
      <c r="G1713" s="18" t="str">
        <f aca="false">IF($A1713="","",IFERROR(F1713/E1713,0))</f>
        <v/>
      </c>
      <c r="H1713" s="19" t="str">
        <f aca="false">IF($A1713="","",C1713*Settings!$B$11)</f>
        <v/>
      </c>
      <c r="I1713" s="20" t="str">
        <f aca="false">IF($A1713="","",IF(N(H1713)=0,"",RANK(H1713,$H$5:$H$2004)))</f>
        <v/>
      </c>
      <c r="J1713" s="21" t="str">
        <f aca="false">IF($A1713="","",IF(B1713=0,"No COD orders",IF(B1713&lt;Settings!$B$8,"Too few orders",IF(D1713&gt;=Settings!$B$9,"Restrict COD or verify","Keep COD"))))</f>
        <v/>
      </c>
    </row>
    <row r="1714" customFormat="false" ht="15" hidden="false" customHeight="false" outlineLevel="0" collapsed="false">
      <c r="A1714" s="27"/>
      <c r="B1714" s="17" t="str">
        <f aca="false">IF($A1714="","",COUNTIFS(Orders!$C$2:$C$20001,$A1714,Orders!$E$2:$E$20001,"COD",Orders!$F$2:$F$20001,"Delivered")+COUNTIFS(Orders!$C$2:$C$20001,$A1714,Orders!$E$2:$E$20001,"COD",Orders!$F$2:$F$20001,"RTO"))</f>
        <v/>
      </c>
      <c r="C1714" s="17" t="str">
        <f aca="false">IF($A1714="","",COUNTIFS(Orders!$C$2:$C$20001,$A1714,Orders!$E$2:$E$20001,"COD",Orders!$F$2:$F$20001,"RTO"))</f>
        <v/>
      </c>
      <c r="D1714" s="18" t="str">
        <f aca="false">IF($A1714="","",IFERROR(C1714/B1714,0))</f>
        <v/>
      </c>
      <c r="E1714" s="17" t="str">
        <f aca="false">IF($A1714="","",COUNTIFS(Orders!$C$2:$C$20001,$A1714,Orders!$E$2:$E$20001,"Prepaid",Orders!$F$2:$F$20001,"Delivered")+COUNTIFS(Orders!$C$2:$C$20001,$A1714,Orders!$E$2:$E$20001,"Prepaid",Orders!$F$2:$F$20001,"RTO"))</f>
        <v/>
      </c>
      <c r="F1714" s="17" t="str">
        <f aca="false">IF($A1714="","",COUNTIFS(Orders!$C$2:$C$20001,$A1714,Orders!$E$2:$E$20001,"Prepaid",Orders!$F$2:$F$20001,"RTO"))</f>
        <v/>
      </c>
      <c r="G1714" s="18" t="str">
        <f aca="false">IF($A1714="","",IFERROR(F1714/E1714,0))</f>
        <v/>
      </c>
      <c r="H1714" s="19" t="str">
        <f aca="false">IF($A1714="","",C1714*Settings!$B$11)</f>
        <v/>
      </c>
      <c r="I1714" s="20" t="str">
        <f aca="false">IF($A1714="","",IF(N(H1714)=0,"",RANK(H1714,$H$5:$H$2004)))</f>
        <v/>
      </c>
      <c r="J1714" s="21" t="str">
        <f aca="false">IF($A1714="","",IF(B1714=0,"No COD orders",IF(B1714&lt;Settings!$B$8,"Too few orders",IF(D1714&gt;=Settings!$B$9,"Restrict COD or verify","Keep COD"))))</f>
        <v/>
      </c>
    </row>
    <row r="1715" customFormat="false" ht="15" hidden="false" customHeight="false" outlineLevel="0" collapsed="false">
      <c r="A1715" s="27"/>
      <c r="B1715" s="17" t="str">
        <f aca="false">IF($A1715="","",COUNTIFS(Orders!$C$2:$C$20001,$A1715,Orders!$E$2:$E$20001,"COD",Orders!$F$2:$F$20001,"Delivered")+COUNTIFS(Orders!$C$2:$C$20001,$A1715,Orders!$E$2:$E$20001,"COD",Orders!$F$2:$F$20001,"RTO"))</f>
        <v/>
      </c>
      <c r="C1715" s="17" t="str">
        <f aca="false">IF($A1715="","",COUNTIFS(Orders!$C$2:$C$20001,$A1715,Orders!$E$2:$E$20001,"COD",Orders!$F$2:$F$20001,"RTO"))</f>
        <v/>
      </c>
      <c r="D1715" s="18" t="str">
        <f aca="false">IF($A1715="","",IFERROR(C1715/B1715,0))</f>
        <v/>
      </c>
      <c r="E1715" s="17" t="str">
        <f aca="false">IF($A1715="","",COUNTIFS(Orders!$C$2:$C$20001,$A1715,Orders!$E$2:$E$20001,"Prepaid",Orders!$F$2:$F$20001,"Delivered")+COUNTIFS(Orders!$C$2:$C$20001,$A1715,Orders!$E$2:$E$20001,"Prepaid",Orders!$F$2:$F$20001,"RTO"))</f>
        <v/>
      </c>
      <c r="F1715" s="17" t="str">
        <f aca="false">IF($A1715="","",COUNTIFS(Orders!$C$2:$C$20001,$A1715,Orders!$E$2:$E$20001,"Prepaid",Orders!$F$2:$F$20001,"RTO"))</f>
        <v/>
      </c>
      <c r="G1715" s="18" t="str">
        <f aca="false">IF($A1715="","",IFERROR(F1715/E1715,0))</f>
        <v/>
      </c>
      <c r="H1715" s="19" t="str">
        <f aca="false">IF($A1715="","",C1715*Settings!$B$11)</f>
        <v/>
      </c>
      <c r="I1715" s="20" t="str">
        <f aca="false">IF($A1715="","",IF(N(H1715)=0,"",RANK(H1715,$H$5:$H$2004)))</f>
        <v/>
      </c>
      <c r="J1715" s="21" t="str">
        <f aca="false">IF($A1715="","",IF(B1715=0,"No COD orders",IF(B1715&lt;Settings!$B$8,"Too few orders",IF(D1715&gt;=Settings!$B$9,"Restrict COD or verify","Keep COD"))))</f>
        <v/>
      </c>
    </row>
    <row r="1716" customFormat="false" ht="15" hidden="false" customHeight="false" outlineLevel="0" collapsed="false">
      <c r="A1716" s="27"/>
      <c r="B1716" s="17" t="str">
        <f aca="false">IF($A1716="","",COUNTIFS(Orders!$C$2:$C$20001,$A1716,Orders!$E$2:$E$20001,"COD",Orders!$F$2:$F$20001,"Delivered")+COUNTIFS(Orders!$C$2:$C$20001,$A1716,Orders!$E$2:$E$20001,"COD",Orders!$F$2:$F$20001,"RTO"))</f>
        <v/>
      </c>
      <c r="C1716" s="17" t="str">
        <f aca="false">IF($A1716="","",COUNTIFS(Orders!$C$2:$C$20001,$A1716,Orders!$E$2:$E$20001,"COD",Orders!$F$2:$F$20001,"RTO"))</f>
        <v/>
      </c>
      <c r="D1716" s="18" t="str">
        <f aca="false">IF($A1716="","",IFERROR(C1716/B1716,0))</f>
        <v/>
      </c>
      <c r="E1716" s="17" t="str">
        <f aca="false">IF($A1716="","",COUNTIFS(Orders!$C$2:$C$20001,$A1716,Orders!$E$2:$E$20001,"Prepaid",Orders!$F$2:$F$20001,"Delivered")+COUNTIFS(Orders!$C$2:$C$20001,$A1716,Orders!$E$2:$E$20001,"Prepaid",Orders!$F$2:$F$20001,"RTO"))</f>
        <v/>
      </c>
      <c r="F1716" s="17" t="str">
        <f aca="false">IF($A1716="","",COUNTIFS(Orders!$C$2:$C$20001,$A1716,Orders!$E$2:$E$20001,"Prepaid",Orders!$F$2:$F$20001,"RTO"))</f>
        <v/>
      </c>
      <c r="G1716" s="18" t="str">
        <f aca="false">IF($A1716="","",IFERROR(F1716/E1716,0))</f>
        <v/>
      </c>
      <c r="H1716" s="19" t="str">
        <f aca="false">IF($A1716="","",C1716*Settings!$B$11)</f>
        <v/>
      </c>
      <c r="I1716" s="20" t="str">
        <f aca="false">IF($A1716="","",IF(N(H1716)=0,"",RANK(H1716,$H$5:$H$2004)))</f>
        <v/>
      </c>
      <c r="J1716" s="21" t="str">
        <f aca="false">IF($A1716="","",IF(B1716=0,"No COD orders",IF(B1716&lt;Settings!$B$8,"Too few orders",IF(D1716&gt;=Settings!$B$9,"Restrict COD or verify","Keep COD"))))</f>
        <v/>
      </c>
    </row>
    <row r="1717" customFormat="false" ht="15" hidden="false" customHeight="false" outlineLevel="0" collapsed="false">
      <c r="A1717" s="27"/>
      <c r="B1717" s="17" t="str">
        <f aca="false">IF($A1717="","",COUNTIFS(Orders!$C$2:$C$20001,$A1717,Orders!$E$2:$E$20001,"COD",Orders!$F$2:$F$20001,"Delivered")+COUNTIFS(Orders!$C$2:$C$20001,$A1717,Orders!$E$2:$E$20001,"COD",Orders!$F$2:$F$20001,"RTO"))</f>
        <v/>
      </c>
      <c r="C1717" s="17" t="str">
        <f aca="false">IF($A1717="","",COUNTIFS(Orders!$C$2:$C$20001,$A1717,Orders!$E$2:$E$20001,"COD",Orders!$F$2:$F$20001,"RTO"))</f>
        <v/>
      </c>
      <c r="D1717" s="18" t="str">
        <f aca="false">IF($A1717="","",IFERROR(C1717/B1717,0))</f>
        <v/>
      </c>
      <c r="E1717" s="17" t="str">
        <f aca="false">IF($A1717="","",COUNTIFS(Orders!$C$2:$C$20001,$A1717,Orders!$E$2:$E$20001,"Prepaid",Orders!$F$2:$F$20001,"Delivered")+COUNTIFS(Orders!$C$2:$C$20001,$A1717,Orders!$E$2:$E$20001,"Prepaid",Orders!$F$2:$F$20001,"RTO"))</f>
        <v/>
      </c>
      <c r="F1717" s="17" t="str">
        <f aca="false">IF($A1717="","",COUNTIFS(Orders!$C$2:$C$20001,$A1717,Orders!$E$2:$E$20001,"Prepaid",Orders!$F$2:$F$20001,"RTO"))</f>
        <v/>
      </c>
      <c r="G1717" s="18" t="str">
        <f aca="false">IF($A1717="","",IFERROR(F1717/E1717,0))</f>
        <v/>
      </c>
      <c r="H1717" s="19" t="str">
        <f aca="false">IF($A1717="","",C1717*Settings!$B$11)</f>
        <v/>
      </c>
      <c r="I1717" s="20" t="str">
        <f aca="false">IF($A1717="","",IF(N(H1717)=0,"",RANK(H1717,$H$5:$H$2004)))</f>
        <v/>
      </c>
      <c r="J1717" s="21" t="str">
        <f aca="false">IF($A1717="","",IF(B1717=0,"No COD orders",IF(B1717&lt;Settings!$B$8,"Too few orders",IF(D1717&gt;=Settings!$B$9,"Restrict COD or verify","Keep COD"))))</f>
        <v/>
      </c>
    </row>
    <row r="1718" customFormat="false" ht="15" hidden="false" customHeight="false" outlineLevel="0" collapsed="false">
      <c r="A1718" s="27"/>
      <c r="B1718" s="17" t="str">
        <f aca="false">IF($A1718="","",COUNTIFS(Orders!$C$2:$C$20001,$A1718,Orders!$E$2:$E$20001,"COD",Orders!$F$2:$F$20001,"Delivered")+COUNTIFS(Orders!$C$2:$C$20001,$A1718,Orders!$E$2:$E$20001,"COD",Orders!$F$2:$F$20001,"RTO"))</f>
        <v/>
      </c>
      <c r="C1718" s="17" t="str">
        <f aca="false">IF($A1718="","",COUNTIFS(Orders!$C$2:$C$20001,$A1718,Orders!$E$2:$E$20001,"COD",Orders!$F$2:$F$20001,"RTO"))</f>
        <v/>
      </c>
      <c r="D1718" s="18" t="str">
        <f aca="false">IF($A1718="","",IFERROR(C1718/B1718,0))</f>
        <v/>
      </c>
      <c r="E1718" s="17" t="str">
        <f aca="false">IF($A1718="","",COUNTIFS(Orders!$C$2:$C$20001,$A1718,Orders!$E$2:$E$20001,"Prepaid",Orders!$F$2:$F$20001,"Delivered")+COUNTIFS(Orders!$C$2:$C$20001,$A1718,Orders!$E$2:$E$20001,"Prepaid",Orders!$F$2:$F$20001,"RTO"))</f>
        <v/>
      </c>
      <c r="F1718" s="17" t="str">
        <f aca="false">IF($A1718="","",COUNTIFS(Orders!$C$2:$C$20001,$A1718,Orders!$E$2:$E$20001,"Prepaid",Orders!$F$2:$F$20001,"RTO"))</f>
        <v/>
      </c>
      <c r="G1718" s="18" t="str">
        <f aca="false">IF($A1718="","",IFERROR(F1718/E1718,0))</f>
        <v/>
      </c>
      <c r="H1718" s="19" t="str">
        <f aca="false">IF($A1718="","",C1718*Settings!$B$11)</f>
        <v/>
      </c>
      <c r="I1718" s="20" t="str">
        <f aca="false">IF($A1718="","",IF(N(H1718)=0,"",RANK(H1718,$H$5:$H$2004)))</f>
        <v/>
      </c>
      <c r="J1718" s="21" t="str">
        <f aca="false">IF($A1718="","",IF(B1718=0,"No COD orders",IF(B1718&lt;Settings!$B$8,"Too few orders",IF(D1718&gt;=Settings!$B$9,"Restrict COD or verify","Keep COD"))))</f>
        <v/>
      </c>
    </row>
    <row r="1719" customFormat="false" ht="15" hidden="false" customHeight="false" outlineLevel="0" collapsed="false">
      <c r="A1719" s="27"/>
      <c r="B1719" s="17" t="str">
        <f aca="false">IF($A1719="","",COUNTIFS(Orders!$C$2:$C$20001,$A1719,Orders!$E$2:$E$20001,"COD",Orders!$F$2:$F$20001,"Delivered")+COUNTIFS(Orders!$C$2:$C$20001,$A1719,Orders!$E$2:$E$20001,"COD",Orders!$F$2:$F$20001,"RTO"))</f>
        <v/>
      </c>
      <c r="C1719" s="17" t="str">
        <f aca="false">IF($A1719="","",COUNTIFS(Orders!$C$2:$C$20001,$A1719,Orders!$E$2:$E$20001,"COD",Orders!$F$2:$F$20001,"RTO"))</f>
        <v/>
      </c>
      <c r="D1719" s="18" t="str">
        <f aca="false">IF($A1719="","",IFERROR(C1719/B1719,0))</f>
        <v/>
      </c>
      <c r="E1719" s="17" t="str">
        <f aca="false">IF($A1719="","",COUNTIFS(Orders!$C$2:$C$20001,$A1719,Orders!$E$2:$E$20001,"Prepaid",Orders!$F$2:$F$20001,"Delivered")+COUNTIFS(Orders!$C$2:$C$20001,$A1719,Orders!$E$2:$E$20001,"Prepaid",Orders!$F$2:$F$20001,"RTO"))</f>
        <v/>
      </c>
      <c r="F1719" s="17" t="str">
        <f aca="false">IF($A1719="","",COUNTIFS(Orders!$C$2:$C$20001,$A1719,Orders!$E$2:$E$20001,"Prepaid",Orders!$F$2:$F$20001,"RTO"))</f>
        <v/>
      </c>
      <c r="G1719" s="18" t="str">
        <f aca="false">IF($A1719="","",IFERROR(F1719/E1719,0))</f>
        <v/>
      </c>
      <c r="H1719" s="19" t="str">
        <f aca="false">IF($A1719="","",C1719*Settings!$B$11)</f>
        <v/>
      </c>
      <c r="I1719" s="20" t="str">
        <f aca="false">IF($A1719="","",IF(N(H1719)=0,"",RANK(H1719,$H$5:$H$2004)))</f>
        <v/>
      </c>
      <c r="J1719" s="21" t="str">
        <f aca="false">IF($A1719="","",IF(B1719=0,"No COD orders",IF(B1719&lt;Settings!$B$8,"Too few orders",IF(D1719&gt;=Settings!$B$9,"Restrict COD or verify","Keep COD"))))</f>
        <v/>
      </c>
    </row>
    <row r="1720" customFormat="false" ht="15" hidden="false" customHeight="false" outlineLevel="0" collapsed="false">
      <c r="A1720" s="27"/>
      <c r="B1720" s="17" t="str">
        <f aca="false">IF($A1720="","",COUNTIFS(Orders!$C$2:$C$20001,$A1720,Orders!$E$2:$E$20001,"COD",Orders!$F$2:$F$20001,"Delivered")+COUNTIFS(Orders!$C$2:$C$20001,$A1720,Orders!$E$2:$E$20001,"COD",Orders!$F$2:$F$20001,"RTO"))</f>
        <v/>
      </c>
      <c r="C1720" s="17" t="str">
        <f aca="false">IF($A1720="","",COUNTIFS(Orders!$C$2:$C$20001,$A1720,Orders!$E$2:$E$20001,"COD",Orders!$F$2:$F$20001,"RTO"))</f>
        <v/>
      </c>
      <c r="D1720" s="18" t="str">
        <f aca="false">IF($A1720="","",IFERROR(C1720/B1720,0))</f>
        <v/>
      </c>
      <c r="E1720" s="17" t="str">
        <f aca="false">IF($A1720="","",COUNTIFS(Orders!$C$2:$C$20001,$A1720,Orders!$E$2:$E$20001,"Prepaid",Orders!$F$2:$F$20001,"Delivered")+COUNTIFS(Orders!$C$2:$C$20001,$A1720,Orders!$E$2:$E$20001,"Prepaid",Orders!$F$2:$F$20001,"RTO"))</f>
        <v/>
      </c>
      <c r="F1720" s="17" t="str">
        <f aca="false">IF($A1720="","",COUNTIFS(Orders!$C$2:$C$20001,$A1720,Orders!$E$2:$E$20001,"Prepaid",Orders!$F$2:$F$20001,"RTO"))</f>
        <v/>
      </c>
      <c r="G1720" s="18" t="str">
        <f aca="false">IF($A1720="","",IFERROR(F1720/E1720,0))</f>
        <v/>
      </c>
      <c r="H1720" s="19" t="str">
        <f aca="false">IF($A1720="","",C1720*Settings!$B$11)</f>
        <v/>
      </c>
      <c r="I1720" s="20" t="str">
        <f aca="false">IF($A1720="","",IF(N(H1720)=0,"",RANK(H1720,$H$5:$H$2004)))</f>
        <v/>
      </c>
      <c r="J1720" s="21" t="str">
        <f aca="false">IF($A1720="","",IF(B1720=0,"No COD orders",IF(B1720&lt;Settings!$B$8,"Too few orders",IF(D1720&gt;=Settings!$B$9,"Restrict COD or verify","Keep COD"))))</f>
        <v/>
      </c>
    </row>
    <row r="1721" customFormat="false" ht="15" hidden="false" customHeight="false" outlineLevel="0" collapsed="false">
      <c r="A1721" s="27"/>
      <c r="B1721" s="17" t="str">
        <f aca="false">IF($A1721="","",COUNTIFS(Orders!$C$2:$C$20001,$A1721,Orders!$E$2:$E$20001,"COD",Orders!$F$2:$F$20001,"Delivered")+COUNTIFS(Orders!$C$2:$C$20001,$A1721,Orders!$E$2:$E$20001,"COD",Orders!$F$2:$F$20001,"RTO"))</f>
        <v/>
      </c>
      <c r="C1721" s="17" t="str">
        <f aca="false">IF($A1721="","",COUNTIFS(Orders!$C$2:$C$20001,$A1721,Orders!$E$2:$E$20001,"COD",Orders!$F$2:$F$20001,"RTO"))</f>
        <v/>
      </c>
      <c r="D1721" s="18" t="str">
        <f aca="false">IF($A1721="","",IFERROR(C1721/B1721,0))</f>
        <v/>
      </c>
      <c r="E1721" s="17" t="str">
        <f aca="false">IF($A1721="","",COUNTIFS(Orders!$C$2:$C$20001,$A1721,Orders!$E$2:$E$20001,"Prepaid",Orders!$F$2:$F$20001,"Delivered")+COUNTIFS(Orders!$C$2:$C$20001,$A1721,Orders!$E$2:$E$20001,"Prepaid",Orders!$F$2:$F$20001,"RTO"))</f>
        <v/>
      </c>
      <c r="F1721" s="17" t="str">
        <f aca="false">IF($A1721="","",COUNTIFS(Orders!$C$2:$C$20001,$A1721,Orders!$E$2:$E$20001,"Prepaid",Orders!$F$2:$F$20001,"RTO"))</f>
        <v/>
      </c>
      <c r="G1721" s="18" t="str">
        <f aca="false">IF($A1721="","",IFERROR(F1721/E1721,0))</f>
        <v/>
      </c>
      <c r="H1721" s="19" t="str">
        <f aca="false">IF($A1721="","",C1721*Settings!$B$11)</f>
        <v/>
      </c>
      <c r="I1721" s="20" t="str">
        <f aca="false">IF($A1721="","",IF(N(H1721)=0,"",RANK(H1721,$H$5:$H$2004)))</f>
        <v/>
      </c>
      <c r="J1721" s="21" t="str">
        <f aca="false">IF($A1721="","",IF(B1721=0,"No COD orders",IF(B1721&lt;Settings!$B$8,"Too few orders",IF(D1721&gt;=Settings!$B$9,"Restrict COD or verify","Keep COD"))))</f>
        <v/>
      </c>
    </row>
    <row r="1722" customFormat="false" ht="15" hidden="false" customHeight="false" outlineLevel="0" collapsed="false">
      <c r="A1722" s="27"/>
      <c r="B1722" s="17" t="str">
        <f aca="false">IF($A1722="","",COUNTIFS(Orders!$C$2:$C$20001,$A1722,Orders!$E$2:$E$20001,"COD",Orders!$F$2:$F$20001,"Delivered")+COUNTIFS(Orders!$C$2:$C$20001,$A1722,Orders!$E$2:$E$20001,"COD",Orders!$F$2:$F$20001,"RTO"))</f>
        <v/>
      </c>
      <c r="C1722" s="17" t="str">
        <f aca="false">IF($A1722="","",COUNTIFS(Orders!$C$2:$C$20001,$A1722,Orders!$E$2:$E$20001,"COD",Orders!$F$2:$F$20001,"RTO"))</f>
        <v/>
      </c>
      <c r="D1722" s="18" t="str">
        <f aca="false">IF($A1722="","",IFERROR(C1722/B1722,0))</f>
        <v/>
      </c>
      <c r="E1722" s="17" t="str">
        <f aca="false">IF($A1722="","",COUNTIFS(Orders!$C$2:$C$20001,$A1722,Orders!$E$2:$E$20001,"Prepaid",Orders!$F$2:$F$20001,"Delivered")+COUNTIFS(Orders!$C$2:$C$20001,$A1722,Orders!$E$2:$E$20001,"Prepaid",Orders!$F$2:$F$20001,"RTO"))</f>
        <v/>
      </c>
      <c r="F1722" s="17" t="str">
        <f aca="false">IF($A1722="","",COUNTIFS(Orders!$C$2:$C$20001,$A1722,Orders!$E$2:$E$20001,"Prepaid",Orders!$F$2:$F$20001,"RTO"))</f>
        <v/>
      </c>
      <c r="G1722" s="18" t="str">
        <f aca="false">IF($A1722="","",IFERROR(F1722/E1722,0))</f>
        <v/>
      </c>
      <c r="H1722" s="19" t="str">
        <f aca="false">IF($A1722="","",C1722*Settings!$B$11)</f>
        <v/>
      </c>
      <c r="I1722" s="20" t="str">
        <f aca="false">IF($A1722="","",IF(N(H1722)=0,"",RANK(H1722,$H$5:$H$2004)))</f>
        <v/>
      </c>
      <c r="J1722" s="21" t="str">
        <f aca="false">IF($A1722="","",IF(B1722=0,"No COD orders",IF(B1722&lt;Settings!$B$8,"Too few orders",IF(D1722&gt;=Settings!$B$9,"Restrict COD or verify","Keep COD"))))</f>
        <v/>
      </c>
    </row>
    <row r="1723" customFormat="false" ht="15" hidden="false" customHeight="false" outlineLevel="0" collapsed="false">
      <c r="A1723" s="27"/>
      <c r="B1723" s="17" t="str">
        <f aca="false">IF($A1723="","",COUNTIFS(Orders!$C$2:$C$20001,$A1723,Orders!$E$2:$E$20001,"COD",Orders!$F$2:$F$20001,"Delivered")+COUNTIFS(Orders!$C$2:$C$20001,$A1723,Orders!$E$2:$E$20001,"COD",Orders!$F$2:$F$20001,"RTO"))</f>
        <v/>
      </c>
      <c r="C1723" s="17" t="str">
        <f aca="false">IF($A1723="","",COUNTIFS(Orders!$C$2:$C$20001,$A1723,Orders!$E$2:$E$20001,"COD",Orders!$F$2:$F$20001,"RTO"))</f>
        <v/>
      </c>
      <c r="D1723" s="18" t="str">
        <f aca="false">IF($A1723="","",IFERROR(C1723/B1723,0))</f>
        <v/>
      </c>
      <c r="E1723" s="17" t="str">
        <f aca="false">IF($A1723="","",COUNTIFS(Orders!$C$2:$C$20001,$A1723,Orders!$E$2:$E$20001,"Prepaid",Orders!$F$2:$F$20001,"Delivered")+COUNTIFS(Orders!$C$2:$C$20001,$A1723,Orders!$E$2:$E$20001,"Prepaid",Orders!$F$2:$F$20001,"RTO"))</f>
        <v/>
      </c>
      <c r="F1723" s="17" t="str">
        <f aca="false">IF($A1723="","",COUNTIFS(Orders!$C$2:$C$20001,$A1723,Orders!$E$2:$E$20001,"Prepaid",Orders!$F$2:$F$20001,"RTO"))</f>
        <v/>
      </c>
      <c r="G1723" s="18" t="str">
        <f aca="false">IF($A1723="","",IFERROR(F1723/E1723,0))</f>
        <v/>
      </c>
      <c r="H1723" s="19" t="str">
        <f aca="false">IF($A1723="","",C1723*Settings!$B$11)</f>
        <v/>
      </c>
      <c r="I1723" s="20" t="str">
        <f aca="false">IF($A1723="","",IF(N(H1723)=0,"",RANK(H1723,$H$5:$H$2004)))</f>
        <v/>
      </c>
      <c r="J1723" s="21" t="str">
        <f aca="false">IF($A1723="","",IF(B1723=0,"No COD orders",IF(B1723&lt;Settings!$B$8,"Too few orders",IF(D1723&gt;=Settings!$B$9,"Restrict COD or verify","Keep COD"))))</f>
        <v/>
      </c>
    </row>
    <row r="1724" customFormat="false" ht="15" hidden="false" customHeight="false" outlineLevel="0" collapsed="false">
      <c r="A1724" s="27"/>
      <c r="B1724" s="17" t="str">
        <f aca="false">IF($A1724="","",COUNTIFS(Orders!$C$2:$C$20001,$A1724,Orders!$E$2:$E$20001,"COD",Orders!$F$2:$F$20001,"Delivered")+COUNTIFS(Orders!$C$2:$C$20001,$A1724,Orders!$E$2:$E$20001,"COD",Orders!$F$2:$F$20001,"RTO"))</f>
        <v/>
      </c>
      <c r="C1724" s="17" t="str">
        <f aca="false">IF($A1724="","",COUNTIFS(Orders!$C$2:$C$20001,$A1724,Orders!$E$2:$E$20001,"COD",Orders!$F$2:$F$20001,"RTO"))</f>
        <v/>
      </c>
      <c r="D1724" s="18" t="str">
        <f aca="false">IF($A1724="","",IFERROR(C1724/B1724,0))</f>
        <v/>
      </c>
      <c r="E1724" s="17" t="str">
        <f aca="false">IF($A1724="","",COUNTIFS(Orders!$C$2:$C$20001,$A1724,Orders!$E$2:$E$20001,"Prepaid",Orders!$F$2:$F$20001,"Delivered")+COUNTIFS(Orders!$C$2:$C$20001,$A1724,Orders!$E$2:$E$20001,"Prepaid",Orders!$F$2:$F$20001,"RTO"))</f>
        <v/>
      </c>
      <c r="F1724" s="17" t="str">
        <f aca="false">IF($A1724="","",COUNTIFS(Orders!$C$2:$C$20001,$A1724,Orders!$E$2:$E$20001,"Prepaid",Orders!$F$2:$F$20001,"RTO"))</f>
        <v/>
      </c>
      <c r="G1724" s="18" t="str">
        <f aca="false">IF($A1724="","",IFERROR(F1724/E1724,0))</f>
        <v/>
      </c>
      <c r="H1724" s="19" t="str">
        <f aca="false">IF($A1724="","",C1724*Settings!$B$11)</f>
        <v/>
      </c>
      <c r="I1724" s="20" t="str">
        <f aca="false">IF($A1724="","",IF(N(H1724)=0,"",RANK(H1724,$H$5:$H$2004)))</f>
        <v/>
      </c>
      <c r="J1724" s="21" t="str">
        <f aca="false">IF($A1724="","",IF(B1724=0,"No COD orders",IF(B1724&lt;Settings!$B$8,"Too few orders",IF(D1724&gt;=Settings!$B$9,"Restrict COD or verify","Keep COD"))))</f>
        <v/>
      </c>
    </row>
    <row r="1725" customFormat="false" ht="15" hidden="false" customHeight="false" outlineLevel="0" collapsed="false">
      <c r="A1725" s="27"/>
      <c r="B1725" s="17" t="str">
        <f aca="false">IF($A1725="","",COUNTIFS(Orders!$C$2:$C$20001,$A1725,Orders!$E$2:$E$20001,"COD",Orders!$F$2:$F$20001,"Delivered")+COUNTIFS(Orders!$C$2:$C$20001,$A1725,Orders!$E$2:$E$20001,"COD",Orders!$F$2:$F$20001,"RTO"))</f>
        <v/>
      </c>
      <c r="C1725" s="17" t="str">
        <f aca="false">IF($A1725="","",COUNTIFS(Orders!$C$2:$C$20001,$A1725,Orders!$E$2:$E$20001,"COD",Orders!$F$2:$F$20001,"RTO"))</f>
        <v/>
      </c>
      <c r="D1725" s="18" t="str">
        <f aca="false">IF($A1725="","",IFERROR(C1725/B1725,0))</f>
        <v/>
      </c>
      <c r="E1725" s="17" t="str">
        <f aca="false">IF($A1725="","",COUNTIFS(Orders!$C$2:$C$20001,$A1725,Orders!$E$2:$E$20001,"Prepaid",Orders!$F$2:$F$20001,"Delivered")+COUNTIFS(Orders!$C$2:$C$20001,$A1725,Orders!$E$2:$E$20001,"Prepaid",Orders!$F$2:$F$20001,"RTO"))</f>
        <v/>
      </c>
      <c r="F1725" s="17" t="str">
        <f aca="false">IF($A1725="","",COUNTIFS(Orders!$C$2:$C$20001,$A1725,Orders!$E$2:$E$20001,"Prepaid",Orders!$F$2:$F$20001,"RTO"))</f>
        <v/>
      </c>
      <c r="G1725" s="18" t="str">
        <f aca="false">IF($A1725="","",IFERROR(F1725/E1725,0))</f>
        <v/>
      </c>
      <c r="H1725" s="19" t="str">
        <f aca="false">IF($A1725="","",C1725*Settings!$B$11)</f>
        <v/>
      </c>
      <c r="I1725" s="20" t="str">
        <f aca="false">IF($A1725="","",IF(N(H1725)=0,"",RANK(H1725,$H$5:$H$2004)))</f>
        <v/>
      </c>
      <c r="J1725" s="21" t="str">
        <f aca="false">IF($A1725="","",IF(B1725=0,"No COD orders",IF(B1725&lt;Settings!$B$8,"Too few orders",IF(D1725&gt;=Settings!$B$9,"Restrict COD or verify","Keep COD"))))</f>
        <v/>
      </c>
    </row>
    <row r="1726" customFormat="false" ht="15" hidden="false" customHeight="false" outlineLevel="0" collapsed="false">
      <c r="A1726" s="27"/>
      <c r="B1726" s="17" t="str">
        <f aca="false">IF($A1726="","",COUNTIFS(Orders!$C$2:$C$20001,$A1726,Orders!$E$2:$E$20001,"COD",Orders!$F$2:$F$20001,"Delivered")+COUNTIFS(Orders!$C$2:$C$20001,$A1726,Orders!$E$2:$E$20001,"COD",Orders!$F$2:$F$20001,"RTO"))</f>
        <v/>
      </c>
      <c r="C1726" s="17" t="str">
        <f aca="false">IF($A1726="","",COUNTIFS(Orders!$C$2:$C$20001,$A1726,Orders!$E$2:$E$20001,"COD",Orders!$F$2:$F$20001,"RTO"))</f>
        <v/>
      </c>
      <c r="D1726" s="18" t="str">
        <f aca="false">IF($A1726="","",IFERROR(C1726/B1726,0))</f>
        <v/>
      </c>
      <c r="E1726" s="17" t="str">
        <f aca="false">IF($A1726="","",COUNTIFS(Orders!$C$2:$C$20001,$A1726,Orders!$E$2:$E$20001,"Prepaid",Orders!$F$2:$F$20001,"Delivered")+COUNTIFS(Orders!$C$2:$C$20001,$A1726,Orders!$E$2:$E$20001,"Prepaid",Orders!$F$2:$F$20001,"RTO"))</f>
        <v/>
      </c>
      <c r="F1726" s="17" t="str">
        <f aca="false">IF($A1726="","",COUNTIFS(Orders!$C$2:$C$20001,$A1726,Orders!$E$2:$E$20001,"Prepaid",Orders!$F$2:$F$20001,"RTO"))</f>
        <v/>
      </c>
      <c r="G1726" s="18" t="str">
        <f aca="false">IF($A1726="","",IFERROR(F1726/E1726,0))</f>
        <v/>
      </c>
      <c r="H1726" s="19" t="str">
        <f aca="false">IF($A1726="","",C1726*Settings!$B$11)</f>
        <v/>
      </c>
      <c r="I1726" s="20" t="str">
        <f aca="false">IF($A1726="","",IF(N(H1726)=0,"",RANK(H1726,$H$5:$H$2004)))</f>
        <v/>
      </c>
      <c r="J1726" s="21" t="str">
        <f aca="false">IF($A1726="","",IF(B1726=0,"No COD orders",IF(B1726&lt;Settings!$B$8,"Too few orders",IF(D1726&gt;=Settings!$B$9,"Restrict COD or verify","Keep COD"))))</f>
        <v/>
      </c>
    </row>
    <row r="1727" customFormat="false" ht="15" hidden="false" customHeight="false" outlineLevel="0" collapsed="false">
      <c r="A1727" s="27"/>
      <c r="B1727" s="17" t="str">
        <f aca="false">IF($A1727="","",COUNTIFS(Orders!$C$2:$C$20001,$A1727,Orders!$E$2:$E$20001,"COD",Orders!$F$2:$F$20001,"Delivered")+COUNTIFS(Orders!$C$2:$C$20001,$A1727,Orders!$E$2:$E$20001,"COD",Orders!$F$2:$F$20001,"RTO"))</f>
        <v/>
      </c>
      <c r="C1727" s="17" t="str">
        <f aca="false">IF($A1727="","",COUNTIFS(Orders!$C$2:$C$20001,$A1727,Orders!$E$2:$E$20001,"COD",Orders!$F$2:$F$20001,"RTO"))</f>
        <v/>
      </c>
      <c r="D1727" s="18" t="str">
        <f aca="false">IF($A1727="","",IFERROR(C1727/B1727,0))</f>
        <v/>
      </c>
      <c r="E1727" s="17" t="str">
        <f aca="false">IF($A1727="","",COUNTIFS(Orders!$C$2:$C$20001,$A1727,Orders!$E$2:$E$20001,"Prepaid",Orders!$F$2:$F$20001,"Delivered")+COUNTIFS(Orders!$C$2:$C$20001,$A1727,Orders!$E$2:$E$20001,"Prepaid",Orders!$F$2:$F$20001,"RTO"))</f>
        <v/>
      </c>
      <c r="F1727" s="17" t="str">
        <f aca="false">IF($A1727="","",COUNTIFS(Orders!$C$2:$C$20001,$A1727,Orders!$E$2:$E$20001,"Prepaid",Orders!$F$2:$F$20001,"RTO"))</f>
        <v/>
      </c>
      <c r="G1727" s="18" t="str">
        <f aca="false">IF($A1727="","",IFERROR(F1727/E1727,0))</f>
        <v/>
      </c>
      <c r="H1727" s="19" t="str">
        <f aca="false">IF($A1727="","",C1727*Settings!$B$11)</f>
        <v/>
      </c>
      <c r="I1727" s="20" t="str">
        <f aca="false">IF($A1727="","",IF(N(H1727)=0,"",RANK(H1727,$H$5:$H$2004)))</f>
        <v/>
      </c>
      <c r="J1727" s="21" t="str">
        <f aca="false">IF($A1727="","",IF(B1727=0,"No COD orders",IF(B1727&lt;Settings!$B$8,"Too few orders",IF(D1727&gt;=Settings!$B$9,"Restrict COD or verify","Keep COD"))))</f>
        <v/>
      </c>
    </row>
    <row r="1728" customFormat="false" ht="15" hidden="false" customHeight="false" outlineLevel="0" collapsed="false">
      <c r="A1728" s="27"/>
      <c r="B1728" s="17" t="str">
        <f aca="false">IF($A1728="","",COUNTIFS(Orders!$C$2:$C$20001,$A1728,Orders!$E$2:$E$20001,"COD",Orders!$F$2:$F$20001,"Delivered")+COUNTIFS(Orders!$C$2:$C$20001,$A1728,Orders!$E$2:$E$20001,"COD",Orders!$F$2:$F$20001,"RTO"))</f>
        <v/>
      </c>
      <c r="C1728" s="17" t="str">
        <f aca="false">IF($A1728="","",COUNTIFS(Orders!$C$2:$C$20001,$A1728,Orders!$E$2:$E$20001,"COD",Orders!$F$2:$F$20001,"RTO"))</f>
        <v/>
      </c>
      <c r="D1728" s="18" t="str">
        <f aca="false">IF($A1728="","",IFERROR(C1728/B1728,0))</f>
        <v/>
      </c>
      <c r="E1728" s="17" t="str">
        <f aca="false">IF($A1728="","",COUNTIFS(Orders!$C$2:$C$20001,$A1728,Orders!$E$2:$E$20001,"Prepaid",Orders!$F$2:$F$20001,"Delivered")+COUNTIFS(Orders!$C$2:$C$20001,$A1728,Orders!$E$2:$E$20001,"Prepaid",Orders!$F$2:$F$20001,"RTO"))</f>
        <v/>
      </c>
      <c r="F1728" s="17" t="str">
        <f aca="false">IF($A1728="","",COUNTIFS(Orders!$C$2:$C$20001,$A1728,Orders!$E$2:$E$20001,"Prepaid",Orders!$F$2:$F$20001,"RTO"))</f>
        <v/>
      </c>
      <c r="G1728" s="18" t="str">
        <f aca="false">IF($A1728="","",IFERROR(F1728/E1728,0))</f>
        <v/>
      </c>
      <c r="H1728" s="19" t="str">
        <f aca="false">IF($A1728="","",C1728*Settings!$B$11)</f>
        <v/>
      </c>
      <c r="I1728" s="20" t="str">
        <f aca="false">IF($A1728="","",IF(N(H1728)=0,"",RANK(H1728,$H$5:$H$2004)))</f>
        <v/>
      </c>
      <c r="J1728" s="21" t="str">
        <f aca="false">IF($A1728="","",IF(B1728=0,"No COD orders",IF(B1728&lt;Settings!$B$8,"Too few orders",IF(D1728&gt;=Settings!$B$9,"Restrict COD or verify","Keep COD"))))</f>
        <v/>
      </c>
    </row>
    <row r="1729" customFormat="false" ht="15" hidden="false" customHeight="false" outlineLevel="0" collapsed="false">
      <c r="A1729" s="27"/>
      <c r="B1729" s="17" t="str">
        <f aca="false">IF($A1729="","",COUNTIFS(Orders!$C$2:$C$20001,$A1729,Orders!$E$2:$E$20001,"COD",Orders!$F$2:$F$20001,"Delivered")+COUNTIFS(Orders!$C$2:$C$20001,$A1729,Orders!$E$2:$E$20001,"COD",Orders!$F$2:$F$20001,"RTO"))</f>
        <v/>
      </c>
      <c r="C1729" s="17" t="str">
        <f aca="false">IF($A1729="","",COUNTIFS(Orders!$C$2:$C$20001,$A1729,Orders!$E$2:$E$20001,"COD",Orders!$F$2:$F$20001,"RTO"))</f>
        <v/>
      </c>
      <c r="D1729" s="18" t="str">
        <f aca="false">IF($A1729="","",IFERROR(C1729/B1729,0))</f>
        <v/>
      </c>
      <c r="E1729" s="17" t="str">
        <f aca="false">IF($A1729="","",COUNTIFS(Orders!$C$2:$C$20001,$A1729,Orders!$E$2:$E$20001,"Prepaid",Orders!$F$2:$F$20001,"Delivered")+COUNTIFS(Orders!$C$2:$C$20001,$A1729,Orders!$E$2:$E$20001,"Prepaid",Orders!$F$2:$F$20001,"RTO"))</f>
        <v/>
      </c>
      <c r="F1729" s="17" t="str">
        <f aca="false">IF($A1729="","",COUNTIFS(Orders!$C$2:$C$20001,$A1729,Orders!$E$2:$E$20001,"Prepaid",Orders!$F$2:$F$20001,"RTO"))</f>
        <v/>
      </c>
      <c r="G1729" s="18" t="str">
        <f aca="false">IF($A1729="","",IFERROR(F1729/E1729,0))</f>
        <v/>
      </c>
      <c r="H1729" s="19" t="str">
        <f aca="false">IF($A1729="","",C1729*Settings!$B$11)</f>
        <v/>
      </c>
      <c r="I1729" s="20" t="str">
        <f aca="false">IF($A1729="","",IF(N(H1729)=0,"",RANK(H1729,$H$5:$H$2004)))</f>
        <v/>
      </c>
      <c r="J1729" s="21" t="str">
        <f aca="false">IF($A1729="","",IF(B1729=0,"No COD orders",IF(B1729&lt;Settings!$B$8,"Too few orders",IF(D1729&gt;=Settings!$B$9,"Restrict COD or verify","Keep COD"))))</f>
        <v/>
      </c>
    </row>
    <row r="1730" customFormat="false" ht="15" hidden="false" customHeight="false" outlineLevel="0" collapsed="false">
      <c r="A1730" s="27"/>
      <c r="B1730" s="17" t="str">
        <f aca="false">IF($A1730="","",COUNTIFS(Orders!$C$2:$C$20001,$A1730,Orders!$E$2:$E$20001,"COD",Orders!$F$2:$F$20001,"Delivered")+COUNTIFS(Orders!$C$2:$C$20001,$A1730,Orders!$E$2:$E$20001,"COD",Orders!$F$2:$F$20001,"RTO"))</f>
        <v/>
      </c>
      <c r="C1730" s="17" t="str">
        <f aca="false">IF($A1730="","",COUNTIFS(Orders!$C$2:$C$20001,$A1730,Orders!$E$2:$E$20001,"COD",Orders!$F$2:$F$20001,"RTO"))</f>
        <v/>
      </c>
      <c r="D1730" s="18" t="str">
        <f aca="false">IF($A1730="","",IFERROR(C1730/B1730,0))</f>
        <v/>
      </c>
      <c r="E1730" s="17" t="str">
        <f aca="false">IF($A1730="","",COUNTIFS(Orders!$C$2:$C$20001,$A1730,Orders!$E$2:$E$20001,"Prepaid",Orders!$F$2:$F$20001,"Delivered")+COUNTIFS(Orders!$C$2:$C$20001,$A1730,Orders!$E$2:$E$20001,"Prepaid",Orders!$F$2:$F$20001,"RTO"))</f>
        <v/>
      </c>
      <c r="F1730" s="17" t="str">
        <f aca="false">IF($A1730="","",COUNTIFS(Orders!$C$2:$C$20001,$A1730,Orders!$E$2:$E$20001,"Prepaid",Orders!$F$2:$F$20001,"RTO"))</f>
        <v/>
      </c>
      <c r="G1730" s="18" t="str">
        <f aca="false">IF($A1730="","",IFERROR(F1730/E1730,0))</f>
        <v/>
      </c>
      <c r="H1730" s="19" t="str">
        <f aca="false">IF($A1730="","",C1730*Settings!$B$11)</f>
        <v/>
      </c>
      <c r="I1730" s="20" t="str">
        <f aca="false">IF($A1730="","",IF(N(H1730)=0,"",RANK(H1730,$H$5:$H$2004)))</f>
        <v/>
      </c>
      <c r="J1730" s="21" t="str">
        <f aca="false">IF($A1730="","",IF(B1730=0,"No COD orders",IF(B1730&lt;Settings!$B$8,"Too few orders",IF(D1730&gt;=Settings!$B$9,"Restrict COD or verify","Keep COD"))))</f>
        <v/>
      </c>
    </row>
    <row r="1731" customFormat="false" ht="15" hidden="false" customHeight="false" outlineLevel="0" collapsed="false">
      <c r="A1731" s="27"/>
      <c r="B1731" s="17" t="str">
        <f aca="false">IF($A1731="","",COUNTIFS(Orders!$C$2:$C$20001,$A1731,Orders!$E$2:$E$20001,"COD",Orders!$F$2:$F$20001,"Delivered")+COUNTIFS(Orders!$C$2:$C$20001,$A1731,Orders!$E$2:$E$20001,"COD",Orders!$F$2:$F$20001,"RTO"))</f>
        <v/>
      </c>
      <c r="C1731" s="17" t="str">
        <f aca="false">IF($A1731="","",COUNTIFS(Orders!$C$2:$C$20001,$A1731,Orders!$E$2:$E$20001,"COD",Orders!$F$2:$F$20001,"RTO"))</f>
        <v/>
      </c>
      <c r="D1731" s="18" t="str">
        <f aca="false">IF($A1731="","",IFERROR(C1731/B1731,0))</f>
        <v/>
      </c>
      <c r="E1731" s="17" t="str">
        <f aca="false">IF($A1731="","",COUNTIFS(Orders!$C$2:$C$20001,$A1731,Orders!$E$2:$E$20001,"Prepaid",Orders!$F$2:$F$20001,"Delivered")+COUNTIFS(Orders!$C$2:$C$20001,$A1731,Orders!$E$2:$E$20001,"Prepaid",Orders!$F$2:$F$20001,"RTO"))</f>
        <v/>
      </c>
      <c r="F1731" s="17" t="str">
        <f aca="false">IF($A1731="","",COUNTIFS(Orders!$C$2:$C$20001,$A1731,Orders!$E$2:$E$20001,"Prepaid",Orders!$F$2:$F$20001,"RTO"))</f>
        <v/>
      </c>
      <c r="G1731" s="18" t="str">
        <f aca="false">IF($A1731="","",IFERROR(F1731/E1731,0))</f>
        <v/>
      </c>
      <c r="H1731" s="19" t="str">
        <f aca="false">IF($A1731="","",C1731*Settings!$B$11)</f>
        <v/>
      </c>
      <c r="I1731" s="20" t="str">
        <f aca="false">IF($A1731="","",IF(N(H1731)=0,"",RANK(H1731,$H$5:$H$2004)))</f>
        <v/>
      </c>
      <c r="J1731" s="21" t="str">
        <f aca="false">IF($A1731="","",IF(B1731=0,"No COD orders",IF(B1731&lt;Settings!$B$8,"Too few orders",IF(D1731&gt;=Settings!$B$9,"Restrict COD or verify","Keep COD"))))</f>
        <v/>
      </c>
    </row>
    <row r="1732" customFormat="false" ht="15" hidden="false" customHeight="false" outlineLevel="0" collapsed="false">
      <c r="A1732" s="27"/>
      <c r="B1732" s="17" t="str">
        <f aca="false">IF($A1732="","",COUNTIFS(Orders!$C$2:$C$20001,$A1732,Orders!$E$2:$E$20001,"COD",Orders!$F$2:$F$20001,"Delivered")+COUNTIFS(Orders!$C$2:$C$20001,$A1732,Orders!$E$2:$E$20001,"COD",Orders!$F$2:$F$20001,"RTO"))</f>
        <v/>
      </c>
      <c r="C1732" s="17" t="str">
        <f aca="false">IF($A1732="","",COUNTIFS(Orders!$C$2:$C$20001,$A1732,Orders!$E$2:$E$20001,"COD",Orders!$F$2:$F$20001,"RTO"))</f>
        <v/>
      </c>
      <c r="D1732" s="18" t="str">
        <f aca="false">IF($A1732="","",IFERROR(C1732/B1732,0))</f>
        <v/>
      </c>
      <c r="E1732" s="17" t="str">
        <f aca="false">IF($A1732="","",COUNTIFS(Orders!$C$2:$C$20001,$A1732,Orders!$E$2:$E$20001,"Prepaid",Orders!$F$2:$F$20001,"Delivered")+COUNTIFS(Orders!$C$2:$C$20001,$A1732,Orders!$E$2:$E$20001,"Prepaid",Orders!$F$2:$F$20001,"RTO"))</f>
        <v/>
      </c>
      <c r="F1732" s="17" t="str">
        <f aca="false">IF($A1732="","",COUNTIFS(Orders!$C$2:$C$20001,$A1732,Orders!$E$2:$E$20001,"Prepaid",Orders!$F$2:$F$20001,"RTO"))</f>
        <v/>
      </c>
      <c r="G1732" s="18" t="str">
        <f aca="false">IF($A1732="","",IFERROR(F1732/E1732,0))</f>
        <v/>
      </c>
      <c r="H1732" s="19" t="str">
        <f aca="false">IF($A1732="","",C1732*Settings!$B$11)</f>
        <v/>
      </c>
      <c r="I1732" s="20" t="str">
        <f aca="false">IF($A1732="","",IF(N(H1732)=0,"",RANK(H1732,$H$5:$H$2004)))</f>
        <v/>
      </c>
      <c r="J1732" s="21" t="str">
        <f aca="false">IF($A1732="","",IF(B1732=0,"No COD orders",IF(B1732&lt;Settings!$B$8,"Too few orders",IF(D1732&gt;=Settings!$B$9,"Restrict COD or verify","Keep COD"))))</f>
        <v/>
      </c>
    </row>
    <row r="1733" customFormat="false" ht="15" hidden="false" customHeight="false" outlineLevel="0" collapsed="false">
      <c r="A1733" s="27"/>
      <c r="B1733" s="17" t="str">
        <f aca="false">IF($A1733="","",COUNTIFS(Orders!$C$2:$C$20001,$A1733,Orders!$E$2:$E$20001,"COD",Orders!$F$2:$F$20001,"Delivered")+COUNTIFS(Orders!$C$2:$C$20001,$A1733,Orders!$E$2:$E$20001,"COD",Orders!$F$2:$F$20001,"RTO"))</f>
        <v/>
      </c>
      <c r="C1733" s="17" t="str">
        <f aca="false">IF($A1733="","",COUNTIFS(Orders!$C$2:$C$20001,$A1733,Orders!$E$2:$E$20001,"COD",Orders!$F$2:$F$20001,"RTO"))</f>
        <v/>
      </c>
      <c r="D1733" s="18" t="str">
        <f aca="false">IF($A1733="","",IFERROR(C1733/B1733,0))</f>
        <v/>
      </c>
      <c r="E1733" s="17" t="str">
        <f aca="false">IF($A1733="","",COUNTIFS(Orders!$C$2:$C$20001,$A1733,Orders!$E$2:$E$20001,"Prepaid",Orders!$F$2:$F$20001,"Delivered")+COUNTIFS(Orders!$C$2:$C$20001,$A1733,Orders!$E$2:$E$20001,"Prepaid",Orders!$F$2:$F$20001,"RTO"))</f>
        <v/>
      </c>
      <c r="F1733" s="17" t="str">
        <f aca="false">IF($A1733="","",COUNTIFS(Orders!$C$2:$C$20001,$A1733,Orders!$E$2:$E$20001,"Prepaid",Orders!$F$2:$F$20001,"RTO"))</f>
        <v/>
      </c>
      <c r="G1733" s="18" t="str">
        <f aca="false">IF($A1733="","",IFERROR(F1733/E1733,0))</f>
        <v/>
      </c>
      <c r="H1733" s="19" t="str">
        <f aca="false">IF($A1733="","",C1733*Settings!$B$11)</f>
        <v/>
      </c>
      <c r="I1733" s="20" t="str">
        <f aca="false">IF($A1733="","",IF(N(H1733)=0,"",RANK(H1733,$H$5:$H$2004)))</f>
        <v/>
      </c>
      <c r="J1733" s="21" t="str">
        <f aca="false">IF($A1733="","",IF(B1733=0,"No COD orders",IF(B1733&lt;Settings!$B$8,"Too few orders",IF(D1733&gt;=Settings!$B$9,"Restrict COD or verify","Keep COD"))))</f>
        <v/>
      </c>
    </row>
    <row r="1734" customFormat="false" ht="15" hidden="false" customHeight="false" outlineLevel="0" collapsed="false">
      <c r="A1734" s="27"/>
      <c r="B1734" s="17" t="str">
        <f aca="false">IF($A1734="","",COUNTIFS(Orders!$C$2:$C$20001,$A1734,Orders!$E$2:$E$20001,"COD",Orders!$F$2:$F$20001,"Delivered")+COUNTIFS(Orders!$C$2:$C$20001,$A1734,Orders!$E$2:$E$20001,"COD",Orders!$F$2:$F$20001,"RTO"))</f>
        <v/>
      </c>
      <c r="C1734" s="17" t="str">
        <f aca="false">IF($A1734="","",COUNTIFS(Orders!$C$2:$C$20001,$A1734,Orders!$E$2:$E$20001,"COD",Orders!$F$2:$F$20001,"RTO"))</f>
        <v/>
      </c>
      <c r="D1734" s="18" t="str">
        <f aca="false">IF($A1734="","",IFERROR(C1734/B1734,0))</f>
        <v/>
      </c>
      <c r="E1734" s="17" t="str">
        <f aca="false">IF($A1734="","",COUNTIFS(Orders!$C$2:$C$20001,$A1734,Orders!$E$2:$E$20001,"Prepaid",Orders!$F$2:$F$20001,"Delivered")+COUNTIFS(Orders!$C$2:$C$20001,$A1734,Orders!$E$2:$E$20001,"Prepaid",Orders!$F$2:$F$20001,"RTO"))</f>
        <v/>
      </c>
      <c r="F1734" s="17" t="str">
        <f aca="false">IF($A1734="","",COUNTIFS(Orders!$C$2:$C$20001,$A1734,Orders!$E$2:$E$20001,"Prepaid",Orders!$F$2:$F$20001,"RTO"))</f>
        <v/>
      </c>
      <c r="G1734" s="18" t="str">
        <f aca="false">IF($A1734="","",IFERROR(F1734/E1734,0))</f>
        <v/>
      </c>
      <c r="H1734" s="19" t="str">
        <f aca="false">IF($A1734="","",C1734*Settings!$B$11)</f>
        <v/>
      </c>
      <c r="I1734" s="20" t="str">
        <f aca="false">IF($A1734="","",IF(N(H1734)=0,"",RANK(H1734,$H$5:$H$2004)))</f>
        <v/>
      </c>
      <c r="J1734" s="21" t="str">
        <f aca="false">IF($A1734="","",IF(B1734=0,"No COD orders",IF(B1734&lt;Settings!$B$8,"Too few orders",IF(D1734&gt;=Settings!$B$9,"Restrict COD or verify","Keep COD"))))</f>
        <v/>
      </c>
    </row>
    <row r="1735" customFormat="false" ht="15" hidden="false" customHeight="false" outlineLevel="0" collapsed="false">
      <c r="A1735" s="27"/>
      <c r="B1735" s="17" t="str">
        <f aca="false">IF($A1735="","",COUNTIFS(Orders!$C$2:$C$20001,$A1735,Orders!$E$2:$E$20001,"COD",Orders!$F$2:$F$20001,"Delivered")+COUNTIFS(Orders!$C$2:$C$20001,$A1735,Orders!$E$2:$E$20001,"COD",Orders!$F$2:$F$20001,"RTO"))</f>
        <v/>
      </c>
      <c r="C1735" s="17" t="str">
        <f aca="false">IF($A1735="","",COUNTIFS(Orders!$C$2:$C$20001,$A1735,Orders!$E$2:$E$20001,"COD",Orders!$F$2:$F$20001,"RTO"))</f>
        <v/>
      </c>
      <c r="D1735" s="18" t="str">
        <f aca="false">IF($A1735="","",IFERROR(C1735/B1735,0))</f>
        <v/>
      </c>
      <c r="E1735" s="17" t="str">
        <f aca="false">IF($A1735="","",COUNTIFS(Orders!$C$2:$C$20001,$A1735,Orders!$E$2:$E$20001,"Prepaid",Orders!$F$2:$F$20001,"Delivered")+COUNTIFS(Orders!$C$2:$C$20001,$A1735,Orders!$E$2:$E$20001,"Prepaid",Orders!$F$2:$F$20001,"RTO"))</f>
        <v/>
      </c>
      <c r="F1735" s="17" t="str">
        <f aca="false">IF($A1735="","",COUNTIFS(Orders!$C$2:$C$20001,$A1735,Orders!$E$2:$E$20001,"Prepaid",Orders!$F$2:$F$20001,"RTO"))</f>
        <v/>
      </c>
      <c r="G1735" s="18" t="str">
        <f aca="false">IF($A1735="","",IFERROR(F1735/E1735,0))</f>
        <v/>
      </c>
      <c r="H1735" s="19" t="str">
        <f aca="false">IF($A1735="","",C1735*Settings!$B$11)</f>
        <v/>
      </c>
      <c r="I1735" s="20" t="str">
        <f aca="false">IF($A1735="","",IF(N(H1735)=0,"",RANK(H1735,$H$5:$H$2004)))</f>
        <v/>
      </c>
      <c r="J1735" s="21" t="str">
        <f aca="false">IF($A1735="","",IF(B1735=0,"No COD orders",IF(B1735&lt;Settings!$B$8,"Too few orders",IF(D1735&gt;=Settings!$B$9,"Restrict COD or verify","Keep COD"))))</f>
        <v/>
      </c>
    </row>
    <row r="1736" customFormat="false" ht="15" hidden="false" customHeight="false" outlineLevel="0" collapsed="false">
      <c r="A1736" s="27"/>
      <c r="B1736" s="17" t="str">
        <f aca="false">IF($A1736="","",COUNTIFS(Orders!$C$2:$C$20001,$A1736,Orders!$E$2:$E$20001,"COD",Orders!$F$2:$F$20001,"Delivered")+COUNTIFS(Orders!$C$2:$C$20001,$A1736,Orders!$E$2:$E$20001,"COD",Orders!$F$2:$F$20001,"RTO"))</f>
        <v/>
      </c>
      <c r="C1736" s="17" t="str">
        <f aca="false">IF($A1736="","",COUNTIFS(Orders!$C$2:$C$20001,$A1736,Orders!$E$2:$E$20001,"COD",Orders!$F$2:$F$20001,"RTO"))</f>
        <v/>
      </c>
      <c r="D1736" s="18" t="str">
        <f aca="false">IF($A1736="","",IFERROR(C1736/B1736,0))</f>
        <v/>
      </c>
      <c r="E1736" s="17" t="str">
        <f aca="false">IF($A1736="","",COUNTIFS(Orders!$C$2:$C$20001,$A1736,Orders!$E$2:$E$20001,"Prepaid",Orders!$F$2:$F$20001,"Delivered")+COUNTIFS(Orders!$C$2:$C$20001,$A1736,Orders!$E$2:$E$20001,"Prepaid",Orders!$F$2:$F$20001,"RTO"))</f>
        <v/>
      </c>
      <c r="F1736" s="17" t="str">
        <f aca="false">IF($A1736="","",COUNTIFS(Orders!$C$2:$C$20001,$A1736,Orders!$E$2:$E$20001,"Prepaid",Orders!$F$2:$F$20001,"RTO"))</f>
        <v/>
      </c>
      <c r="G1736" s="18" t="str">
        <f aca="false">IF($A1736="","",IFERROR(F1736/E1736,0))</f>
        <v/>
      </c>
      <c r="H1736" s="19" t="str">
        <f aca="false">IF($A1736="","",C1736*Settings!$B$11)</f>
        <v/>
      </c>
      <c r="I1736" s="20" t="str">
        <f aca="false">IF($A1736="","",IF(N(H1736)=0,"",RANK(H1736,$H$5:$H$2004)))</f>
        <v/>
      </c>
      <c r="J1736" s="21" t="str">
        <f aca="false">IF($A1736="","",IF(B1736=0,"No COD orders",IF(B1736&lt;Settings!$B$8,"Too few orders",IF(D1736&gt;=Settings!$B$9,"Restrict COD or verify","Keep COD"))))</f>
        <v/>
      </c>
    </row>
    <row r="1737" customFormat="false" ht="15" hidden="false" customHeight="false" outlineLevel="0" collapsed="false">
      <c r="A1737" s="27"/>
      <c r="B1737" s="17" t="str">
        <f aca="false">IF($A1737="","",COUNTIFS(Orders!$C$2:$C$20001,$A1737,Orders!$E$2:$E$20001,"COD",Orders!$F$2:$F$20001,"Delivered")+COUNTIFS(Orders!$C$2:$C$20001,$A1737,Orders!$E$2:$E$20001,"COD",Orders!$F$2:$F$20001,"RTO"))</f>
        <v/>
      </c>
      <c r="C1737" s="17" t="str">
        <f aca="false">IF($A1737="","",COUNTIFS(Orders!$C$2:$C$20001,$A1737,Orders!$E$2:$E$20001,"COD",Orders!$F$2:$F$20001,"RTO"))</f>
        <v/>
      </c>
      <c r="D1737" s="18" t="str">
        <f aca="false">IF($A1737="","",IFERROR(C1737/B1737,0))</f>
        <v/>
      </c>
      <c r="E1737" s="17" t="str">
        <f aca="false">IF($A1737="","",COUNTIFS(Orders!$C$2:$C$20001,$A1737,Orders!$E$2:$E$20001,"Prepaid",Orders!$F$2:$F$20001,"Delivered")+COUNTIFS(Orders!$C$2:$C$20001,$A1737,Orders!$E$2:$E$20001,"Prepaid",Orders!$F$2:$F$20001,"RTO"))</f>
        <v/>
      </c>
      <c r="F1737" s="17" t="str">
        <f aca="false">IF($A1737="","",COUNTIFS(Orders!$C$2:$C$20001,$A1737,Orders!$E$2:$E$20001,"Prepaid",Orders!$F$2:$F$20001,"RTO"))</f>
        <v/>
      </c>
      <c r="G1737" s="18" t="str">
        <f aca="false">IF($A1737="","",IFERROR(F1737/E1737,0))</f>
        <v/>
      </c>
      <c r="H1737" s="19" t="str">
        <f aca="false">IF($A1737="","",C1737*Settings!$B$11)</f>
        <v/>
      </c>
      <c r="I1737" s="20" t="str">
        <f aca="false">IF($A1737="","",IF(N(H1737)=0,"",RANK(H1737,$H$5:$H$2004)))</f>
        <v/>
      </c>
      <c r="J1737" s="21" t="str">
        <f aca="false">IF($A1737="","",IF(B1737=0,"No COD orders",IF(B1737&lt;Settings!$B$8,"Too few orders",IF(D1737&gt;=Settings!$B$9,"Restrict COD or verify","Keep COD"))))</f>
        <v/>
      </c>
    </row>
    <row r="1738" customFormat="false" ht="15" hidden="false" customHeight="false" outlineLevel="0" collapsed="false">
      <c r="A1738" s="27"/>
      <c r="B1738" s="17" t="str">
        <f aca="false">IF($A1738="","",COUNTIFS(Orders!$C$2:$C$20001,$A1738,Orders!$E$2:$E$20001,"COD",Orders!$F$2:$F$20001,"Delivered")+COUNTIFS(Orders!$C$2:$C$20001,$A1738,Orders!$E$2:$E$20001,"COD",Orders!$F$2:$F$20001,"RTO"))</f>
        <v/>
      </c>
      <c r="C1738" s="17" t="str">
        <f aca="false">IF($A1738="","",COUNTIFS(Orders!$C$2:$C$20001,$A1738,Orders!$E$2:$E$20001,"COD",Orders!$F$2:$F$20001,"RTO"))</f>
        <v/>
      </c>
      <c r="D1738" s="18" t="str">
        <f aca="false">IF($A1738="","",IFERROR(C1738/B1738,0))</f>
        <v/>
      </c>
      <c r="E1738" s="17" t="str">
        <f aca="false">IF($A1738="","",COUNTIFS(Orders!$C$2:$C$20001,$A1738,Orders!$E$2:$E$20001,"Prepaid",Orders!$F$2:$F$20001,"Delivered")+COUNTIFS(Orders!$C$2:$C$20001,$A1738,Orders!$E$2:$E$20001,"Prepaid",Orders!$F$2:$F$20001,"RTO"))</f>
        <v/>
      </c>
      <c r="F1738" s="17" t="str">
        <f aca="false">IF($A1738="","",COUNTIFS(Orders!$C$2:$C$20001,$A1738,Orders!$E$2:$E$20001,"Prepaid",Orders!$F$2:$F$20001,"RTO"))</f>
        <v/>
      </c>
      <c r="G1738" s="18" t="str">
        <f aca="false">IF($A1738="","",IFERROR(F1738/E1738,0))</f>
        <v/>
      </c>
      <c r="H1738" s="19" t="str">
        <f aca="false">IF($A1738="","",C1738*Settings!$B$11)</f>
        <v/>
      </c>
      <c r="I1738" s="20" t="str">
        <f aca="false">IF($A1738="","",IF(N(H1738)=0,"",RANK(H1738,$H$5:$H$2004)))</f>
        <v/>
      </c>
      <c r="J1738" s="21" t="str">
        <f aca="false">IF($A1738="","",IF(B1738=0,"No COD orders",IF(B1738&lt;Settings!$B$8,"Too few orders",IF(D1738&gt;=Settings!$B$9,"Restrict COD or verify","Keep COD"))))</f>
        <v/>
      </c>
    </row>
    <row r="1739" customFormat="false" ht="15" hidden="false" customHeight="false" outlineLevel="0" collapsed="false">
      <c r="A1739" s="27"/>
      <c r="B1739" s="17" t="str">
        <f aca="false">IF($A1739="","",COUNTIFS(Orders!$C$2:$C$20001,$A1739,Orders!$E$2:$E$20001,"COD",Orders!$F$2:$F$20001,"Delivered")+COUNTIFS(Orders!$C$2:$C$20001,$A1739,Orders!$E$2:$E$20001,"COD",Orders!$F$2:$F$20001,"RTO"))</f>
        <v/>
      </c>
      <c r="C1739" s="17" t="str">
        <f aca="false">IF($A1739="","",COUNTIFS(Orders!$C$2:$C$20001,$A1739,Orders!$E$2:$E$20001,"COD",Orders!$F$2:$F$20001,"RTO"))</f>
        <v/>
      </c>
      <c r="D1739" s="18" t="str">
        <f aca="false">IF($A1739="","",IFERROR(C1739/B1739,0))</f>
        <v/>
      </c>
      <c r="E1739" s="17" t="str">
        <f aca="false">IF($A1739="","",COUNTIFS(Orders!$C$2:$C$20001,$A1739,Orders!$E$2:$E$20001,"Prepaid",Orders!$F$2:$F$20001,"Delivered")+COUNTIFS(Orders!$C$2:$C$20001,$A1739,Orders!$E$2:$E$20001,"Prepaid",Orders!$F$2:$F$20001,"RTO"))</f>
        <v/>
      </c>
      <c r="F1739" s="17" t="str">
        <f aca="false">IF($A1739="","",COUNTIFS(Orders!$C$2:$C$20001,$A1739,Orders!$E$2:$E$20001,"Prepaid",Orders!$F$2:$F$20001,"RTO"))</f>
        <v/>
      </c>
      <c r="G1739" s="18" t="str">
        <f aca="false">IF($A1739="","",IFERROR(F1739/E1739,0))</f>
        <v/>
      </c>
      <c r="H1739" s="19" t="str">
        <f aca="false">IF($A1739="","",C1739*Settings!$B$11)</f>
        <v/>
      </c>
      <c r="I1739" s="20" t="str">
        <f aca="false">IF($A1739="","",IF(N(H1739)=0,"",RANK(H1739,$H$5:$H$2004)))</f>
        <v/>
      </c>
      <c r="J1739" s="21" t="str">
        <f aca="false">IF($A1739="","",IF(B1739=0,"No COD orders",IF(B1739&lt;Settings!$B$8,"Too few orders",IF(D1739&gt;=Settings!$B$9,"Restrict COD or verify","Keep COD"))))</f>
        <v/>
      </c>
    </row>
    <row r="1740" customFormat="false" ht="15" hidden="false" customHeight="false" outlineLevel="0" collapsed="false">
      <c r="A1740" s="27"/>
      <c r="B1740" s="17" t="str">
        <f aca="false">IF($A1740="","",COUNTIFS(Orders!$C$2:$C$20001,$A1740,Orders!$E$2:$E$20001,"COD",Orders!$F$2:$F$20001,"Delivered")+COUNTIFS(Orders!$C$2:$C$20001,$A1740,Orders!$E$2:$E$20001,"COD",Orders!$F$2:$F$20001,"RTO"))</f>
        <v/>
      </c>
      <c r="C1740" s="17" t="str">
        <f aca="false">IF($A1740="","",COUNTIFS(Orders!$C$2:$C$20001,$A1740,Orders!$E$2:$E$20001,"COD",Orders!$F$2:$F$20001,"RTO"))</f>
        <v/>
      </c>
      <c r="D1740" s="18" t="str">
        <f aca="false">IF($A1740="","",IFERROR(C1740/B1740,0))</f>
        <v/>
      </c>
      <c r="E1740" s="17" t="str">
        <f aca="false">IF($A1740="","",COUNTIFS(Orders!$C$2:$C$20001,$A1740,Orders!$E$2:$E$20001,"Prepaid",Orders!$F$2:$F$20001,"Delivered")+COUNTIFS(Orders!$C$2:$C$20001,$A1740,Orders!$E$2:$E$20001,"Prepaid",Orders!$F$2:$F$20001,"RTO"))</f>
        <v/>
      </c>
      <c r="F1740" s="17" t="str">
        <f aca="false">IF($A1740="","",COUNTIFS(Orders!$C$2:$C$20001,$A1740,Orders!$E$2:$E$20001,"Prepaid",Orders!$F$2:$F$20001,"RTO"))</f>
        <v/>
      </c>
      <c r="G1740" s="18" t="str">
        <f aca="false">IF($A1740="","",IFERROR(F1740/E1740,0))</f>
        <v/>
      </c>
      <c r="H1740" s="19" t="str">
        <f aca="false">IF($A1740="","",C1740*Settings!$B$11)</f>
        <v/>
      </c>
      <c r="I1740" s="20" t="str">
        <f aca="false">IF($A1740="","",IF(N(H1740)=0,"",RANK(H1740,$H$5:$H$2004)))</f>
        <v/>
      </c>
      <c r="J1740" s="21" t="str">
        <f aca="false">IF($A1740="","",IF(B1740=0,"No COD orders",IF(B1740&lt;Settings!$B$8,"Too few orders",IF(D1740&gt;=Settings!$B$9,"Restrict COD or verify","Keep COD"))))</f>
        <v/>
      </c>
    </row>
    <row r="1741" customFormat="false" ht="15" hidden="false" customHeight="false" outlineLevel="0" collapsed="false">
      <c r="A1741" s="27"/>
      <c r="B1741" s="17" t="str">
        <f aca="false">IF($A1741="","",COUNTIFS(Orders!$C$2:$C$20001,$A1741,Orders!$E$2:$E$20001,"COD",Orders!$F$2:$F$20001,"Delivered")+COUNTIFS(Orders!$C$2:$C$20001,$A1741,Orders!$E$2:$E$20001,"COD",Orders!$F$2:$F$20001,"RTO"))</f>
        <v/>
      </c>
      <c r="C1741" s="17" t="str">
        <f aca="false">IF($A1741="","",COUNTIFS(Orders!$C$2:$C$20001,$A1741,Orders!$E$2:$E$20001,"COD",Orders!$F$2:$F$20001,"RTO"))</f>
        <v/>
      </c>
      <c r="D1741" s="18" t="str">
        <f aca="false">IF($A1741="","",IFERROR(C1741/B1741,0))</f>
        <v/>
      </c>
      <c r="E1741" s="17" t="str">
        <f aca="false">IF($A1741="","",COUNTIFS(Orders!$C$2:$C$20001,$A1741,Orders!$E$2:$E$20001,"Prepaid",Orders!$F$2:$F$20001,"Delivered")+COUNTIFS(Orders!$C$2:$C$20001,$A1741,Orders!$E$2:$E$20001,"Prepaid",Orders!$F$2:$F$20001,"RTO"))</f>
        <v/>
      </c>
      <c r="F1741" s="17" t="str">
        <f aca="false">IF($A1741="","",COUNTIFS(Orders!$C$2:$C$20001,$A1741,Orders!$E$2:$E$20001,"Prepaid",Orders!$F$2:$F$20001,"RTO"))</f>
        <v/>
      </c>
      <c r="G1741" s="18" t="str">
        <f aca="false">IF($A1741="","",IFERROR(F1741/E1741,0))</f>
        <v/>
      </c>
      <c r="H1741" s="19" t="str">
        <f aca="false">IF($A1741="","",C1741*Settings!$B$11)</f>
        <v/>
      </c>
      <c r="I1741" s="20" t="str">
        <f aca="false">IF($A1741="","",IF(N(H1741)=0,"",RANK(H1741,$H$5:$H$2004)))</f>
        <v/>
      </c>
      <c r="J1741" s="21" t="str">
        <f aca="false">IF($A1741="","",IF(B1741=0,"No COD orders",IF(B1741&lt;Settings!$B$8,"Too few orders",IF(D1741&gt;=Settings!$B$9,"Restrict COD or verify","Keep COD"))))</f>
        <v/>
      </c>
    </row>
    <row r="1742" customFormat="false" ht="15" hidden="false" customHeight="false" outlineLevel="0" collapsed="false">
      <c r="A1742" s="27"/>
      <c r="B1742" s="17" t="str">
        <f aca="false">IF($A1742="","",COUNTIFS(Orders!$C$2:$C$20001,$A1742,Orders!$E$2:$E$20001,"COD",Orders!$F$2:$F$20001,"Delivered")+COUNTIFS(Orders!$C$2:$C$20001,$A1742,Orders!$E$2:$E$20001,"COD",Orders!$F$2:$F$20001,"RTO"))</f>
        <v/>
      </c>
      <c r="C1742" s="17" t="str">
        <f aca="false">IF($A1742="","",COUNTIFS(Orders!$C$2:$C$20001,$A1742,Orders!$E$2:$E$20001,"COD",Orders!$F$2:$F$20001,"RTO"))</f>
        <v/>
      </c>
      <c r="D1742" s="18" t="str">
        <f aca="false">IF($A1742="","",IFERROR(C1742/B1742,0))</f>
        <v/>
      </c>
      <c r="E1742" s="17" t="str">
        <f aca="false">IF($A1742="","",COUNTIFS(Orders!$C$2:$C$20001,$A1742,Orders!$E$2:$E$20001,"Prepaid",Orders!$F$2:$F$20001,"Delivered")+COUNTIFS(Orders!$C$2:$C$20001,$A1742,Orders!$E$2:$E$20001,"Prepaid",Orders!$F$2:$F$20001,"RTO"))</f>
        <v/>
      </c>
      <c r="F1742" s="17" t="str">
        <f aca="false">IF($A1742="","",COUNTIFS(Orders!$C$2:$C$20001,$A1742,Orders!$E$2:$E$20001,"Prepaid",Orders!$F$2:$F$20001,"RTO"))</f>
        <v/>
      </c>
      <c r="G1742" s="18" t="str">
        <f aca="false">IF($A1742="","",IFERROR(F1742/E1742,0))</f>
        <v/>
      </c>
      <c r="H1742" s="19" t="str">
        <f aca="false">IF($A1742="","",C1742*Settings!$B$11)</f>
        <v/>
      </c>
      <c r="I1742" s="20" t="str">
        <f aca="false">IF($A1742="","",IF(N(H1742)=0,"",RANK(H1742,$H$5:$H$2004)))</f>
        <v/>
      </c>
      <c r="J1742" s="21" t="str">
        <f aca="false">IF($A1742="","",IF(B1742=0,"No COD orders",IF(B1742&lt;Settings!$B$8,"Too few orders",IF(D1742&gt;=Settings!$B$9,"Restrict COD or verify","Keep COD"))))</f>
        <v/>
      </c>
    </row>
    <row r="1743" customFormat="false" ht="15" hidden="false" customHeight="false" outlineLevel="0" collapsed="false">
      <c r="A1743" s="27"/>
      <c r="B1743" s="17" t="str">
        <f aca="false">IF($A1743="","",COUNTIFS(Orders!$C$2:$C$20001,$A1743,Orders!$E$2:$E$20001,"COD",Orders!$F$2:$F$20001,"Delivered")+COUNTIFS(Orders!$C$2:$C$20001,$A1743,Orders!$E$2:$E$20001,"COD",Orders!$F$2:$F$20001,"RTO"))</f>
        <v/>
      </c>
      <c r="C1743" s="17" t="str">
        <f aca="false">IF($A1743="","",COUNTIFS(Orders!$C$2:$C$20001,$A1743,Orders!$E$2:$E$20001,"COD",Orders!$F$2:$F$20001,"RTO"))</f>
        <v/>
      </c>
      <c r="D1743" s="18" t="str">
        <f aca="false">IF($A1743="","",IFERROR(C1743/B1743,0))</f>
        <v/>
      </c>
      <c r="E1743" s="17" t="str">
        <f aca="false">IF($A1743="","",COUNTIFS(Orders!$C$2:$C$20001,$A1743,Orders!$E$2:$E$20001,"Prepaid",Orders!$F$2:$F$20001,"Delivered")+COUNTIFS(Orders!$C$2:$C$20001,$A1743,Orders!$E$2:$E$20001,"Prepaid",Orders!$F$2:$F$20001,"RTO"))</f>
        <v/>
      </c>
      <c r="F1743" s="17" t="str">
        <f aca="false">IF($A1743="","",COUNTIFS(Orders!$C$2:$C$20001,$A1743,Orders!$E$2:$E$20001,"Prepaid",Orders!$F$2:$F$20001,"RTO"))</f>
        <v/>
      </c>
      <c r="G1743" s="18" t="str">
        <f aca="false">IF($A1743="","",IFERROR(F1743/E1743,0))</f>
        <v/>
      </c>
      <c r="H1743" s="19" t="str">
        <f aca="false">IF($A1743="","",C1743*Settings!$B$11)</f>
        <v/>
      </c>
      <c r="I1743" s="20" t="str">
        <f aca="false">IF($A1743="","",IF(N(H1743)=0,"",RANK(H1743,$H$5:$H$2004)))</f>
        <v/>
      </c>
      <c r="J1743" s="21" t="str">
        <f aca="false">IF($A1743="","",IF(B1743=0,"No COD orders",IF(B1743&lt;Settings!$B$8,"Too few orders",IF(D1743&gt;=Settings!$B$9,"Restrict COD or verify","Keep COD"))))</f>
        <v/>
      </c>
    </row>
    <row r="1744" customFormat="false" ht="15" hidden="false" customHeight="false" outlineLevel="0" collapsed="false">
      <c r="A1744" s="27"/>
      <c r="B1744" s="17" t="str">
        <f aca="false">IF($A1744="","",COUNTIFS(Orders!$C$2:$C$20001,$A1744,Orders!$E$2:$E$20001,"COD",Orders!$F$2:$F$20001,"Delivered")+COUNTIFS(Orders!$C$2:$C$20001,$A1744,Orders!$E$2:$E$20001,"COD",Orders!$F$2:$F$20001,"RTO"))</f>
        <v/>
      </c>
      <c r="C1744" s="17" t="str">
        <f aca="false">IF($A1744="","",COUNTIFS(Orders!$C$2:$C$20001,$A1744,Orders!$E$2:$E$20001,"COD",Orders!$F$2:$F$20001,"RTO"))</f>
        <v/>
      </c>
      <c r="D1744" s="18" t="str">
        <f aca="false">IF($A1744="","",IFERROR(C1744/B1744,0))</f>
        <v/>
      </c>
      <c r="E1744" s="17" t="str">
        <f aca="false">IF($A1744="","",COUNTIFS(Orders!$C$2:$C$20001,$A1744,Orders!$E$2:$E$20001,"Prepaid",Orders!$F$2:$F$20001,"Delivered")+COUNTIFS(Orders!$C$2:$C$20001,$A1744,Orders!$E$2:$E$20001,"Prepaid",Orders!$F$2:$F$20001,"RTO"))</f>
        <v/>
      </c>
      <c r="F1744" s="17" t="str">
        <f aca="false">IF($A1744="","",COUNTIFS(Orders!$C$2:$C$20001,$A1744,Orders!$E$2:$E$20001,"Prepaid",Orders!$F$2:$F$20001,"RTO"))</f>
        <v/>
      </c>
      <c r="G1744" s="18" t="str">
        <f aca="false">IF($A1744="","",IFERROR(F1744/E1744,0))</f>
        <v/>
      </c>
      <c r="H1744" s="19" t="str">
        <f aca="false">IF($A1744="","",C1744*Settings!$B$11)</f>
        <v/>
      </c>
      <c r="I1744" s="20" t="str">
        <f aca="false">IF($A1744="","",IF(N(H1744)=0,"",RANK(H1744,$H$5:$H$2004)))</f>
        <v/>
      </c>
      <c r="J1744" s="21" t="str">
        <f aca="false">IF($A1744="","",IF(B1744=0,"No COD orders",IF(B1744&lt;Settings!$B$8,"Too few orders",IF(D1744&gt;=Settings!$B$9,"Restrict COD or verify","Keep COD"))))</f>
        <v/>
      </c>
    </row>
    <row r="1745" customFormat="false" ht="15" hidden="false" customHeight="false" outlineLevel="0" collapsed="false">
      <c r="A1745" s="27"/>
      <c r="B1745" s="17" t="str">
        <f aca="false">IF($A1745="","",COUNTIFS(Orders!$C$2:$C$20001,$A1745,Orders!$E$2:$E$20001,"COD",Orders!$F$2:$F$20001,"Delivered")+COUNTIFS(Orders!$C$2:$C$20001,$A1745,Orders!$E$2:$E$20001,"COD",Orders!$F$2:$F$20001,"RTO"))</f>
        <v/>
      </c>
      <c r="C1745" s="17" t="str">
        <f aca="false">IF($A1745="","",COUNTIFS(Orders!$C$2:$C$20001,$A1745,Orders!$E$2:$E$20001,"COD",Orders!$F$2:$F$20001,"RTO"))</f>
        <v/>
      </c>
      <c r="D1745" s="18" t="str">
        <f aca="false">IF($A1745="","",IFERROR(C1745/B1745,0))</f>
        <v/>
      </c>
      <c r="E1745" s="17" t="str">
        <f aca="false">IF($A1745="","",COUNTIFS(Orders!$C$2:$C$20001,$A1745,Orders!$E$2:$E$20001,"Prepaid",Orders!$F$2:$F$20001,"Delivered")+COUNTIFS(Orders!$C$2:$C$20001,$A1745,Orders!$E$2:$E$20001,"Prepaid",Orders!$F$2:$F$20001,"RTO"))</f>
        <v/>
      </c>
      <c r="F1745" s="17" t="str">
        <f aca="false">IF($A1745="","",COUNTIFS(Orders!$C$2:$C$20001,$A1745,Orders!$E$2:$E$20001,"Prepaid",Orders!$F$2:$F$20001,"RTO"))</f>
        <v/>
      </c>
      <c r="G1745" s="18" t="str">
        <f aca="false">IF($A1745="","",IFERROR(F1745/E1745,0))</f>
        <v/>
      </c>
      <c r="H1745" s="19" t="str">
        <f aca="false">IF($A1745="","",C1745*Settings!$B$11)</f>
        <v/>
      </c>
      <c r="I1745" s="20" t="str">
        <f aca="false">IF($A1745="","",IF(N(H1745)=0,"",RANK(H1745,$H$5:$H$2004)))</f>
        <v/>
      </c>
      <c r="J1745" s="21" t="str">
        <f aca="false">IF($A1745="","",IF(B1745=0,"No COD orders",IF(B1745&lt;Settings!$B$8,"Too few orders",IF(D1745&gt;=Settings!$B$9,"Restrict COD or verify","Keep COD"))))</f>
        <v/>
      </c>
    </row>
    <row r="1746" customFormat="false" ht="15" hidden="false" customHeight="false" outlineLevel="0" collapsed="false">
      <c r="A1746" s="27"/>
      <c r="B1746" s="17" t="str">
        <f aca="false">IF($A1746="","",COUNTIFS(Orders!$C$2:$C$20001,$A1746,Orders!$E$2:$E$20001,"COD",Orders!$F$2:$F$20001,"Delivered")+COUNTIFS(Orders!$C$2:$C$20001,$A1746,Orders!$E$2:$E$20001,"COD",Orders!$F$2:$F$20001,"RTO"))</f>
        <v/>
      </c>
      <c r="C1746" s="17" t="str">
        <f aca="false">IF($A1746="","",COUNTIFS(Orders!$C$2:$C$20001,$A1746,Orders!$E$2:$E$20001,"COD",Orders!$F$2:$F$20001,"RTO"))</f>
        <v/>
      </c>
      <c r="D1746" s="18" t="str">
        <f aca="false">IF($A1746="","",IFERROR(C1746/B1746,0))</f>
        <v/>
      </c>
      <c r="E1746" s="17" t="str">
        <f aca="false">IF($A1746="","",COUNTIFS(Orders!$C$2:$C$20001,$A1746,Orders!$E$2:$E$20001,"Prepaid",Orders!$F$2:$F$20001,"Delivered")+COUNTIFS(Orders!$C$2:$C$20001,$A1746,Orders!$E$2:$E$20001,"Prepaid",Orders!$F$2:$F$20001,"RTO"))</f>
        <v/>
      </c>
      <c r="F1746" s="17" t="str">
        <f aca="false">IF($A1746="","",COUNTIFS(Orders!$C$2:$C$20001,$A1746,Orders!$E$2:$E$20001,"Prepaid",Orders!$F$2:$F$20001,"RTO"))</f>
        <v/>
      </c>
      <c r="G1746" s="18" t="str">
        <f aca="false">IF($A1746="","",IFERROR(F1746/E1746,0))</f>
        <v/>
      </c>
      <c r="H1746" s="19" t="str">
        <f aca="false">IF($A1746="","",C1746*Settings!$B$11)</f>
        <v/>
      </c>
      <c r="I1746" s="20" t="str">
        <f aca="false">IF($A1746="","",IF(N(H1746)=0,"",RANK(H1746,$H$5:$H$2004)))</f>
        <v/>
      </c>
      <c r="J1746" s="21" t="str">
        <f aca="false">IF($A1746="","",IF(B1746=0,"No COD orders",IF(B1746&lt;Settings!$B$8,"Too few orders",IF(D1746&gt;=Settings!$B$9,"Restrict COD or verify","Keep COD"))))</f>
        <v/>
      </c>
    </row>
    <row r="1747" customFormat="false" ht="15" hidden="false" customHeight="false" outlineLevel="0" collapsed="false">
      <c r="A1747" s="27"/>
      <c r="B1747" s="17" t="str">
        <f aca="false">IF($A1747="","",COUNTIFS(Orders!$C$2:$C$20001,$A1747,Orders!$E$2:$E$20001,"COD",Orders!$F$2:$F$20001,"Delivered")+COUNTIFS(Orders!$C$2:$C$20001,$A1747,Orders!$E$2:$E$20001,"COD",Orders!$F$2:$F$20001,"RTO"))</f>
        <v/>
      </c>
      <c r="C1747" s="17" t="str">
        <f aca="false">IF($A1747="","",COUNTIFS(Orders!$C$2:$C$20001,$A1747,Orders!$E$2:$E$20001,"COD",Orders!$F$2:$F$20001,"RTO"))</f>
        <v/>
      </c>
      <c r="D1747" s="18" t="str">
        <f aca="false">IF($A1747="","",IFERROR(C1747/B1747,0))</f>
        <v/>
      </c>
      <c r="E1747" s="17" t="str">
        <f aca="false">IF($A1747="","",COUNTIFS(Orders!$C$2:$C$20001,$A1747,Orders!$E$2:$E$20001,"Prepaid",Orders!$F$2:$F$20001,"Delivered")+COUNTIFS(Orders!$C$2:$C$20001,$A1747,Orders!$E$2:$E$20001,"Prepaid",Orders!$F$2:$F$20001,"RTO"))</f>
        <v/>
      </c>
      <c r="F1747" s="17" t="str">
        <f aca="false">IF($A1747="","",COUNTIFS(Orders!$C$2:$C$20001,$A1747,Orders!$E$2:$E$20001,"Prepaid",Orders!$F$2:$F$20001,"RTO"))</f>
        <v/>
      </c>
      <c r="G1747" s="18" t="str">
        <f aca="false">IF($A1747="","",IFERROR(F1747/E1747,0))</f>
        <v/>
      </c>
      <c r="H1747" s="19" t="str">
        <f aca="false">IF($A1747="","",C1747*Settings!$B$11)</f>
        <v/>
      </c>
      <c r="I1747" s="20" t="str">
        <f aca="false">IF($A1747="","",IF(N(H1747)=0,"",RANK(H1747,$H$5:$H$2004)))</f>
        <v/>
      </c>
      <c r="J1747" s="21" t="str">
        <f aca="false">IF($A1747="","",IF(B1747=0,"No COD orders",IF(B1747&lt;Settings!$B$8,"Too few orders",IF(D1747&gt;=Settings!$B$9,"Restrict COD or verify","Keep COD"))))</f>
        <v/>
      </c>
    </row>
    <row r="1748" customFormat="false" ht="15" hidden="false" customHeight="false" outlineLevel="0" collapsed="false">
      <c r="A1748" s="27"/>
      <c r="B1748" s="17" t="str">
        <f aca="false">IF($A1748="","",COUNTIFS(Orders!$C$2:$C$20001,$A1748,Orders!$E$2:$E$20001,"COD",Orders!$F$2:$F$20001,"Delivered")+COUNTIFS(Orders!$C$2:$C$20001,$A1748,Orders!$E$2:$E$20001,"COD",Orders!$F$2:$F$20001,"RTO"))</f>
        <v/>
      </c>
      <c r="C1748" s="17" t="str">
        <f aca="false">IF($A1748="","",COUNTIFS(Orders!$C$2:$C$20001,$A1748,Orders!$E$2:$E$20001,"COD",Orders!$F$2:$F$20001,"RTO"))</f>
        <v/>
      </c>
      <c r="D1748" s="18" t="str">
        <f aca="false">IF($A1748="","",IFERROR(C1748/B1748,0))</f>
        <v/>
      </c>
      <c r="E1748" s="17" t="str">
        <f aca="false">IF($A1748="","",COUNTIFS(Orders!$C$2:$C$20001,$A1748,Orders!$E$2:$E$20001,"Prepaid",Orders!$F$2:$F$20001,"Delivered")+COUNTIFS(Orders!$C$2:$C$20001,$A1748,Orders!$E$2:$E$20001,"Prepaid",Orders!$F$2:$F$20001,"RTO"))</f>
        <v/>
      </c>
      <c r="F1748" s="17" t="str">
        <f aca="false">IF($A1748="","",COUNTIFS(Orders!$C$2:$C$20001,$A1748,Orders!$E$2:$E$20001,"Prepaid",Orders!$F$2:$F$20001,"RTO"))</f>
        <v/>
      </c>
      <c r="G1748" s="18" t="str">
        <f aca="false">IF($A1748="","",IFERROR(F1748/E1748,0))</f>
        <v/>
      </c>
      <c r="H1748" s="19" t="str">
        <f aca="false">IF($A1748="","",C1748*Settings!$B$11)</f>
        <v/>
      </c>
      <c r="I1748" s="20" t="str">
        <f aca="false">IF($A1748="","",IF(N(H1748)=0,"",RANK(H1748,$H$5:$H$2004)))</f>
        <v/>
      </c>
      <c r="J1748" s="21" t="str">
        <f aca="false">IF($A1748="","",IF(B1748=0,"No COD orders",IF(B1748&lt;Settings!$B$8,"Too few orders",IF(D1748&gt;=Settings!$B$9,"Restrict COD or verify","Keep COD"))))</f>
        <v/>
      </c>
    </row>
    <row r="1749" customFormat="false" ht="15" hidden="false" customHeight="false" outlineLevel="0" collapsed="false">
      <c r="A1749" s="27"/>
      <c r="B1749" s="17" t="str">
        <f aca="false">IF($A1749="","",COUNTIFS(Orders!$C$2:$C$20001,$A1749,Orders!$E$2:$E$20001,"COD",Orders!$F$2:$F$20001,"Delivered")+COUNTIFS(Orders!$C$2:$C$20001,$A1749,Orders!$E$2:$E$20001,"COD",Orders!$F$2:$F$20001,"RTO"))</f>
        <v/>
      </c>
      <c r="C1749" s="17" t="str">
        <f aca="false">IF($A1749="","",COUNTIFS(Orders!$C$2:$C$20001,$A1749,Orders!$E$2:$E$20001,"COD",Orders!$F$2:$F$20001,"RTO"))</f>
        <v/>
      </c>
      <c r="D1749" s="18" t="str">
        <f aca="false">IF($A1749="","",IFERROR(C1749/B1749,0))</f>
        <v/>
      </c>
      <c r="E1749" s="17" t="str">
        <f aca="false">IF($A1749="","",COUNTIFS(Orders!$C$2:$C$20001,$A1749,Orders!$E$2:$E$20001,"Prepaid",Orders!$F$2:$F$20001,"Delivered")+COUNTIFS(Orders!$C$2:$C$20001,$A1749,Orders!$E$2:$E$20001,"Prepaid",Orders!$F$2:$F$20001,"RTO"))</f>
        <v/>
      </c>
      <c r="F1749" s="17" t="str">
        <f aca="false">IF($A1749="","",COUNTIFS(Orders!$C$2:$C$20001,$A1749,Orders!$E$2:$E$20001,"Prepaid",Orders!$F$2:$F$20001,"RTO"))</f>
        <v/>
      </c>
      <c r="G1749" s="18" t="str">
        <f aca="false">IF($A1749="","",IFERROR(F1749/E1749,0))</f>
        <v/>
      </c>
      <c r="H1749" s="19" t="str">
        <f aca="false">IF($A1749="","",C1749*Settings!$B$11)</f>
        <v/>
      </c>
      <c r="I1749" s="20" t="str">
        <f aca="false">IF($A1749="","",IF(N(H1749)=0,"",RANK(H1749,$H$5:$H$2004)))</f>
        <v/>
      </c>
      <c r="J1749" s="21" t="str">
        <f aca="false">IF($A1749="","",IF(B1749=0,"No COD orders",IF(B1749&lt;Settings!$B$8,"Too few orders",IF(D1749&gt;=Settings!$B$9,"Restrict COD or verify","Keep COD"))))</f>
        <v/>
      </c>
    </row>
    <row r="1750" customFormat="false" ht="15" hidden="false" customHeight="false" outlineLevel="0" collapsed="false">
      <c r="A1750" s="27"/>
      <c r="B1750" s="17" t="str">
        <f aca="false">IF($A1750="","",COUNTIFS(Orders!$C$2:$C$20001,$A1750,Orders!$E$2:$E$20001,"COD",Orders!$F$2:$F$20001,"Delivered")+COUNTIFS(Orders!$C$2:$C$20001,$A1750,Orders!$E$2:$E$20001,"COD",Orders!$F$2:$F$20001,"RTO"))</f>
        <v/>
      </c>
      <c r="C1750" s="17" t="str">
        <f aca="false">IF($A1750="","",COUNTIFS(Orders!$C$2:$C$20001,$A1750,Orders!$E$2:$E$20001,"COD",Orders!$F$2:$F$20001,"RTO"))</f>
        <v/>
      </c>
      <c r="D1750" s="18" t="str">
        <f aca="false">IF($A1750="","",IFERROR(C1750/B1750,0))</f>
        <v/>
      </c>
      <c r="E1750" s="17" t="str">
        <f aca="false">IF($A1750="","",COUNTIFS(Orders!$C$2:$C$20001,$A1750,Orders!$E$2:$E$20001,"Prepaid",Orders!$F$2:$F$20001,"Delivered")+COUNTIFS(Orders!$C$2:$C$20001,$A1750,Orders!$E$2:$E$20001,"Prepaid",Orders!$F$2:$F$20001,"RTO"))</f>
        <v/>
      </c>
      <c r="F1750" s="17" t="str">
        <f aca="false">IF($A1750="","",COUNTIFS(Orders!$C$2:$C$20001,$A1750,Orders!$E$2:$E$20001,"Prepaid",Orders!$F$2:$F$20001,"RTO"))</f>
        <v/>
      </c>
      <c r="G1750" s="18" t="str">
        <f aca="false">IF($A1750="","",IFERROR(F1750/E1750,0))</f>
        <v/>
      </c>
      <c r="H1750" s="19" t="str">
        <f aca="false">IF($A1750="","",C1750*Settings!$B$11)</f>
        <v/>
      </c>
      <c r="I1750" s="20" t="str">
        <f aca="false">IF($A1750="","",IF(N(H1750)=0,"",RANK(H1750,$H$5:$H$2004)))</f>
        <v/>
      </c>
      <c r="J1750" s="21" t="str">
        <f aca="false">IF($A1750="","",IF(B1750=0,"No COD orders",IF(B1750&lt;Settings!$B$8,"Too few orders",IF(D1750&gt;=Settings!$B$9,"Restrict COD or verify","Keep COD"))))</f>
        <v/>
      </c>
    </row>
    <row r="1751" customFormat="false" ht="15" hidden="false" customHeight="false" outlineLevel="0" collapsed="false">
      <c r="A1751" s="27"/>
      <c r="B1751" s="17" t="str">
        <f aca="false">IF($A1751="","",COUNTIFS(Orders!$C$2:$C$20001,$A1751,Orders!$E$2:$E$20001,"COD",Orders!$F$2:$F$20001,"Delivered")+COUNTIFS(Orders!$C$2:$C$20001,$A1751,Orders!$E$2:$E$20001,"COD",Orders!$F$2:$F$20001,"RTO"))</f>
        <v/>
      </c>
      <c r="C1751" s="17" t="str">
        <f aca="false">IF($A1751="","",COUNTIFS(Orders!$C$2:$C$20001,$A1751,Orders!$E$2:$E$20001,"COD",Orders!$F$2:$F$20001,"RTO"))</f>
        <v/>
      </c>
      <c r="D1751" s="18" t="str">
        <f aca="false">IF($A1751="","",IFERROR(C1751/B1751,0))</f>
        <v/>
      </c>
      <c r="E1751" s="17" t="str">
        <f aca="false">IF($A1751="","",COUNTIFS(Orders!$C$2:$C$20001,$A1751,Orders!$E$2:$E$20001,"Prepaid",Orders!$F$2:$F$20001,"Delivered")+COUNTIFS(Orders!$C$2:$C$20001,$A1751,Orders!$E$2:$E$20001,"Prepaid",Orders!$F$2:$F$20001,"RTO"))</f>
        <v/>
      </c>
      <c r="F1751" s="17" t="str">
        <f aca="false">IF($A1751="","",COUNTIFS(Orders!$C$2:$C$20001,$A1751,Orders!$E$2:$E$20001,"Prepaid",Orders!$F$2:$F$20001,"RTO"))</f>
        <v/>
      </c>
      <c r="G1751" s="18" t="str">
        <f aca="false">IF($A1751="","",IFERROR(F1751/E1751,0))</f>
        <v/>
      </c>
      <c r="H1751" s="19" t="str">
        <f aca="false">IF($A1751="","",C1751*Settings!$B$11)</f>
        <v/>
      </c>
      <c r="I1751" s="20" t="str">
        <f aca="false">IF($A1751="","",IF(N(H1751)=0,"",RANK(H1751,$H$5:$H$2004)))</f>
        <v/>
      </c>
      <c r="J1751" s="21" t="str">
        <f aca="false">IF($A1751="","",IF(B1751=0,"No COD orders",IF(B1751&lt;Settings!$B$8,"Too few orders",IF(D1751&gt;=Settings!$B$9,"Restrict COD or verify","Keep COD"))))</f>
        <v/>
      </c>
    </row>
    <row r="1752" customFormat="false" ht="15" hidden="false" customHeight="false" outlineLevel="0" collapsed="false">
      <c r="A1752" s="27"/>
      <c r="B1752" s="17" t="str">
        <f aca="false">IF($A1752="","",COUNTIFS(Orders!$C$2:$C$20001,$A1752,Orders!$E$2:$E$20001,"COD",Orders!$F$2:$F$20001,"Delivered")+COUNTIFS(Orders!$C$2:$C$20001,$A1752,Orders!$E$2:$E$20001,"COD",Orders!$F$2:$F$20001,"RTO"))</f>
        <v/>
      </c>
      <c r="C1752" s="17" t="str">
        <f aca="false">IF($A1752="","",COUNTIFS(Orders!$C$2:$C$20001,$A1752,Orders!$E$2:$E$20001,"COD",Orders!$F$2:$F$20001,"RTO"))</f>
        <v/>
      </c>
      <c r="D1752" s="18" t="str">
        <f aca="false">IF($A1752="","",IFERROR(C1752/B1752,0))</f>
        <v/>
      </c>
      <c r="E1752" s="17" t="str">
        <f aca="false">IF($A1752="","",COUNTIFS(Orders!$C$2:$C$20001,$A1752,Orders!$E$2:$E$20001,"Prepaid",Orders!$F$2:$F$20001,"Delivered")+COUNTIFS(Orders!$C$2:$C$20001,$A1752,Orders!$E$2:$E$20001,"Prepaid",Orders!$F$2:$F$20001,"RTO"))</f>
        <v/>
      </c>
      <c r="F1752" s="17" t="str">
        <f aca="false">IF($A1752="","",COUNTIFS(Orders!$C$2:$C$20001,$A1752,Orders!$E$2:$E$20001,"Prepaid",Orders!$F$2:$F$20001,"RTO"))</f>
        <v/>
      </c>
      <c r="G1752" s="18" t="str">
        <f aca="false">IF($A1752="","",IFERROR(F1752/E1752,0))</f>
        <v/>
      </c>
      <c r="H1752" s="19" t="str">
        <f aca="false">IF($A1752="","",C1752*Settings!$B$11)</f>
        <v/>
      </c>
      <c r="I1752" s="20" t="str">
        <f aca="false">IF($A1752="","",IF(N(H1752)=0,"",RANK(H1752,$H$5:$H$2004)))</f>
        <v/>
      </c>
      <c r="J1752" s="21" t="str">
        <f aca="false">IF($A1752="","",IF(B1752=0,"No COD orders",IF(B1752&lt;Settings!$B$8,"Too few orders",IF(D1752&gt;=Settings!$B$9,"Restrict COD or verify","Keep COD"))))</f>
        <v/>
      </c>
    </row>
    <row r="1753" customFormat="false" ht="15" hidden="false" customHeight="false" outlineLevel="0" collapsed="false">
      <c r="A1753" s="27"/>
      <c r="B1753" s="17" t="str">
        <f aca="false">IF($A1753="","",COUNTIFS(Orders!$C$2:$C$20001,$A1753,Orders!$E$2:$E$20001,"COD",Orders!$F$2:$F$20001,"Delivered")+COUNTIFS(Orders!$C$2:$C$20001,$A1753,Orders!$E$2:$E$20001,"COD",Orders!$F$2:$F$20001,"RTO"))</f>
        <v/>
      </c>
      <c r="C1753" s="17" t="str">
        <f aca="false">IF($A1753="","",COUNTIFS(Orders!$C$2:$C$20001,$A1753,Orders!$E$2:$E$20001,"COD",Orders!$F$2:$F$20001,"RTO"))</f>
        <v/>
      </c>
      <c r="D1753" s="18" t="str">
        <f aca="false">IF($A1753="","",IFERROR(C1753/B1753,0))</f>
        <v/>
      </c>
      <c r="E1753" s="17" t="str">
        <f aca="false">IF($A1753="","",COUNTIFS(Orders!$C$2:$C$20001,$A1753,Orders!$E$2:$E$20001,"Prepaid",Orders!$F$2:$F$20001,"Delivered")+COUNTIFS(Orders!$C$2:$C$20001,$A1753,Orders!$E$2:$E$20001,"Prepaid",Orders!$F$2:$F$20001,"RTO"))</f>
        <v/>
      </c>
      <c r="F1753" s="17" t="str">
        <f aca="false">IF($A1753="","",COUNTIFS(Orders!$C$2:$C$20001,$A1753,Orders!$E$2:$E$20001,"Prepaid",Orders!$F$2:$F$20001,"RTO"))</f>
        <v/>
      </c>
      <c r="G1753" s="18" t="str">
        <f aca="false">IF($A1753="","",IFERROR(F1753/E1753,0))</f>
        <v/>
      </c>
      <c r="H1753" s="19" t="str">
        <f aca="false">IF($A1753="","",C1753*Settings!$B$11)</f>
        <v/>
      </c>
      <c r="I1753" s="20" t="str">
        <f aca="false">IF($A1753="","",IF(N(H1753)=0,"",RANK(H1753,$H$5:$H$2004)))</f>
        <v/>
      </c>
      <c r="J1753" s="21" t="str">
        <f aca="false">IF($A1753="","",IF(B1753=0,"No COD orders",IF(B1753&lt;Settings!$B$8,"Too few orders",IF(D1753&gt;=Settings!$B$9,"Restrict COD or verify","Keep COD"))))</f>
        <v/>
      </c>
    </row>
    <row r="1754" customFormat="false" ht="15" hidden="false" customHeight="false" outlineLevel="0" collapsed="false">
      <c r="A1754" s="27"/>
      <c r="B1754" s="17" t="str">
        <f aca="false">IF($A1754="","",COUNTIFS(Orders!$C$2:$C$20001,$A1754,Orders!$E$2:$E$20001,"COD",Orders!$F$2:$F$20001,"Delivered")+COUNTIFS(Orders!$C$2:$C$20001,$A1754,Orders!$E$2:$E$20001,"COD",Orders!$F$2:$F$20001,"RTO"))</f>
        <v/>
      </c>
      <c r="C1754" s="17" t="str">
        <f aca="false">IF($A1754="","",COUNTIFS(Orders!$C$2:$C$20001,$A1754,Orders!$E$2:$E$20001,"COD",Orders!$F$2:$F$20001,"RTO"))</f>
        <v/>
      </c>
      <c r="D1754" s="18" t="str">
        <f aca="false">IF($A1754="","",IFERROR(C1754/B1754,0))</f>
        <v/>
      </c>
      <c r="E1754" s="17" t="str">
        <f aca="false">IF($A1754="","",COUNTIFS(Orders!$C$2:$C$20001,$A1754,Orders!$E$2:$E$20001,"Prepaid",Orders!$F$2:$F$20001,"Delivered")+COUNTIFS(Orders!$C$2:$C$20001,$A1754,Orders!$E$2:$E$20001,"Prepaid",Orders!$F$2:$F$20001,"RTO"))</f>
        <v/>
      </c>
      <c r="F1754" s="17" t="str">
        <f aca="false">IF($A1754="","",COUNTIFS(Orders!$C$2:$C$20001,$A1754,Orders!$E$2:$E$20001,"Prepaid",Orders!$F$2:$F$20001,"RTO"))</f>
        <v/>
      </c>
      <c r="G1754" s="18" t="str">
        <f aca="false">IF($A1754="","",IFERROR(F1754/E1754,0))</f>
        <v/>
      </c>
      <c r="H1754" s="19" t="str">
        <f aca="false">IF($A1754="","",C1754*Settings!$B$11)</f>
        <v/>
      </c>
      <c r="I1754" s="20" t="str">
        <f aca="false">IF($A1754="","",IF(N(H1754)=0,"",RANK(H1754,$H$5:$H$2004)))</f>
        <v/>
      </c>
      <c r="J1754" s="21" t="str">
        <f aca="false">IF($A1754="","",IF(B1754=0,"No COD orders",IF(B1754&lt;Settings!$B$8,"Too few orders",IF(D1754&gt;=Settings!$B$9,"Restrict COD or verify","Keep COD"))))</f>
        <v/>
      </c>
    </row>
    <row r="1755" customFormat="false" ht="15" hidden="false" customHeight="false" outlineLevel="0" collapsed="false">
      <c r="A1755" s="27"/>
      <c r="B1755" s="17" t="str">
        <f aca="false">IF($A1755="","",COUNTIFS(Orders!$C$2:$C$20001,$A1755,Orders!$E$2:$E$20001,"COD",Orders!$F$2:$F$20001,"Delivered")+COUNTIFS(Orders!$C$2:$C$20001,$A1755,Orders!$E$2:$E$20001,"COD",Orders!$F$2:$F$20001,"RTO"))</f>
        <v/>
      </c>
      <c r="C1755" s="17" t="str">
        <f aca="false">IF($A1755="","",COUNTIFS(Orders!$C$2:$C$20001,$A1755,Orders!$E$2:$E$20001,"COD",Orders!$F$2:$F$20001,"RTO"))</f>
        <v/>
      </c>
      <c r="D1755" s="18" t="str">
        <f aca="false">IF($A1755="","",IFERROR(C1755/B1755,0))</f>
        <v/>
      </c>
      <c r="E1755" s="17" t="str">
        <f aca="false">IF($A1755="","",COUNTIFS(Orders!$C$2:$C$20001,$A1755,Orders!$E$2:$E$20001,"Prepaid",Orders!$F$2:$F$20001,"Delivered")+COUNTIFS(Orders!$C$2:$C$20001,$A1755,Orders!$E$2:$E$20001,"Prepaid",Orders!$F$2:$F$20001,"RTO"))</f>
        <v/>
      </c>
      <c r="F1755" s="17" t="str">
        <f aca="false">IF($A1755="","",COUNTIFS(Orders!$C$2:$C$20001,$A1755,Orders!$E$2:$E$20001,"Prepaid",Orders!$F$2:$F$20001,"RTO"))</f>
        <v/>
      </c>
      <c r="G1755" s="18" t="str">
        <f aca="false">IF($A1755="","",IFERROR(F1755/E1755,0))</f>
        <v/>
      </c>
      <c r="H1755" s="19" t="str">
        <f aca="false">IF($A1755="","",C1755*Settings!$B$11)</f>
        <v/>
      </c>
      <c r="I1755" s="20" t="str">
        <f aca="false">IF($A1755="","",IF(N(H1755)=0,"",RANK(H1755,$H$5:$H$2004)))</f>
        <v/>
      </c>
      <c r="J1755" s="21" t="str">
        <f aca="false">IF($A1755="","",IF(B1755=0,"No COD orders",IF(B1755&lt;Settings!$B$8,"Too few orders",IF(D1755&gt;=Settings!$B$9,"Restrict COD or verify","Keep COD"))))</f>
        <v/>
      </c>
    </row>
    <row r="1756" customFormat="false" ht="15" hidden="false" customHeight="false" outlineLevel="0" collapsed="false">
      <c r="A1756" s="27"/>
      <c r="B1756" s="17" t="str">
        <f aca="false">IF($A1756="","",COUNTIFS(Orders!$C$2:$C$20001,$A1756,Orders!$E$2:$E$20001,"COD",Orders!$F$2:$F$20001,"Delivered")+COUNTIFS(Orders!$C$2:$C$20001,$A1756,Orders!$E$2:$E$20001,"COD",Orders!$F$2:$F$20001,"RTO"))</f>
        <v/>
      </c>
      <c r="C1756" s="17" t="str">
        <f aca="false">IF($A1756="","",COUNTIFS(Orders!$C$2:$C$20001,$A1756,Orders!$E$2:$E$20001,"COD",Orders!$F$2:$F$20001,"RTO"))</f>
        <v/>
      </c>
      <c r="D1756" s="18" t="str">
        <f aca="false">IF($A1756="","",IFERROR(C1756/B1756,0))</f>
        <v/>
      </c>
      <c r="E1756" s="17" t="str">
        <f aca="false">IF($A1756="","",COUNTIFS(Orders!$C$2:$C$20001,$A1756,Orders!$E$2:$E$20001,"Prepaid",Orders!$F$2:$F$20001,"Delivered")+COUNTIFS(Orders!$C$2:$C$20001,$A1756,Orders!$E$2:$E$20001,"Prepaid",Orders!$F$2:$F$20001,"RTO"))</f>
        <v/>
      </c>
      <c r="F1756" s="17" t="str">
        <f aca="false">IF($A1756="","",COUNTIFS(Orders!$C$2:$C$20001,$A1756,Orders!$E$2:$E$20001,"Prepaid",Orders!$F$2:$F$20001,"RTO"))</f>
        <v/>
      </c>
      <c r="G1756" s="18" t="str">
        <f aca="false">IF($A1756="","",IFERROR(F1756/E1756,0))</f>
        <v/>
      </c>
      <c r="H1756" s="19" t="str">
        <f aca="false">IF($A1756="","",C1756*Settings!$B$11)</f>
        <v/>
      </c>
      <c r="I1756" s="20" t="str">
        <f aca="false">IF($A1756="","",IF(N(H1756)=0,"",RANK(H1756,$H$5:$H$2004)))</f>
        <v/>
      </c>
      <c r="J1756" s="21" t="str">
        <f aca="false">IF($A1756="","",IF(B1756=0,"No COD orders",IF(B1756&lt;Settings!$B$8,"Too few orders",IF(D1756&gt;=Settings!$B$9,"Restrict COD or verify","Keep COD"))))</f>
        <v/>
      </c>
    </row>
    <row r="1757" customFormat="false" ht="15" hidden="false" customHeight="false" outlineLevel="0" collapsed="false">
      <c r="A1757" s="27"/>
      <c r="B1757" s="17" t="str">
        <f aca="false">IF($A1757="","",COUNTIFS(Orders!$C$2:$C$20001,$A1757,Orders!$E$2:$E$20001,"COD",Orders!$F$2:$F$20001,"Delivered")+COUNTIFS(Orders!$C$2:$C$20001,$A1757,Orders!$E$2:$E$20001,"COD",Orders!$F$2:$F$20001,"RTO"))</f>
        <v/>
      </c>
      <c r="C1757" s="17" t="str">
        <f aca="false">IF($A1757="","",COUNTIFS(Orders!$C$2:$C$20001,$A1757,Orders!$E$2:$E$20001,"COD",Orders!$F$2:$F$20001,"RTO"))</f>
        <v/>
      </c>
      <c r="D1757" s="18" t="str">
        <f aca="false">IF($A1757="","",IFERROR(C1757/B1757,0))</f>
        <v/>
      </c>
      <c r="E1757" s="17" t="str">
        <f aca="false">IF($A1757="","",COUNTIFS(Orders!$C$2:$C$20001,$A1757,Orders!$E$2:$E$20001,"Prepaid",Orders!$F$2:$F$20001,"Delivered")+COUNTIFS(Orders!$C$2:$C$20001,$A1757,Orders!$E$2:$E$20001,"Prepaid",Orders!$F$2:$F$20001,"RTO"))</f>
        <v/>
      </c>
      <c r="F1757" s="17" t="str">
        <f aca="false">IF($A1757="","",COUNTIFS(Orders!$C$2:$C$20001,$A1757,Orders!$E$2:$E$20001,"Prepaid",Orders!$F$2:$F$20001,"RTO"))</f>
        <v/>
      </c>
      <c r="G1757" s="18" t="str">
        <f aca="false">IF($A1757="","",IFERROR(F1757/E1757,0))</f>
        <v/>
      </c>
      <c r="H1757" s="19" t="str">
        <f aca="false">IF($A1757="","",C1757*Settings!$B$11)</f>
        <v/>
      </c>
      <c r="I1757" s="20" t="str">
        <f aca="false">IF($A1757="","",IF(N(H1757)=0,"",RANK(H1757,$H$5:$H$2004)))</f>
        <v/>
      </c>
      <c r="J1757" s="21" t="str">
        <f aca="false">IF($A1757="","",IF(B1757=0,"No COD orders",IF(B1757&lt;Settings!$B$8,"Too few orders",IF(D1757&gt;=Settings!$B$9,"Restrict COD or verify","Keep COD"))))</f>
        <v/>
      </c>
    </row>
    <row r="1758" customFormat="false" ht="15" hidden="false" customHeight="false" outlineLevel="0" collapsed="false">
      <c r="A1758" s="27"/>
      <c r="B1758" s="17" t="str">
        <f aca="false">IF($A1758="","",COUNTIFS(Orders!$C$2:$C$20001,$A1758,Orders!$E$2:$E$20001,"COD",Orders!$F$2:$F$20001,"Delivered")+COUNTIFS(Orders!$C$2:$C$20001,$A1758,Orders!$E$2:$E$20001,"COD",Orders!$F$2:$F$20001,"RTO"))</f>
        <v/>
      </c>
      <c r="C1758" s="17" t="str">
        <f aca="false">IF($A1758="","",COUNTIFS(Orders!$C$2:$C$20001,$A1758,Orders!$E$2:$E$20001,"COD",Orders!$F$2:$F$20001,"RTO"))</f>
        <v/>
      </c>
      <c r="D1758" s="18" t="str">
        <f aca="false">IF($A1758="","",IFERROR(C1758/B1758,0))</f>
        <v/>
      </c>
      <c r="E1758" s="17" t="str">
        <f aca="false">IF($A1758="","",COUNTIFS(Orders!$C$2:$C$20001,$A1758,Orders!$E$2:$E$20001,"Prepaid",Orders!$F$2:$F$20001,"Delivered")+COUNTIFS(Orders!$C$2:$C$20001,$A1758,Orders!$E$2:$E$20001,"Prepaid",Orders!$F$2:$F$20001,"RTO"))</f>
        <v/>
      </c>
      <c r="F1758" s="17" t="str">
        <f aca="false">IF($A1758="","",COUNTIFS(Orders!$C$2:$C$20001,$A1758,Orders!$E$2:$E$20001,"Prepaid",Orders!$F$2:$F$20001,"RTO"))</f>
        <v/>
      </c>
      <c r="G1758" s="18" t="str">
        <f aca="false">IF($A1758="","",IFERROR(F1758/E1758,0))</f>
        <v/>
      </c>
      <c r="H1758" s="19" t="str">
        <f aca="false">IF($A1758="","",C1758*Settings!$B$11)</f>
        <v/>
      </c>
      <c r="I1758" s="20" t="str">
        <f aca="false">IF($A1758="","",IF(N(H1758)=0,"",RANK(H1758,$H$5:$H$2004)))</f>
        <v/>
      </c>
      <c r="J1758" s="21" t="str">
        <f aca="false">IF($A1758="","",IF(B1758=0,"No COD orders",IF(B1758&lt;Settings!$B$8,"Too few orders",IF(D1758&gt;=Settings!$B$9,"Restrict COD or verify","Keep COD"))))</f>
        <v/>
      </c>
    </row>
    <row r="1759" customFormat="false" ht="15" hidden="false" customHeight="false" outlineLevel="0" collapsed="false">
      <c r="A1759" s="27"/>
      <c r="B1759" s="17" t="str">
        <f aca="false">IF($A1759="","",COUNTIFS(Orders!$C$2:$C$20001,$A1759,Orders!$E$2:$E$20001,"COD",Orders!$F$2:$F$20001,"Delivered")+COUNTIFS(Orders!$C$2:$C$20001,$A1759,Orders!$E$2:$E$20001,"COD",Orders!$F$2:$F$20001,"RTO"))</f>
        <v/>
      </c>
      <c r="C1759" s="17" t="str">
        <f aca="false">IF($A1759="","",COUNTIFS(Orders!$C$2:$C$20001,$A1759,Orders!$E$2:$E$20001,"COD",Orders!$F$2:$F$20001,"RTO"))</f>
        <v/>
      </c>
      <c r="D1759" s="18" t="str">
        <f aca="false">IF($A1759="","",IFERROR(C1759/B1759,0))</f>
        <v/>
      </c>
      <c r="E1759" s="17" t="str">
        <f aca="false">IF($A1759="","",COUNTIFS(Orders!$C$2:$C$20001,$A1759,Orders!$E$2:$E$20001,"Prepaid",Orders!$F$2:$F$20001,"Delivered")+COUNTIFS(Orders!$C$2:$C$20001,$A1759,Orders!$E$2:$E$20001,"Prepaid",Orders!$F$2:$F$20001,"RTO"))</f>
        <v/>
      </c>
      <c r="F1759" s="17" t="str">
        <f aca="false">IF($A1759="","",COUNTIFS(Orders!$C$2:$C$20001,$A1759,Orders!$E$2:$E$20001,"Prepaid",Orders!$F$2:$F$20001,"RTO"))</f>
        <v/>
      </c>
      <c r="G1759" s="18" t="str">
        <f aca="false">IF($A1759="","",IFERROR(F1759/E1759,0))</f>
        <v/>
      </c>
      <c r="H1759" s="19" t="str">
        <f aca="false">IF($A1759="","",C1759*Settings!$B$11)</f>
        <v/>
      </c>
      <c r="I1759" s="20" t="str">
        <f aca="false">IF($A1759="","",IF(N(H1759)=0,"",RANK(H1759,$H$5:$H$2004)))</f>
        <v/>
      </c>
      <c r="J1759" s="21" t="str">
        <f aca="false">IF($A1759="","",IF(B1759=0,"No COD orders",IF(B1759&lt;Settings!$B$8,"Too few orders",IF(D1759&gt;=Settings!$B$9,"Restrict COD or verify","Keep COD"))))</f>
        <v/>
      </c>
    </row>
    <row r="1760" customFormat="false" ht="15" hidden="false" customHeight="false" outlineLevel="0" collapsed="false">
      <c r="A1760" s="27"/>
      <c r="B1760" s="17" t="str">
        <f aca="false">IF($A1760="","",COUNTIFS(Orders!$C$2:$C$20001,$A1760,Orders!$E$2:$E$20001,"COD",Orders!$F$2:$F$20001,"Delivered")+COUNTIFS(Orders!$C$2:$C$20001,$A1760,Orders!$E$2:$E$20001,"COD",Orders!$F$2:$F$20001,"RTO"))</f>
        <v/>
      </c>
      <c r="C1760" s="17" t="str">
        <f aca="false">IF($A1760="","",COUNTIFS(Orders!$C$2:$C$20001,$A1760,Orders!$E$2:$E$20001,"COD",Orders!$F$2:$F$20001,"RTO"))</f>
        <v/>
      </c>
      <c r="D1760" s="18" t="str">
        <f aca="false">IF($A1760="","",IFERROR(C1760/B1760,0))</f>
        <v/>
      </c>
      <c r="E1760" s="17" t="str">
        <f aca="false">IF($A1760="","",COUNTIFS(Orders!$C$2:$C$20001,$A1760,Orders!$E$2:$E$20001,"Prepaid",Orders!$F$2:$F$20001,"Delivered")+COUNTIFS(Orders!$C$2:$C$20001,$A1760,Orders!$E$2:$E$20001,"Prepaid",Orders!$F$2:$F$20001,"RTO"))</f>
        <v/>
      </c>
      <c r="F1760" s="17" t="str">
        <f aca="false">IF($A1760="","",COUNTIFS(Orders!$C$2:$C$20001,$A1760,Orders!$E$2:$E$20001,"Prepaid",Orders!$F$2:$F$20001,"RTO"))</f>
        <v/>
      </c>
      <c r="G1760" s="18" t="str">
        <f aca="false">IF($A1760="","",IFERROR(F1760/E1760,0))</f>
        <v/>
      </c>
      <c r="H1760" s="19" t="str">
        <f aca="false">IF($A1760="","",C1760*Settings!$B$11)</f>
        <v/>
      </c>
      <c r="I1760" s="20" t="str">
        <f aca="false">IF($A1760="","",IF(N(H1760)=0,"",RANK(H1760,$H$5:$H$2004)))</f>
        <v/>
      </c>
      <c r="J1760" s="21" t="str">
        <f aca="false">IF($A1760="","",IF(B1760=0,"No COD orders",IF(B1760&lt;Settings!$B$8,"Too few orders",IF(D1760&gt;=Settings!$B$9,"Restrict COD or verify","Keep COD"))))</f>
        <v/>
      </c>
    </row>
    <row r="1761" customFormat="false" ht="15" hidden="false" customHeight="false" outlineLevel="0" collapsed="false">
      <c r="A1761" s="27"/>
      <c r="B1761" s="17" t="str">
        <f aca="false">IF($A1761="","",COUNTIFS(Orders!$C$2:$C$20001,$A1761,Orders!$E$2:$E$20001,"COD",Orders!$F$2:$F$20001,"Delivered")+COUNTIFS(Orders!$C$2:$C$20001,$A1761,Orders!$E$2:$E$20001,"COD",Orders!$F$2:$F$20001,"RTO"))</f>
        <v/>
      </c>
      <c r="C1761" s="17" t="str">
        <f aca="false">IF($A1761="","",COUNTIFS(Orders!$C$2:$C$20001,$A1761,Orders!$E$2:$E$20001,"COD",Orders!$F$2:$F$20001,"RTO"))</f>
        <v/>
      </c>
      <c r="D1761" s="18" t="str">
        <f aca="false">IF($A1761="","",IFERROR(C1761/B1761,0))</f>
        <v/>
      </c>
      <c r="E1761" s="17" t="str">
        <f aca="false">IF($A1761="","",COUNTIFS(Orders!$C$2:$C$20001,$A1761,Orders!$E$2:$E$20001,"Prepaid",Orders!$F$2:$F$20001,"Delivered")+COUNTIFS(Orders!$C$2:$C$20001,$A1761,Orders!$E$2:$E$20001,"Prepaid",Orders!$F$2:$F$20001,"RTO"))</f>
        <v/>
      </c>
      <c r="F1761" s="17" t="str">
        <f aca="false">IF($A1761="","",COUNTIFS(Orders!$C$2:$C$20001,$A1761,Orders!$E$2:$E$20001,"Prepaid",Orders!$F$2:$F$20001,"RTO"))</f>
        <v/>
      </c>
      <c r="G1761" s="18" t="str">
        <f aca="false">IF($A1761="","",IFERROR(F1761/E1761,0))</f>
        <v/>
      </c>
      <c r="H1761" s="19" t="str">
        <f aca="false">IF($A1761="","",C1761*Settings!$B$11)</f>
        <v/>
      </c>
      <c r="I1761" s="20" t="str">
        <f aca="false">IF($A1761="","",IF(N(H1761)=0,"",RANK(H1761,$H$5:$H$2004)))</f>
        <v/>
      </c>
      <c r="J1761" s="21" t="str">
        <f aca="false">IF($A1761="","",IF(B1761=0,"No COD orders",IF(B1761&lt;Settings!$B$8,"Too few orders",IF(D1761&gt;=Settings!$B$9,"Restrict COD or verify","Keep COD"))))</f>
        <v/>
      </c>
    </row>
    <row r="1762" customFormat="false" ht="15" hidden="false" customHeight="false" outlineLevel="0" collapsed="false">
      <c r="A1762" s="27"/>
      <c r="B1762" s="17" t="str">
        <f aca="false">IF($A1762="","",COUNTIFS(Orders!$C$2:$C$20001,$A1762,Orders!$E$2:$E$20001,"COD",Orders!$F$2:$F$20001,"Delivered")+COUNTIFS(Orders!$C$2:$C$20001,$A1762,Orders!$E$2:$E$20001,"COD",Orders!$F$2:$F$20001,"RTO"))</f>
        <v/>
      </c>
      <c r="C1762" s="17" t="str">
        <f aca="false">IF($A1762="","",COUNTIFS(Orders!$C$2:$C$20001,$A1762,Orders!$E$2:$E$20001,"COD",Orders!$F$2:$F$20001,"RTO"))</f>
        <v/>
      </c>
      <c r="D1762" s="18" t="str">
        <f aca="false">IF($A1762="","",IFERROR(C1762/B1762,0))</f>
        <v/>
      </c>
      <c r="E1762" s="17" t="str">
        <f aca="false">IF($A1762="","",COUNTIFS(Orders!$C$2:$C$20001,$A1762,Orders!$E$2:$E$20001,"Prepaid",Orders!$F$2:$F$20001,"Delivered")+COUNTIFS(Orders!$C$2:$C$20001,$A1762,Orders!$E$2:$E$20001,"Prepaid",Orders!$F$2:$F$20001,"RTO"))</f>
        <v/>
      </c>
      <c r="F1762" s="17" t="str">
        <f aca="false">IF($A1762="","",COUNTIFS(Orders!$C$2:$C$20001,$A1762,Orders!$E$2:$E$20001,"Prepaid",Orders!$F$2:$F$20001,"RTO"))</f>
        <v/>
      </c>
      <c r="G1762" s="18" t="str">
        <f aca="false">IF($A1762="","",IFERROR(F1762/E1762,0))</f>
        <v/>
      </c>
      <c r="H1762" s="19" t="str">
        <f aca="false">IF($A1762="","",C1762*Settings!$B$11)</f>
        <v/>
      </c>
      <c r="I1762" s="20" t="str">
        <f aca="false">IF($A1762="","",IF(N(H1762)=0,"",RANK(H1762,$H$5:$H$2004)))</f>
        <v/>
      </c>
      <c r="J1762" s="21" t="str">
        <f aca="false">IF($A1762="","",IF(B1762=0,"No COD orders",IF(B1762&lt;Settings!$B$8,"Too few orders",IF(D1762&gt;=Settings!$B$9,"Restrict COD or verify","Keep COD"))))</f>
        <v/>
      </c>
    </row>
    <row r="1763" customFormat="false" ht="15" hidden="false" customHeight="false" outlineLevel="0" collapsed="false">
      <c r="A1763" s="27"/>
      <c r="B1763" s="17" t="str">
        <f aca="false">IF($A1763="","",COUNTIFS(Orders!$C$2:$C$20001,$A1763,Orders!$E$2:$E$20001,"COD",Orders!$F$2:$F$20001,"Delivered")+COUNTIFS(Orders!$C$2:$C$20001,$A1763,Orders!$E$2:$E$20001,"COD",Orders!$F$2:$F$20001,"RTO"))</f>
        <v/>
      </c>
      <c r="C1763" s="17" t="str">
        <f aca="false">IF($A1763="","",COUNTIFS(Orders!$C$2:$C$20001,$A1763,Orders!$E$2:$E$20001,"COD",Orders!$F$2:$F$20001,"RTO"))</f>
        <v/>
      </c>
      <c r="D1763" s="18" t="str">
        <f aca="false">IF($A1763="","",IFERROR(C1763/B1763,0))</f>
        <v/>
      </c>
      <c r="E1763" s="17" t="str">
        <f aca="false">IF($A1763="","",COUNTIFS(Orders!$C$2:$C$20001,$A1763,Orders!$E$2:$E$20001,"Prepaid",Orders!$F$2:$F$20001,"Delivered")+COUNTIFS(Orders!$C$2:$C$20001,$A1763,Orders!$E$2:$E$20001,"Prepaid",Orders!$F$2:$F$20001,"RTO"))</f>
        <v/>
      </c>
      <c r="F1763" s="17" t="str">
        <f aca="false">IF($A1763="","",COUNTIFS(Orders!$C$2:$C$20001,$A1763,Orders!$E$2:$E$20001,"Prepaid",Orders!$F$2:$F$20001,"RTO"))</f>
        <v/>
      </c>
      <c r="G1763" s="18" t="str">
        <f aca="false">IF($A1763="","",IFERROR(F1763/E1763,0))</f>
        <v/>
      </c>
      <c r="H1763" s="19" t="str">
        <f aca="false">IF($A1763="","",C1763*Settings!$B$11)</f>
        <v/>
      </c>
      <c r="I1763" s="20" t="str">
        <f aca="false">IF($A1763="","",IF(N(H1763)=0,"",RANK(H1763,$H$5:$H$2004)))</f>
        <v/>
      </c>
      <c r="J1763" s="21" t="str">
        <f aca="false">IF($A1763="","",IF(B1763=0,"No COD orders",IF(B1763&lt;Settings!$B$8,"Too few orders",IF(D1763&gt;=Settings!$B$9,"Restrict COD or verify","Keep COD"))))</f>
        <v/>
      </c>
    </row>
    <row r="1764" customFormat="false" ht="15" hidden="false" customHeight="false" outlineLevel="0" collapsed="false">
      <c r="A1764" s="27"/>
      <c r="B1764" s="17" t="str">
        <f aca="false">IF($A1764="","",COUNTIFS(Orders!$C$2:$C$20001,$A1764,Orders!$E$2:$E$20001,"COD",Orders!$F$2:$F$20001,"Delivered")+COUNTIFS(Orders!$C$2:$C$20001,$A1764,Orders!$E$2:$E$20001,"COD",Orders!$F$2:$F$20001,"RTO"))</f>
        <v/>
      </c>
      <c r="C1764" s="17" t="str">
        <f aca="false">IF($A1764="","",COUNTIFS(Orders!$C$2:$C$20001,$A1764,Orders!$E$2:$E$20001,"COD",Orders!$F$2:$F$20001,"RTO"))</f>
        <v/>
      </c>
      <c r="D1764" s="18" t="str">
        <f aca="false">IF($A1764="","",IFERROR(C1764/B1764,0))</f>
        <v/>
      </c>
      <c r="E1764" s="17" t="str">
        <f aca="false">IF($A1764="","",COUNTIFS(Orders!$C$2:$C$20001,$A1764,Orders!$E$2:$E$20001,"Prepaid",Orders!$F$2:$F$20001,"Delivered")+COUNTIFS(Orders!$C$2:$C$20001,$A1764,Orders!$E$2:$E$20001,"Prepaid",Orders!$F$2:$F$20001,"RTO"))</f>
        <v/>
      </c>
      <c r="F1764" s="17" t="str">
        <f aca="false">IF($A1764="","",COUNTIFS(Orders!$C$2:$C$20001,$A1764,Orders!$E$2:$E$20001,"Prepaid",Orders!$F$2:$F$20001,"RTO"))</f>
        <v/>
      </c>
      <c r="G1764" s="18" t="str">
        <f aca="false">IF($A1764="","",IFERROR(F1764/E1764,0))</f>
        <v/>
      </c>
      <c r="H1764" s="19" t="str">
        <f aca="false">IF($A1764="","",C1764*Settings!$B$11)</f>
        <v/>
      </c>
      <c r="I1764" s="20" t="str">
        <f aca="false">IF($A1764="","",IF(N(H1764)=0,"",RANK(H1764,$H$5:$H$2004)))</f>
        <v/>
      </c>
      <c r="J1764" s="21" t="str">
        <f aca="false">IF($A1764="","",IF(B1764=0,"No COD orders",IF(B1764&lt;Settings!$B$8,"Too few orders",IF(D1764&gt;=Settings!$B$9,"Restrict COD or verify","Keep COD"))))</f>
        <v/>
      </c>
    </row>
    <row r="1765" customFormat="false" ht="15" hidden="false" customHeight="false" outlineLevel="0" collapsed="false">
      <c r="A1765" s="27"/>
      <c r="B1765" s="17" t="str">
        <f aca="false">IF($A1765="","",COUNTIFS(Orders!$C$2:$C$20001,$A1765,Orders!$E$2:$E$20001,"COD",Orders!$F$2:$F$20001,"Delivered")+COUNTIFS(Orders!$C$2:$C$20001,$A1765,Orders!$E$2:$E$20001,"COD",Orders!$F$2:$F$20001,"RTO"))</f>
        <v/>
      </c>
      <c r="C1765" s="17" t="str">
        <f aca="false">IF($A1765="","",COUNTIFS(Orders!$C$2:$C$20001,$A1765,Orders!$E$2:$E$20001,"COD",Orders!$F$2:$F$20001,"RTO"))</f>
        <v/>
      </c>
      <c r="D1765" s="18" t="str">
        <f aca="false">IF($A1765="","",IFERROR(C1765/B1765,0))</f>
        <v/>
      </c>
      <c r="E1765" s="17" t="str">
        <f aca="false">IF($A1765="","",COUNTIFS(Orders!$C$2:$C$20001,$A1765,Orders!$E$2:$E$20001,"Prepaid",Orders!$F$2:$F$20001,"Delivered")+COUNTIFS(Orders!$C$2:$C$20001,$A1765,Orders!$E$2:$E$20001,"Prepaid",Orders!$F$2:$F$20001,"RTO"))</f>
        <v/>
      </c>
      <c r="F1765" s="17" t="str">
        <f aca="false">IF($A1765="","",COUNTIFS(Orders!$C$2:$C$20001,$A1765,Orders!$E$2:$E$20001,"Prepaid",Orders!$F$2:$F$20001,"RTO"))</f>
        <v/>
      </c>
      <c r="G1765" s="18" t="str">
        <f aca="false">IF($A1765="","",IFERROR(F1765/E1765,0))</f>
        <v/>
      </c>
      <c r="H1765" s="19" t="str">
        <f aca="false">IF($A1765="","",C1765*Settings!$B$11)</f>
        <v/>
      </c>
      <c r="I1765" s="20" t="str">
        <f aca="false">IF($A1765="","",IF(N(H1765)=0,"",RANK(H1765,$H$5:$H$2004)))</f>
        <v/>
      </c>
      <c r="J1765" s="21" t="str">
        <f aca="false">IF($A1765="","",IF(B1765=0,"No COD orders",IF(B1765&lt;Settings!$B$8,"Too few orders",IF(D1765&gt;=Settings!$B$9,"Restrict COD or verify","Keep COD"))))</f>
        <v/>
      </c>
    </row>
    <row r="1766" customFormat="false" ht="15" hidden="false" customHeight="false" outlineLevel="0" collapsed="false">
      <c r="A1766" s="27"/>
      <c r="B1766" s="17" t="str">
        <f aca="false">IF($A1766="","",COUNTIFS(Orders!$C$2:$C$20001,$A1766,Orders!$E$2:$E$20001,"COD",Orders!$F$2:$F$20001,"Delivered")+COUNTIFS(Orders!$C$2:$C$20001,$A1766,Orders!$E$2:$E$20001,"COD",Orders!$F$2:$F$20001,"RTO"))</f>
        <v/>
      </c>
      <c r="C1766" s="17" t="str">
        <f aca="false">IF($A1766="","",COUNTIFS(Orders!$C$2:$C$20001,$A1766,Orders!$E$2:$E$20001,"COD",Orders!$F$2:$F$20001,"RTO"))</f>
        <v/>
      </c>
      <c r="D1766" s="18" t="str">
        <f aca="false">IF($A1766="","",IFERROR(C1766/B1766,0))</f>
        <v/>
      </c>
      <c r="E1766" s="17" t="str">
        <f aca="false">IF($A1766="","",COUNTIFS(Orders!$C$2:$C$20001,$A1766,Orders!$E$2:$E$20001,"Prepaid",Orders!$F$2:$F$20001,"Delivered")+COUNTIFS(Orders!$C$2:$C$20001,$A1766,Orders!$E$2:$E$20001,"Prepaid",Orders!$F$2:$F$20001,"RTO"))</f>
        <v/>
      </c>
      <c r="F1766" s="17" t="str">
        <f aca="false">IF($A1766="","",COUNTIFS(Orders!$C$2:$C$20001,$A1766,Orders!$E$2:$E$20001,"Prepaid",Orders!$F$2:$F$20001,"RTO"))</f>
        <v/>
      </c>
      <c r="G1766" s="18" t="str">
        <f aca="false">IF($A1766="","",IFERROR(F1766/E1766,0))</f>
        <v/>
      </c>
      <c r="H1766" s="19" t="str">
        <f aca="false">IF($A1766="","",C1766*Settings!$B$11)</f>
        <v/>
      </c>
      <c r="I1766" s="20" t="str">
        <f aca="false">IF($A1766="","",IF(N(H1766)=0,"",RANK(H1766,$H$5:$H$2004)))</f>
        <v/>
      </c>
      <c r="J1766" s="21" t="str">
        <f aca="false">IF($A1766="","",IF(B1766=0,"No COD orders",IF(B1766&lt;Settings!$B$8,"Too few orders",IF(D1766&gt;=Settings!$B$9,"Restrict COD or verify","Keep COD"))))</f>
        <v/>
      </c>
    </row>
    <row r="1767" customFormat="false" ht="15" hidden="false" customHeight="false" outlineLevel="0" collapsed="false">
      <c r="A1767" s="27"/>
      <c r="B1767" s="17" t="str">
        <f aca="false">IF($A1767="","",COUNTIFS(Orders!$C$2:$C$20001,$A1767,Orders!$E$2:$E$20001,"COD",Orders!$F$2:$F$20001,"Delivered")+COUNTIFS(Orders!$C$2:$C$20001,$A1767,Orders!$E$2:$E$20001,"COD",Orders!$F$2:$F$20001,"RTO"))</f>
        <v/>
      </c>
      <c r="C1767" s="17" t="str">
        <f aca="false">IF($A1767="","",COUNTIFS(Orders!$C$2:$C$20001,$A1767,Orders!$E$2:$E$20001,"COD",Orders!$F$2:$F$20001,"RTO"))</f>
        <v/>
      </c>
      <c r="D1767" s="18" t="str">
        <f aca="false">IF($A1767="","",IFERROR(C1767/B1767,0))</f>
        <v/>
      </c>
      <c r="E1767" s="17" t="str">
        <f aca="false">IF($A1767="","",COUNTIFS(Orders!$C$2:$C$20001,$A1767,Orders!$E$2:$E$20001,"Prepaid",Orders!$F$2:$F$20001,"Delivered")+COUNTIFS(Orders!$C$2:$C$20001,$A1767,Orders!$E$2:$E$20001,"Prepaid",Orders!$F$2:$F$20001,"RTO"))</f>
        <v/>
      </c>
      <c r="F1767" s="17" t="str">
        <f aca="false">IF($A1767="","",COUNTIFS(Orders!$C$2:$C$20001,$A1767,Orders!$E$2:$E$20001,"Prepaid",Orders!$F$2:$F$20001,"RTO"))</f>
        <v/>
      </c>
      <c r="G1767" s="18" t="str">
        <f aca="false">IF($A1767="","",IFERROR(F1767/E1767,0))</f>
        <v/>
      </c>
      <c r="H1767" s="19" t="str">
        <f aca="false">IF($A1767="","",C1767*Settings!$B$11)</f>
        <v/>
      </c>
      <c r="I1767" s="20" t="str">
        <f aca="false">IF($A1767="","",IF(N(H1767)=0,"",RANK(H1767,$H$5:$H$2004)))</f>
        <v/>
      </c>
      <c r="J1767" s="21" t="str">
        <f aca="false">IF($A1767="","",IF(B1767=0,"No COD orders",IF(B1767&lt;Settings!$B$8,"Too few orders",IF(D1767&gt;=Settings!$B$9,"Restrict COD or verify","Keep COD"))))</f>
        <v/>
      </c>
    </row>
    <row r="1768" customFormat="false" ht="15" hidden="false" customHeight="false" outlineLevel="0" collapsed="false">
      <c r="A1768" s="27"/>
      <c r="B1768" s="17" t="str">
        <f aca="false">IF($A1768="","",COUNTIFS(Orders!$C$2:$C$20001,$A1768,Orders!$E$2:$E$20001,"COD",Orders!$F$2:$F$20001,"Delivered")+COUNTIFS(Orders!$C$2:$C$20001,$A1768,Orders!$E$2:$E$20001,"COD",Orders!$F$2:$F$20001,"RTO"))</f>
        <v/>
      </c>
      <c r="C1768" s="17" t="str">
        <f aca="false">IF($A1768="","",COUNTIFS(Orders!$C$2:$C$20001,$A1768,Orders!$E$2:$E$20001,"COD",Orders!$F$2:$F$20001,"RTO"))</f>
        <v/>
      </c>
      <c r="D1768" s="18" t="str">
        <f aca="false">IF($A1768="","",IFERROR(C1768/B1768,0))</f>
        <v/>
      </c>
      <c r="E1768" s="17" t="str">
        <f aca="false">IF($A1768="","",COUNTIFS(Orders!$C$2:$C$20001,$A1768,Orders!$E$2:$E$20001,"Prepaid",Orders!$F$2:$F$20001,"Delivered")+COUNTIFS(Orders!$C$2:$C$20001,$A1768,Orders!$E$2:$E$20001,"Prepaid",Orders!$F$2:$F$20001,"RTO"))</f>
        <v/>
      </c>
      <c r="F1768" s="17" t="str">
        <f aca="false">IF($A1768="","",COUNTIFS(Orders!$C$2:$C$20001,$A1768,Orders!$E$2:$E$20001,"Prepaid",Orders!$F$2:$F$20001,"RTO"))</f>
        <v/>
      </c>
      <c r="G1768" s="18" t="str">
        <f aca="false">IF($A1768="","",IFERROR(F1768/E1768,0))</f>
        <v/>
      </c>
      <c r="H1768" s="19" t="str">
        <f aca="false">IF($A1768="","",C1768*Settings!$B$11)</f>
        <v/>
      </c>
      <c r="I1768" s="20" t="str">
        <f aca="false">IF($A1768="","",IF(N(H1768)=0,"",RANK(H1768,$H$5:$H$2004)))</f>
        <v/>
      </c>
      <c r="J1768" s="21" t="str">
        <f aca="false">IF($A1768="","",IF(B1768=0,"No COD orders",IF(B1768&lt;Settings!$B$8,"Too few orders",IF(D1768&gt;=Settings!$B$9,"Restrict COD or verify","Keep COD"))))</f>
        <v/>
      </c>
    </row>
    <row r="1769" customFormat="false" ht="15" hidden="false" customHeight="false" outlineLevel="0" collapsed="false">
      <c r="A1769" s="27"/>
      <c r="B1769" s="17" t="str">
        <f aca="false">IF($A1769="","",COUNTIFS(Orders!$C$2:$C$20001,$A1769,Orders!$E$2:$E$20001,"COD",Orders!$F$2:$F$20001,"Delivered")+COUNTIFS(Orders!$C$2:$C$20001,$A1769,Orders!$E$2:$E$20001,"COD",Orders!$F$2:$F$20001,"RTO"))</f>
        <v/>
      </c>
      <c r="C1769" s="17" t="str">
        <f aca="false">IF($A1769="","",COUNTIFS(Orders!$C$2:$C$20001,$A1769,Orders!$E$2:$E$20001,"COD",Orders!$F$2:$F$20001,"RTO"))</f>
        <v/>
      </c>
      <c r="D1769" s="18" t="str">
        <f aca="false">IF($A1769="","",IFERROR(C1769/B1769,0))</f>
        <v/>
      </c>
      <c r="E1769" s="17" t="str">
        <f aca="false">IF($A1769="","",COUNTIFS(Orders!$C$2:$C$20001,$A1769,Orders!$E$2:$E$20001,"Prepaid",Orders!$F$2:$F$20001,"Delivered")+COUNTIFS(Orders!$C$2:$C$20001,$A1769,Orders!$E$2:$E$20001,"Prepaid",Orders!$F$2:$F$20001,"RTO"))</f>
        <v/>
      </c>
      <c r="F1769" s="17" t="str">
        <f aca="false">IF($A1769="","",COUNTIFS(Orders!$C$2:$C$20001,$A1769,Orders!$E$2:$E$20001,"Prepaid",Orders!$F$2:$F$20001,"RTO"))</f>
        <v/>
      </c>
      <c r="G1769" s="18" t="str">
        <f aca="false">IF($A1769="","",IFERROR(F1769/E1769,0))</f>
        <v/>
      </c>
      <c r="H1769" s="19" t="str">
        <f aca="false">IF($A1769="","",C1769*Settings!$B$11)</f>
        <v/>
      </c>
      <c r="I1769" s="20" t="str">
        <f aca="false">IF($A1769="","",IF(N(H1769)=0,"",RANK(H1769,$H$5:$H$2004)))</f>
        <v/>
      </c>
      <c r="J1769" s="21" t="str">
        <f aca="false">IF($A1769="","",IF(B1769=0,"No COD orders",IF(B1769&lt;Settings!$B$8,"Too few orders",IF(D1769&gt;=Settings!$B$9,"Restrict COD or verify","Keep COD"))))</f>
        <v/>
      </c>
    </row>
    <row r="1770" customFormat="false" ht="15" hidden="false" customHeight="false" outlineLevel="0" collapsed="false">
      <c r="A1770" s="27"/>
      <c r="B1770" s="17" t="str">
        <f aca="false">IF($A1770="","",COUNTIFS(Orders!$C$2:$C$20001,$A1770,Orders!$E$2:$E$20001,"COD",Orders!$F$2:$F$20001,"Delivered")+COUNTIFS(Orders!$C$2:$C$20001,$A1770,Orders!$E$2:$E$20001,"COD",Orders!$F$2:$F$20001,"RTO"))</f>
        <v/>
      </c>
      <c r="C1770" s="17" t="str">
        <f aca="false">IF($A1770="","",COUNTIFS(Orders!$C$2:$C$20001,$A1770,Orders!$E$2:$E$20001,"COD",Orders!$F$2:$F$20001,"RTO"))</f>
        <v/>
      </c>
      <c r="D1770" s="18" t="str">
        <f aca="false">IF($A1770="","",IFERROR(C1770/B1770,0))</f>
        <v/>
      </c>
      <c r="E1770" s="17" t="str">
        <f aca="false">IF($A1770="","",COUNTIFS(Orders!$C$2:$C$20001,$A1770,Orders!$E$2:$E$20001,"Prepaid",Orders!$F$2:$F$20001,"Delivered")+COUNTIFS(Orders!$C$2:$C$20001,$A1770,Orders!$E$2:$E$20001,"Prepaid",Orders!$F$2:$F$20001,"RTO"))</f>
        <v/>
      </c>
      <c r="F1770" s="17" t="str">
        <f aca="false">IF($A1770="","",COUNTIFS(Orders!$C$2:$C$20001,$A1770,Orders!$E$2:$E$20001,"Prepaid",Orders!$F$2:$F$20001,"RTO"))</f>
        <v/>
      </c>
      <c r="G1770" s="18" t="str">
        <f aca="false">IF($A1770="","",IFERROR(F1770/E1770,0))</f>
        <v/>
      </c>
      <c r="H1770" s="19" t="str">
        <f aca="false">IF($A1770="","",C1770*Settings!$B$11)</f>
        <v/>
      </c>
      <c r="I1770" s="20" t="str">
        <f aca="false">IF($A1770="","",IF(N(H1770)=0,"",RANK(H1770,$H$5:$H$2004)))</f>
        <v/>
      </c>
      <c r="J1770" s="21" t="str">
        <f aca="false">IF($A1770="","",IF(B1770=0,"No COD orders",IF(B1770&lt;Settings!$B$8,"Too few orders",IF(D1770&gt;=Settings!$B$9,"Restrict COD or verify","Keep COD"))))</f>
        <v/>
      </c>
    </row>
    <row r="1771" customFormat="false" ht="15" hidden="false" customHeight="false" outlineLevel="0" collapsed="false">
      <c r="A1771" s="27"/>
      <c r="B1771" s="17" t="str">
        <f aca="false">IF($A1771="","",COUNTIFS(Orders!$C$2:$C$20001,$A1771,Orders!$E$2:$E$20001,"COD",Orders!$F$2:$F$20001,"Delivered")+COUNTIFS(Orders!$C$2:$C$20001,$A1771,Orders!$E$2:$E$20001,"COD",Orders!$F$2:$F$20001,"RTO"))</f>
        <v/>
      </c>
      <c r="C1771" s="17" t="str">
        <f aca="false">IF($A1771="","",COUNTIFS(Orders!$C$2:$C$20001,$A1771,Orders!$E$2:$E$20001,"COD",Orders!$F$2:$F$20001,"RTO"))</f>
        <v/>
      </c>
      <c r="D1771" s="18" t="str">
        <f aca="false">IF($A1771="","",IFERROR(C1771/B1771,0))</f>
        <v/>
      </c>
      <c r="E1771" s="17" t="str">
        <f aca="false">IF($A1771="","",COUNTIFS(Orders!$C$2:$C$20001,$A1771,Orders!$E$2:$E$20001,"Prepaid",Orders!$F$2:$F$20001,"Delivered")+COUNTIFS(Orders!$C$2:$C$20001,$A1771,Orders!$E$2:$E$20001,"Prepaid",Orders!$F$2:$F$20001,"RTO"))</f>
        <v/>
      </c>
      <c r="F1771" s="17" t="str">
        <f aca="false">IF($A1771="","",COUNTIFS(Orders!$C$2:$C$20001,$A1771,Orders!$E$2:$E$20001,"Prepaid",Orders!$F$2:$F$20001,"RTO"))</f>
        <v/>
      </c>
      <c r="G1771" s="18" t="str">
        <f aca="false">IF($A1771="","",IFERROR(F1771/E1771,0))</f>
        <v/>
      </c>
      <c r="H1771" s="19" t="str">
        <f aca="false">IF($A1771="","",C1771*Settings!$B$11)</f>
        <v/>
      </c>
      <c r="I1771" s="20" t="str">
        <f aca="false">IF($A1771="","",IF(N(H1771)=0,"",RANK(H1771,$H$5:$H$2004)))</f>
        <v/>
      </c>
      <c r="J1771" s="21" t="str">
        <f aca="false">IF($A1771="","",IF(B1771=0,"No COD orders",IF(B1771&lt;Settings!$B$8,"Too few orders",IF(D1771&gt;=Settings!$B$9,"Restrict COD or verify","Keep COD"))))</f>
        <v/>
      </c>
    </row>
    <row r="1772" customFormat="false" ht="15" hidden="false" customHeight="false" outlineLevel="0" collapsed="false">
      <c r="A1772" s="27"/>
      <c r="B1772" s="17" t="str">
        <f aca="false">IF($A1772="","",COUNTIFS(Orders!$C$2:$C$20001,$A1772,Orders!$E$2:$E$20001,"COD",Orders!$F$2:$F$20001,"Delivered")+COUNTIFS(Orders!$C$2:$C$20001,$A1772,Orders!$E$2:$E$20001,"COD",Orders!$F$2:$F$20001,"RTO"))</f>
        <v/>
      </c>
      <c r="C1772" s="17" t="str">
        <f aca="false">IF($A1772="","",COUNTIFS(Orders!$C$2:$C$20001,$A1772,Orders!$E$2:$E$20001,"COD",Orders!$F$2:$F$20001,"RTO"))</f>
        <v/>
      </c>
      <c r="D1772" s="18" t="str">
        <f aca="false">IF($A1772="","",IFERROR(C1772/B1772,0))</f>
        <v/>
      </c>
      <c r="E1772" s="17" t="str">
        <f aca="false">IF($A1772="","",COUNTIFS(Orders!$C$2:$C$20001,$A1772,Orders!$E$2:$E$20001,"Prepaid",Orders!$F$2:$F$20001,"Delivered")+COUNTIFS(Orders!$C$2:$C$20001,$A1772,Orders!$E$2:$E$20001,"Prepaid",Orders!$F$2:$F$20001,"RTO"))</f>
        <v/>
      </c>
      <c r="F1772" s="17" t="str">
        <f aca="false">IF($A1772="","",COUNTIFS(Orders!$C$2:$C$20001,$A1772,Orders!$E$2:$E$20001,"Prepaid",Orders!$F$2:$F$20001,"RTO"))</f>
        <v/>
      </c>
      <c r="G1772" s="18" t="str">
        <f aca="false">IF($A1772="","",IFERROR(F1772/E1772,0))</f>
        <v/>
      </c>
      <c r="H1772" s="19" t="str">
        <f aca="false">IF($A1772="","",C1772*Settings!$B$11)</f>
        <v/>
      </c>
      <c r="I1772" s="20" t="str">
        <f aca="false">IF($A1772="","",IF(N(H1772)=0,"",RANK(H1772,$H$5:$H$2004)))</f>
        <v/>
      </c>
      <c r="J1772" s="21" t="str">
        <f aca="false">IF($A1772="","",IF(B1772=0,"No COD orders",IF(B1772&lt;Settings!$B$8,"Too few orders",IF(D1772&gt;=Settings!$B$9,"Restrict COD or verify","Keep COD"))))</f>
        <v/>
      </c>
    </row>
    <row r="1773" customFormat="false" ht="15" hidden="false" customHeight="false" outlineLevel="0" collapsed="false">
      <c r="A1773" s="27"/>
      <c r="B1773" s="17" t="str">
        <f aca="false">IF($A1773="","",COUNTIFS(Orders!$C$2:$C$20001,$A1773,Orders!$E$2:$E$20001,"COD",Orders!$F$2:$F$20001,"Delivered")+COUNTIFS(Orders!$C$2:$C$20001,$A1773,Orders!$E$2:$E$20001,"COD",Orders!$F$2:$F$20001,"RTO"))</f>
        <v/>
      </c>
      <c r="C1773" s="17" t="str">
        <f aca="false">IF($A1773="","",COUNTIFS(Orders!$C$2:$C$20001,$A1773,Orders!$E$2:$E$20001,"COD",Orders!$F$2:$F$20001,"RTO"))</f>
        <v/>
      </c>
      <c r="D1773" s="18" t="str">
        <f aca="false">IF($A1773="","",IFERROR(C1773/B1773,0))</f>
        <v/>
      </c>
      <c r="E1773" s="17" t="str">
        <f aca="false">IF($A1773="","",COUNTIFS(Orders!$C$2:$C$20001,$A1773,Orders!$E$2:$E$20001,"Prepaid",Orders!$F$2:$F$20001,"Delivered")+COUNTIFS(Orders!$C$2:$C$20001,$A1773,Orders!$E$2:$E$20001,"Prepaid",Orders!$F$2:$F$20001,"RTO"))</f>
        <v/>
      </c>
      <c r="F1773" s="17" t="str">
        <f aca="false">IF($A1773="","",COUNTIFS(Orders!$C$2:$C$20001,$A1773,Orders!$E$2:$E$20001,"Prepaid",Orders!$F$2:$F$20001,"RTO"))</f>
        <v/>
      </c>
      <c r="G1773" s="18" t="str">
        <f aca="false">IF($A1773="","",IFERROR(F1773/E1773,0))</f>
        <v/>
      </c>
      <c r="H1773" s="19" t="str">
        <f aca="false">IF($A1773="","",C1773*Settings!$B$11)</f>
        <v/>
      </c>
      <c r="I1773" s="20" t="str">
        <f aca="false">IF($A1773="","",IF(N(H1773)=0,"",RANK(H1773,$H$5:$H$2004)))</f>
        <v/>
      </c>
      <c r="J1773" s="21" t="str">
        <f aca="false">IF($A1773="","",IF(B1773=0,"No COD orders",IF(B1773&lt;Settings!$B$8,"Too few orders",IF(D1773&gt;=Settings!$B$9,"Restrict COD or verify","Keep COD"))))</f>
        <v/>
      </c>
    </row>
    <row r="1774" customFormat="false" ht="15" hidden="false" customHeight="false" outlineLevel="0" collapsed="false">
      <c r="A1774" s="27"/>
      <c r="B1774" s="17" t="str">
        <f aca="false">IF($A1774="","",COUNTIFS(Orders!$C$2:$C$20001,$A1774,Orders!$E$2:$E$20001,"COD",Orders!$F$2:$F$20001,"Delivered")+COUNTIFS(Orders!$C$2:$C$20001,$A1774,Orders!$E$2:$E$20001,"COD",Orders!$F$2:$F$20001,"RTO"))</f>
        <v/>
      </c>
      <c r="C1774" s="17" t="str">
        <f aca="false">IF($A1774="","",COUNTIFS(Orders!$C$2:$C$20001,$A1774,Orders!$E$2:$E$20001,"COD",Orders!$F$2:$F$20001,"RTO"))</f>
        <v/>
      </c>
      <c r="D1774" s="18" t="str">
        <f aca="false">IF($A1774="","",IFERROR(C1774/B1774,0))</f>
        <v/>
      </c>
      <c r="E1774" s="17" t="str">
        <f aca="false">IF($A1774="","",COUNTIFS(Orders!$C$2:$C$20001,$A1774,Orders!$E$2:$E$20001,"Prepaid",Orders!$F$2:$F$20001,"Delivered")+COUNTIFS(Orders!$C$2:$C$20001,$A1774,Orders!$E$2:$E$20001,"Prepaid",Orders!$F$2:$F$20001,"RTO"))</f>
        <v/>
      </c>
      <c r="F1774" s="17" t="str">
        <f aca="false">IF($A1774="","",COUNTIFS(Orders!$C$2:$C$20001,$A1774,Orders!$E$2:$E$20001,"Prepaid",Orders!$F$2:$F$20001,"RTO"))</f>
        <v/>
      </c>
      <c r="G1774" s="18" t="str">
        <f aca="false">IF($A1774="","",IFERROR(F1774/E1774,0))</f>
        <v/>
      </c>
      <c r="H1774" s="19" t="str">
        <f aca="false">IF($A1774="","",C1774*Settings!$B$11)</f>
        <v/>
      </c>
      <c r="I1774" s="20" t="str">
        <f aca="false">IF($A1774="","",IF(N(H1774)=0,"",RANK(H1774,$H$5:$H$2004)))</f>
        <v/>
      </c>
      <c r="J1774" s="21" t="str">
        <f aca="false">IF($A1774="","",IF(B1774=0,"No COD orders",IF(B1774&lt;Settings!$B$8,"Too few orders",IF(D1774&gt;=Settings!$B$9,"Restrict COD or verify","Keep COD"))))</f>
        <v/>
      </c>
    </row>
    <row r="1775" customFormat="false" ht="15" hidden="false" customHeight="false" outlineLevel="0" collapsed="false">
      <c r="A1775" s="27"/>
      <c r="B1775" s="17" t="str">
        <f aca="false">IF($A1775="","",COUNTIFS(Orders!$C$2:$C$20001,$A1775,Orders!$E$2:$E$20001,"COD",Orders!$F$2:$F$20001,"Delivered")+COUNTIFS(Orders!$C$2:$C$20001,$A1775,Orders!$E$2:$E$20001,"COD",Orders!$F$2:$F$20001,"RTO"))</f>
        <v/>
      </c>
      <c r="C1775" s="17" t="str">
        <f aca="false">IF($A1775="","",COUNTIFS(Orders!$C$2:$C$20001,$A1775,Orders!$E$2:$E$20001,"COD",Orders!$F$2:$F$20001,"RTO"))</f>
        <v/>
      </c>
      <c r="D1775" s="18" t="str">
        <f aca="false">IF($A1775="","",IFERROR(C1775/B1775,0))</f>
        <v/>
      </c>
      <c r="E1775" s="17" t="str">
        <f aca="false">IF($A1775="","",COUNTIFS(Orders!$C$2:$C$20001,$A1775,Orders!$E$2:$E$20001,"Prepaid",Orders!$F$2:$F$20001,"Delivered")+COUNTIFS(Orders!$C$2:$C$20001,$A1775,Orders!$E$2:$E$20001,"Prepaid",Orders!$F$2:$F$20001,"RTO"))</f>
        <v/>
      </c>
      <c r="F1775" s="17" t="str">
        <f aca="false">IF($A1775="","",COUNTIFS(Orders!$C$2:$C$20001,$A1775,Orders!$E$2:$E$20001,"Prepaid",Orders!$F$2:$F$20001,"RTO"))</f>
        <v/>
      </c>
      <c r="G1775" s="18" t="str">
        <f aca="false">IF($A1775="","",IFERROR(F1775/E1775,0))</f>
        <v/>
      </c>
      <c r="H1775" s="19" t="str">
        <f aca="false">IF($A1775="","",C1775*Settings!$B$11)</f>
        <v/>
      </c>
      <c r="I1775" s="20" t="str">
        <f aca="false">IF($A1775="","",IF(N(H1775)=0,"",RANK(H1775,$H$5:$H$2004)))</f>
        <v/>
      </c>
      <c r="J1775" s="21" t="str">
        <f aca="false">IF($A1775="","",IF(B1775=0,"No COD orders",IF(B1775&lt;Settings!$B$8,"Too few orders",IF(D1775&gt;=Settings!$B$9,"Restrict COD or verify","Keep COD"))))</f>
        <v/>
      </c>
    </row>
    <row r="1776" customFormat="false" ht="15" hidden="false" customHeight="false" outlineLevel="0" collapsed="false">
      <c r="A1776" s="27"/>
      <c r="B1776" s="17" t="str">
        <f aca="false">IF($A1776="","",COUNTIFS(Orders!$C$2:$C$20001,$A1776,Orders!$E$2:$E$20001,"COD",Orders!$F$2:$F$20001,"Delivered")+COUNTIFS(Orders!$C$2:$C$20001,$A1776,Orders!$E$2:$E$20001,"COD",Orders!$F$2:$F$20001,"RTO"))</f>
        <v/>
      </c>
      <c r="C1776" s="17" t="str">
        <f aca="false">IF($A1776="","",COUNTIFS(Orders!$C$2:$C$20001,$A1776,Orders!$E$2:$E$20001,"COD",Orders!$F$2:$F$20001,"RTO"))</f>
        <v/>
      </c>
      <c r="D1776" s="18" t="str">
        <f aca="false">IF($A1776="","",IFERROR(C1776/B1776,0))</f>
        <v/>
      </c>
      <c r="E1776" s="17" t="str">
        <f aca="false">IF($A1776="","",COUNTIFS(Orders!$C$2:$C$20001,$A1776,Orders!$E$2:$E$20001,"Prepaid",Orders!$F$2:$F$20001,"Delivered")+COUNTIFS(Orders!$C$2:$C$20001,$A1776,Orders!$E$2:$E$20001,"Prepaid",Orders!$F$2:$F$20001,"RTO"))</f>
        <v/>
      </c>
      <c r="F1776" s="17" t="str">
        <f aca="false">IF($A1776="","",COUNTIFS(Orders!$C$2:$C$20001,$A1776,Orders!$E$2:$E$20001,"Prepaid",Orders!$F$2:$F$20001,"RTO"))</f>
        <v/>
      </c>
      <c r="G1776" s="18" t="str">
        <f aca="false">IF($A1776="","",IFERROR(F1776/E1776,0))</f>
        <v/>
      </c>
      <c r="H1776" s="19" t="str">
        <f aca="false">IF($A1776="","",C1776*Settings!$B$11)</f>
        <v/>
      </c>
      <c r="I1776" s="20" t="str">
        <f aca="false">IF($A1776="","",IF(N(H1776)=0,"",RANK(H1776,$H$5:$H$2004)))</f>
        <v/>
      </c>
      <c r="J1776" s="21" t="str">
        <f aca="false">IF($A1776="","",IF(B1776=0,"No COD orders",IF(B1776&lt;Settings!$B$8,"Too few orders",IF(D1776&gt;=Settings!$B$9,"Restrict COD or verify","Keep COD"))))</f>
        <v/>
      </c>
    </row>
    <row r="1777" customFormat="false" ht="15" hidden="false" customHeight="false" outlineLevel="0" collapsed="false">
      <c r="A1777" s="27"/>
      <c r="B1777" s="17" t="str">
        <f aca="false">IF($A1777="","",COUNTIFS(Orders!$C$2:$C$20001,$A1777,Orders!$E$2:$E$20001,"COD",Orders!$F$2:$F$20001,"Delivered")+COUNTIFS(Orders!$C$2:$C$20001,$A1777,Orders!$E$2:$E$20001,"COD",Orders!$F$2:$F$20001,"RTO"))</f>
        <v/>
      </c>
      <c r="C1777" s="17" t="str">
        <f aca="false">IF($A1777="","",COUNTIFS(Orders!$C$2:$C$20001,$A1777,Orders!$E$2:$E$20001,"COD",Orders!$F$2:$F$20001,"RTO"))</f>
        <v/>
      </c>
      <c r="D1777" s="18" t="str">
        <f aca="false">IF($A1777="","",IFERROR(C1777/B1777,0))</f>
        <v/>
      </c>
      <c r="E1777" s="17" t="str">
        <f aca="false">IF($A1777="","",COUNTIFS(Orders!$C$2:$C$20001,$A1777,Orders!$E$2:$E$20001,"Prepaid",Orders!$F$2:$F$20001,"Delivered")+COUNTIFS(Orders!$C$2:$C$20001,$A1777,Orders!$E$2:$E$20001,"Prepaid",Orders!$F$2:$F$20001,"RTO"))</f>
        <v/>
      </c>
      <c r="F1777" s="17" t="str">
        <f aca="false">IF($A1777="","",COUNTIFS(Orders!$C$2:$C$20001,$A1777,Orders!$E$2:$E$20001,"Prepaid",Orders!$F$2:$F$20001,"RTO"))</f>
        <v/>
      </c>
      <c r="G1777" s="18" t="str">
        <f aca="false">IF($A1777="","",IFERROR(F1777/E1777,0))</f>
        <v/>
      </c>
      <c r="H1777" s="19" t="str">
        <f aca="false">IF($A1777="","",C1777*Settings!$B$11)</f>
        <v/>
      </c>
      <c r="I1777" s="20" t="str">
        <f aca="false">IF($A1777="","",IF(N(H1777)=0,"",RANK(H1777,$H$5:$H$2004)))</f>
        <v/>
      </c>
      <c r="J1777" s="21" t="str">
        <f aca="false">IF($A1777="","",IF(B1777=0,"No COD orders",IF(B1777&lt;Settings!$B$8,"Too few orders",IF(D1777&gt;=Settings!$B$9,"Restrict COD or verify","Keep COD"))))</f>
        <v/>
      </c>
    </row>
    <row r="1778" customFormat="false" ht="15" hidden="false" customHeight="false" outlineLevel="0" collapsed="false">
      <c r="A1778" s="27"/>
      <c r="B1778" s="17" t="str">
        <f aca="false">IF($A1778="","",COUNTIFS(Orders!$C$2:$C$20001,$A1778,Orders!$E$2:$E$20001,"COD",Orders!$F$2:$F$20001,"Delivered")+COUNTIFS(Orders!$C$2:$C$20001,$A1778,Orders!$E$2:$E$20001,"COD",Orders!$F$2:$F$20001,"RTO"))</f>
        <v/>
      </c>
      <c r="C1778" s="17" t="str">
        <f aca="false">IF($A1778="","",COUNTIFS(Orders!$C$2:$C$20001,$A1778,Orders!$E$2:$E$20001,"COD",Orders!$F$2:$F$20001,"RTO"))</f>
        <v/>
      </c>
      <c r="D1778" s="18" t="str">
        <f aca="false">IF($A1778="","",IFERROR(C1778/B1778,0))</f>
        <v/>
      </c>
      <c r="E1778" s="17" t="str">
        <f aca="false">IF($A1778="","",COUNTIFS(Orders!$C$2:$C$20001,$A1778,Orders!$E$2:$E$20001,"Prepaid",Orders!$F$2:$F$20001,"Delivered")+COUNTIFS(Orders!$C$2:$C$20001,$A1778,Orders!$E$2:$E$20001,"Prepaid",Orders!$F$2:$F$20001,"RTO"))</f>
        <v/>
      </c>
      <c r="F1778" s="17" t="str">
        <f aca="false">IF($A1778="","",COUNTIFS(Orders!$C$2:$C$20001,$A1778,Orders!$E$2:$E$20001,"Prepaid",Orders!$F$2:$F$20001,"RTO"))</f>
        <v/>
      </c>
      <c r="G1778" s="18" t="str">
        <f aca="false">IF($A1778="","",IFERROR(F1778/E1778,0))</f>
        <v/>
      </c>
      <c r="H1778" s="19" t="str">
        <f aca="false">IF($A1778="","",C1778*Settings!$B$11)</f>
        <v/>
      </c>
      <c r="I1778" s="20" t="str">
        <f aca="false">IF($A1778="","",IF(N(H1778)=0,"",RANK(H1778,$H$5:$H$2004)))</f>
        <v/>
      </c>
      <c r="J1778" s="21" t="str">
        <f aca="false">IF($A1778="","",IF(B1778=0,"No COD orders",IF(B1778&lt;Settings!$B$8,"Too few orders",IF(D1778&gt;=Settings!$B$9,"Restrict COD or verify","Keep COD"))))</f>
        <v/>
      </c>
    </row>
    <row r="1779" customFormat="false" ht="15" hidden="false" customHeight="false" outlineLevel="0" collapsed="false">
      <c r="A1779" s="27"/>
      <c r="B1779" s="17" t="str">
        <f aca="false">IF($A1779="","",COUNTIFS(Orders!$C$2:$C$20001,$A1779,Orders!$E$2:$E$20001,"COD",Orders!$F$2:$F$20001,"Delivered")+COUNTIFS(Orders!$C$2:$C$20001,$A1779,Orders!$E$2:$E$20001,"COD",Orders!$F$2:$F$20001,"RTO"))</f>
        <v/>
      </c>
      <c r="C1779" s="17" t="str">
        <f aca="false">IF($A1779="","",COUNTIFS(Orders!$C$2:$C$20001,$A1779,Orders!$E$2:$E$20001,"COD",Orders!$F$2:$F$20001,"RTO"))</f>
        <v/>
      </c>
      <c r="D1779" s="18" t="str">
        <f aca="false">IF($A1779="","",IFERROR(C1779/B1779,0))</f>
        <v/>
      </c>
      <c r="E1779" s="17" t="str">
        <f aca="false">IF($A1779="","",COUNTIFS(Orders!$C$2:$C$20001,$A1779,Orders!$E$2:$E$20001,"Prepaid",Orders!$F$2:$F$20001,"Delivered")+COUNTIFS(Orders!$C$2:$C$20001,$A1779,Orders!$E$2:$E$20001,"Prepaid",Orders!$F$2:$F$20001,"RTO"))</f>
        <v/>
      </c>
      <c r="F1779" s="17" t="str">
        <f aca="false">IF($A1779="","",COUNTIFS(Orders!$C$2:$C$20001,$A1779,Orders!$E$2:$E$20001,"Prepaid",Orders!$F$2:$F$20001,"RTO"))</f>
        <v/>
      </c>
      <c r="G1779" s="18" t="str">
        <f aca="false">IF($A1779="","",IFERROR(F1779/E1779,0))</f>
        <v/>
      </c>
      <c r="H1779" s="19" t="str">
        <f aca="false">IF($A1779="","",C1779*Settings!$B$11)</f>
        <v/>
      </c>
      <c r="I1779" s="20" t="str">
        <f aca="false">IF($A1779="","",IF(N(H1779)=0,"",RANK(H1779,$H$5:$H$2004)))</f>
        <v/>
      </c>
      <c r="J1779" s="21" t="str">
        <f aca="false">IF($A1779="","",IF(B1779=0,"No COD orders",IF(B1779&lt;Settings!$B$8,"Too few orders",IF(D1779&gt;=Settings!$B$9,"Restrict COD or verify","Keep COD"))))</f>
        <v/>
      </c>
    </row>
    <row r="1780" customFormat="false" ht="15" hidden="false" customHeight="false" outlineLevel="0" collapsed="false">
      <c r="A1780" s="27"/>
      <c r="B1780" s="17" t="str">
        <f aca="false">IF($A1780="","",COUNTIFS(Orders!$C$2:$C$20001,$A1780,Orders!$E$2:$E$20001,"COD",Orders!$F$2:$F$20001,"Delivered")+COUNTIFS(Orders!$C$2:$C$20001,$A1780,Orders!$E$2:$E$20001,"COD",Orders!$F$2:$F$20001,"RTO"))</f>
        <v/>
      </c>
      <c r="C1780" s="17" t="str">
        <f aca="false">IF($A1780="","",COUNTIFS(Orders!$C$2:$C$20001,$A1780,Orders!$E$2:$E$20001,"COD",Orders!$F$2:$F$20001,"RTO"))</f>
        <v/>
      </c>
      <c r="D1780" s="18" t="str">
        <f aca="false">IF($A1780="","",IFERROR(C1780/B1780,0))</f>
        <v/>
      </c>
      <c r="E1780" s="17" t="str">
        <f aca="false">IF($A1780="","",COUNTIFS(Orders!$C$2:$C$20001,$A1780,Orders!$E$2:$E$20001,"Prepaid",Orders!$F$2:$F$20001,"Delivered")+COUNTIFS(Orders!$C$2:$C$20001,$A1780,Orders!$E$2:$E$20001,"Prepaid",Orders!$F$2:$F$20001,"RTO"))</f>
        <v/>
      </c>
      <c r="F1780" s="17" t="str">
        <f aca="false">IF($A1780="","",COUNTIFS(Orders!$C$2:$C$20001,$A1780,Orders!$E$2:$E$20001,"Prepaid",Orders!$F$2:$F$20001,"RTO"))</f>
        <v/>
      </c>
      <c r="G1780" s="18" t="str">
        <f aca="false">IF($A1780="","",IFERROR(F1780/E1780,0))</f>
        <v/>
      </c>
      <c r="H1780" s="19" t="str">
        <f aca="false">IF($A1780="","",C1780*Settings!$B$11)</f>
        <v/>
      </c>
      <c r="I1780" s="20" t="str">
        <f aca="false">IF($A1780="","",IF(N(H1780)=0,"",RANK(H1780,$H$5:$H$2004)))</f>
        <v/>
      </c>
      <c r="J1780" s="21" t="str">
        <f aca="false">IF($A1780="","",IF(B1780=0,"No COD orders",IF(B1780&lt;Settings!$B$8,"Too few orders",IF(D1780&gt;=Settings!$B$9,"Restrict COD or verify","Keep COD"))))</f>
        <v/>
      </c>
    </row>
    <row r="1781" customFormat="false" ht="15" hidden="false" customHeight="false" outlineLevel="0" collapsed="false">
      <c r="A1781" s="27"/>
      <c r="B1781" s="17" t="str">
        <f aca="false">IF($A1781="","",COUNTIFS(Orders!$C$2:$C$20001,$A1781,Orders!$E$2:$E$20001,"COD",Orders!$F$2:$F$20001,"Delivered")+COUNTIFS(Orders!$C$2:$C$20001,$A1781,Orders!$E$2:$E$20001,"COD",Orders!$F$2:$F$20001,"RTO"))</f>
        <v/>
      </c>
      <c r="C1781" s="17" t="str">
        <f aca="false">IF($A1781="","",COUNTIFS(Orders!$C$2:$C$20001,$A1781,Orders!$E$2:$E$20001,"COD",Orders!$F$2:$F$20001,"RTO"))</f>
        <v/>
      </c>
      <c r="D1781" s="18" t="str">
        <f aca="false">IF($A1781="","",IFERROR(C1781/B1781,0))</f>
        <v/>
      </c>
      <c r="E1781" s="17" t="str">
        <f aca="false">IF($A1781="","",COUNTIFS(Orders!$C$2:$C$20001,$A1781,Orders!$E$2:$E$20001,"Prepaid",Orders!$F$2:$F$20001,"Delivered")+COUNTIFS(Orders!$C$2:$C$20001,$A1781,Orders!$E$2:$E$20001,"Prepaid",Orders!$F$2:$F$20001,"RTO"))</f>
        <v/>
      </c>
      <c r="F1781" s="17" t="str">
        <f aca="false">IF($A1781="","",COUNTIFS(Orders!$C$2:$C$20001,$A1781,Orders!$E$2:$E$20001,"Prepaid",Orders!$F$2:$F$20001,"RTO"))</f>
        <v/>
      </c>
      <c r="G1781" s="18" t="str">
        <f aca="false">IF($A1781="","",IFERROR(F1781/E1781,0))</f>
        <v/>
      </c>
      <c r="H1781" s="19" t="str">
        <f aca="false">IF($A1781="","",C1781*Settings!$B$11)</f>
        <v/>
      </c>
      <c r="I1781" s="20" t="str">
        <f aca="false">IF($A1781="","",IF(N(H1781)=0,"",RANK(H1781,$H$5:$H$2004)))</f>
        <v/>
      </c>
      <c r="J1781" s="21" t="str">
        <f aca="false">IF($A1781="","",IF(B1781=0,"No COD orders",IF(B1781&lt;Settings!$B$8,"Too few orders",IF(D1781&gt;=Settings!$B$9,"Restrict COD or verify","Keep COD"))))</f>
        <v/>
      </c>
    </row>
    <row r="1782" customFormat="false" ht="15" hidden="false" customHeight="false" outlineLevel="0" collapsed="false">
      <c r="A1782" s="27"/>
      <c r="B1782" s="17" t="str">
        <f aca="false">IF($A1782="","",COUNTIFS(Orders!$C$2:$C$20001,$A1782,Orders!$E$2:$E$20001,"COD",Orders!$F$2:$F$20001,"Delivered")+COUNTIFS(Orders!$C$2:$C$20001,$A1782,Orders!$E$2:$E$20001,"COD",Orders!$F$2:$F$20001,"RTO"))</f>
        <v/>
      </c>
      <c r="C1782" s="17" t="str">
        <f aca="false">IF($A1782="","",COUNTIFS(Orders!$C$2:$C$20001,$A1782,Orders!$E$2:$E$20001,"COD",Orders!$F$2:$F$20001,"RTO"))</f>
        <v/>
      </c>
      <c r="D1782" s="18" t="str">
        <f aca="false">IF($A1782="","",IFERROR(C1782/B1782,0))</f>
        <v/>
      </c>
      <c r="E1782" s="17" t="str">
        <f aca="false">IF($A1782="","",COUNTIFS(Orders!$C$2:$C$20001,$A1782,Orders!$E$2:$E$20001,"Prepaid",Orders!$F$2:$F$20001,"Delivered")+COUNTIFS(Orders!$C$2:$C$20001,$A1782,Orders!$E$2:$E$20001,"Prepaid",Orders!$F$2:$F$20001,"RTO"))</f>
        <v/>
      </c>
      <c r="F1782" s="17" t="str">
        <f aca="false">IF($A1782="","",COUNTIFS(Orders!$C$2:$C$20001,$A1782,Orders!$E$2:$E$20001,"Prepaid",Orders!$F$2:$F$20001,"RTO"))</f>
        <v/>
      </c>
      <c r="G1782" s="18" t="str">
        <f aca="false">IF($A1782="","",IFERROR(F1782/E1782,0))</f>
        <v/>
      </c>
      <c r="H1782" s="19" t="str">
        <f aca="false">IF($A1782="","",C1782*Settings!$B$11)</f>
        <v/>
      </c>
      <c r="I1782" s="20" t="str">
        <f aca="false">IF($A1782="","",IF(N(H1782)=0,"",RANK(H1782,$H$5:$H$2004)))</f>
        <v/>
      </c>
      <c r="J1782" s="21" t="str">
        <f aca="false">IF($A1782="","",IF(B1782=0,"No COD orders",IF(B1782&lt;Settings!$B$8,"Too few orders",IF(D1782&gt;=Settings!$B$9,"Restrict COD or verify","Keep COD"))))</f>
        <v/>
      </c>
    </row>
    <row r="1783" customFormat="false" ht="15" hidden="false" customHeight="false" outlineLevel="0" collapsed="false">
      <c r="A1783" s="27"/>
      <c r="B1783" s="17" t="str">
        <f aca="false">IF($A1783="","",COUNTIFS(Orders!$C$2:$C$20001,$A1783,Orders!$E$2:$E$20001,"COD",Orders!$F$2:$F$20001,"Delivered")+COUNTIFS(Orders!$C$2:$C$20001,$A1783,Orders!$E$2:$E$20001,"COD",Orders!$F$2:$F$20001,"RTO"))</f>
        <v/>
      </c>
      <c r="C1783" s="17" t="str">
        <f aca="false">IF($A1783="","",COUNTIFS(Orders!$C$2:$C$20001,$A1783,Orders!$E$2:$E$20001,"COD",Orders!$F$2:$F$20001,"RTO"))</f>
        <v/>
      </c>
      <c r="D1783" s="18" t="str">
        <f aca="false">IF($A1783="","",IFERROR(C1783/B1783,0))</f>
        <v/>
      </c>
      <c r="E1783" s="17" t="str">
        <f aca="false">IF($A1783="","",COUNTIFS(Orders!$C$2:$C$20001,$A1783,Orders!$E$2:$E$20001,"Prepaid",Orders!$F$2:$F$20001,"Delivered")+COUNTIFS(Orders!$C$2:$C$20001,$A1783,Orders!$E$2:$E$20001,"Prepaid",Orders!$F$2:$F$20001,"RTO"))</f>
        <v/>
      </c>
      <c r="F1783" s="17" t="str">
        <f aca="false">IF($A1783="","",COUNTIFS(Orders!$C$2:$C$20001,$A1783,Orders!$E$2:$E$20001,"Prepaid",Orders!$F$2:$F$20001,"RTO"))</f>
        <v/>
      </c>
      <c r="G1783" s="18" t="str">
        <f aca="false">IF($A1783="","",IFERROR(F1783/E1783,0))</f>
        <v/>
      </c>
      <c r="H1783" s="19" t="str">
        <f aca="false">IF($A1783="","",C1783*Settings!$B$11)</f>
        <v/>
      </c>
      <c r="I1783" s="20" t="str">
        <f aca="false">IF($A1783="","",IF(N(H1783)=0,"",RANK(H1783,$H$5:$H$2004)))</f>
        <v/>
      </c>
      <c r="J1783" s="21" t="str">
        <f aca="false">IF($A1783="","",IF(B1783=0,"No COD orders",IF(B1783&lt;Settings!$B$8,"Too few orders",IF(D1783&gt;=Settings!$B$9,"Restrict COD or verify","Keep COD"))))</f>
        <v/>
      </c>
    </row>
    <row r="1784" customFormat="false" ht="15" hidden="false" customHeight="false" outlineLevel="0" collapsed="false">
      <c r="A1784" s="27"/>
      <c r="B1784" s="17" t="str">
        <f aca="false">IF($A1784="","",COUNTIFS(Orders!$C$2:$C$20001,$A1784,Orders!$E$2:$E$20001,"COD",Orders!$F$2:$F$20001,"Delivered")+COUNTIFS(Orders!$C$2:$C$20001,$A1784,Orders!$E$2:$E$20001,"COD",Orders!$F$2:$F$20001,"RTO"))</f>
        <v/>
      </c>
      <c r="C1784" s="17" t="str">
        <f aca="false">IF($A1784="","",COUNTIFS(Orders!$C$2:$C$20001,$A1784,Orders!$E$2:$E$20001,"COD",Orders!$F$2:$F$20001,"RTO"))</f>
        <v/>
      </c>
      <c r="D1784" s="18" t="str">
        <f aca="false">IF($A1784="","",IFERROR(C1784/B1784,0))</f>
        <v/>
      </c>
      <c r="E1784" s="17" t="str">
        <f aca="false">IF($A1784="","",COUNTIFS(Orders!$C$2:$C$20001,$A1784,Orders!$E$2:$E$20001,"Prepaid",Orders!$F$2:$F$20001,"Delivered")+COUNTIFS(Orders!$C$2:$C$20001,$A1784,Orders!$E$2:$E$20001,"Prepaid",Orders!$F$2:$F$20001,"RTO"))</f>
        <v/>
      </c>
      <c r="F1784" s="17" t="str">
        <f aca="false">IF($A1784="","",COUNTIFS(Orders!$C$2:$C$20001,$A1784,Orders!$E$2:$E$20001,"Prepaid",Orders!$F$2:$F$20001,"RTO"))</f>
        <v/>
      </c>
      <c r="G1784" s="18" t="str">
        <f aca="false">IF($A1784="","",IFERROR(F1784/E1784,0))</f>
        <v/>
      </c>
      <c r="H1784" s="19" t="str">
        <f aca="false">IF($A1784="","",C1784*Settings!$B$11)</f>
        <v/>
      </c>
      <c r="I1784" s="20" t="str">
        <f aca="false">IF($A1784="","",IF(N(H1784)=0,"",RANK(H1784,$H$5:$H$2004)))</f>
        <v/>
      </c>
      <c r="J1784" s="21" t="str">
        <f aca="false">IF($A1784="","",IF(B1784=0,"No COD orders",IF(B1784&lt;Settings!$B$8,"Too few orders",IF(D1784&gt;=Settings!$B$9,"Restrict COD or verify","Keep COD"))))</f>
        <v/>
      </c>
    </row>
    <row r="1785" customFormat="false" ht="15" hidden="false" customHeight="false" outlineLevel="0" collapsed="false">
      <c r="A1785" s="27"/>
      <c r="B1785" s="17" t="str">
        <f aca="false">IF($A1785="","",COUNTIFS(Orders!$C$2:$C$20001,$A1785,Orders!$E$2:$E$20001,"COD",Orders!$F$2:$F$20001,"Delivered")+COUNTIFS(Orders!$C$2:$C$20001,$A1785,Orders!$E$2:$E$20001,"COD",Orders!$F$2:$F$20001,"RTO"))</f>
        <v/>
      </c>
      <c r="C1785" s="17" t="str">
        <f aca="false">IF($A1785="","",COUNTIFS(Orders!$C$2:$C$20001,$A1785,Orders!$E$2:$E$20001,"COD",Orders!$F$2:$F$20001,"RTO"))</f>
        <v/>
      </c>
      <c r="D1785" s="18" t="str">
        <f aca="false">IF($A1785="","",IFERROR(C1785/B1785,0))</f>
        <v/>
      </c>
      <c r="E1785" s="17" t="str">
        <f aca="false">IF($A1785="","",COUNTIFS(Orders!$C$2:$C$20001,$A1785,Orders!$E$2:$E$20001,"Prepaid",Orders!$F$2:$F$20001,"Delivered")+COUNTIFS(Orders!$C$2:$C$20001,$A1785,Orders!$E$2:$E$20001,"Prepaid",Orders!$F$2:$F$20001,"RTO"))</f>
        <v/>
      </c>
      <c r="F1785" s="17" t="str">
        <f aca="false">IF($A1785="","",COUNTIFS(Orders!$C$2:$C$20001,$A1785,Orders!$E$2:$E$20001,"Prepaid",Orders!$F$2:$F$20001,"RTO"))</f>
        <v/>
      </c>
      <c r="G1785" s="18" t="str">
        <f aca="false">IF($A1785="","",IFERROR(F1785/E1785,0))</f>
        <v/>
      </c>
      <c r="H1785" s="19" t="str">
        <f aca="false">IF($A1785="","",C1785*Settings!$B$11)</f>
        <v/>
      </c>
      <c r="I1785" s="20" t="str">
        <f aca="false">IF($A1785="","",IF(N(H1785)=0,"",RANK(H1785,$H$5:$H$2004)))</f>
        <v/>
      </c>
      <c r="J1785" s="21" t="str">
        <f aca="false">IF($A1785="","",IF(B1785=0,"No COD orders",IF(B1785&lt;Settings!$B$8,"Too few orders",IF(D1785&gt;=Settings!$B$9,"Restrict COD or verify","Keep COD"))))</f>
        <v/>
      </c>
    </row>
    <row r="1786" customFormat="false" ht="15" hidden="false" customHeight="false" outlineLevel="0" collapsed="false">
      <c r="A1786" s="27"/>
      <c r="B1786" s="17" t="str">
        <f aca="false">IF($A1786="","",COUNTIFS(Orders!$C$2:$C$20001,$A1786,Orders!$E$2:$E$20001,"COD",Orders!$F$2:$F$20001,"Delivered")+COUNTIFS(Orders!$C$2:$C$20001,$A1786,Orders!$E$2:$E$20001,"COD",Orders!$F$2:$F$20001,"RTO"))</f>
        <v/>
      </c>
      <c r="C1786" s="17" t="str">
        <f aca="false">IF($A1786="","",COUNTIFS(Orders!$C$2:$C$20001,$A1786,Orders!$E$2:$E$20001,"COD",Orders!$F$2:$F$20001,"RTO"))</f>
        <v/>
      </c>
      <c r="D1786" s="18" t="str">
        <f aca="false">IF($A1786="","",IFERROR(C1786/B1786,0))</f>
        <v/>
      </c>
      <c r="E1786" s="17" t="str">
        <f aca="false">IF($A1786="","",COUNTIFS(Orders!$C$2:$C$20001,$A1786,Orders!$E$2:$E$20001,"Prepaid",Orders!$F$2:$F$20001,"Delivered")+COUNTIFS(Orders!$C$2:$C$20001,$A1786,Orders!$E$2:$E$20001,"Prepaid",Orders!$F$2:$F$20001,"RTO"))</f>
        <v/>
      </c>
      <c r="F1786" s="17" t="str">
        <f aca="false">IF($A1786="","",COUNTIFS(Orders!$C$2:$C$20001,$A1786,Orders!$E$2:$E$20001,"Prepaid",Orders!$F$2:$F$20001,"RTO"))</f>
        <v/>
      </c>
      <c r="G1786" s="18" t="str">
        <f aca="false">IF($A1786="","",IFERROR(F1786/E1786,0))</f>
        <v/>
      </c>
      <c r="H1786" s="19" t="str">
        <f aca="false">IF($A1786="","",C1786*Settings!$B$11)</f>
        <v/>
      </c>
      <c r="I1786" s="20" t="str">
        <f aca="false">IF($A1786="","",IF(N(H1786)=0,"",RANK(H1786,$H$5:$H$2004)))</f>
        <v/>
      </c>
      <c r="J1786" s="21" t="str">
        <f aca="false">IF($A1786="","",IF(B1786=0,"No COD orders",IF(B1786&lt;Settings!$B$8,"Too few orders",IF(D1786&gt;=Settings!$B$9,"Restrict COD or verify","Keep COD"))))</f>
        <v/>
      </c>
    </row>
    <row r="1787" customFormat="false" ht="15" hidden="false" customHeight="false" outlineLevel="0" collapsed="false">
      <c r="A1787" s="27"/>
      <c r="B1787" s="17" t="str">
        <f aca="false">IF($A1787="","",COUNTIFS(Orders!$C$2:$C$20001,$A1787,Orders!$E$2:$E$20001,"COD",Orders!$F$2:$F$20001,"Delivered")+COUNTIFS(Orders!$C$2:$C$20001,$A1787,Orders!$E$2:$E$20001,"COD",Orders!$F$2:$F$20001,"RTO"))</f>
        <v/>
      </c>
      <c r="C1787" s="17" t="str">
        <f aca="false">IF($A1787="","",COUNTIFS(Orders!$C$2:$C$20001,$A1787,Orders!$E$2:$E$20001,"COD",Orders!$F$2:$F$20001,"RTO"))</f>
        <v/>
      </c>
      <c r="D1787" s="18" t="str">
        <f aca="false">IF($A1787="","",IFERROR(C1787/B1787,0))</f>
        <v/>
      </c>
      <c r="E1787" s="17" t="str">
        <f aca="false">IF($A1787="","",COUNTIFS(Orders!$C$2:$C$20001,$A1787,Orders!$E$2:$E$20001,"Prepaid",Orders!$F$2:$F$20001,"Delivered")+COUNTIFS(Orders!$C$2:$C$20001,$A1787,Orders!$E$2:$E$20001,"Prepaid",Orders!$F$2:$F$20001,"RTO"))</f>
        <v/>
      </c>
      <c r="F1787" s="17" t="str">
        <f aca="false">IF($A1787="","",COUNTIFS(Orders!$C$2:$C$20001,$A1787,Orders!$E$2:$E$20001,"Prepaid",Orders!$F$2:$F$20001,"RTO"))</f>
        <v/>
      </c>
      <c r="G1787" s="18" t="str">
        <f aca="false">IF($A1787="","",IFERROR(F1787/E1787,0))</f>
        <v/>
      </c>
      <c r="H1787" s="19" t="str">
        <f aca="false">IF($A1787="","",C1787*Settings!$B$11)</f>
        <v/>
      </c>
      <c r="I1787" s="20" t="str">
        <f aca="false">IF($A1787="","",IF(N(H1787)=0,"",RANK(H1787,$H$5:$H$2004)))</f>
        <v/>
      </c>
      <c r="J1787" s="21" t="str">
        <f aca="false">IF($A1787="","",IF(B1787=0,"No COD orders",IF(B1787&lt;Settings!$B$8,"Too few orders",IF(D1787&gt;=Settings!$B$9,"Restrict COD or verify","Keep COD"))))</f>
        <v/>
      </c>
    </row>
    <row r="1788" customFormat="false" ht="15" hidden="false" customHeight="false" outlineLevel="0" collapsed="false">
      <c r="A1788" s="27"/>
      <c r="B1788" s="17" t="str">
        <f aca="false">IF($A1788="","",COUNTIFS(Orders!$C$2:$C$20001,$A1788,Orders!$E$2:$E$20001,"COD",Orders!$F$2:$F$20001,"Delivered")+COUNTIFS(Orders!$C$2:$C$20001,$A1788,Orders!$E$2:$E$20001,"COD",Orders!$F$2:$F$20001,"RTO"))</f>
        <v/>
      </c>
      <c r="C1788" s="17" t="str">
        <f aca="false">IF($A1788="","",COUNTIFS(Orders!$C$2:$C$20001,$A1788,Orders!$E$2:$E$20001,"COD",Orders!$F$2:$F$20001,"RTO"))</f>
        <v/>
      </c>
      <c r="D1788" s="18" t="str">
        <f aca="false">IF($A1788="","",IFERROR(C1788/B1788,0))</f>
        <v/>
      </c>
      <c r="E1788" s="17" t="str">
        <f aca="false">IF($A1788="","",COUNTIFS(Orders!$C$2:$C$20001,$A1788,Orders!$E$2:$E$20001,"Prepaid",Orders!$F$2:$F$20001,"Delivered")+COUNTIFS(Orders!$C$2:$C$20001,$A1788,Orders!$E$2:$E$20001,"Prepaid",Orders!$F$2:$F$20001,"RTO"))</f>
        <v/>
      </c>
      <c r="F1788" s="17" t="str">
        <f aca="false">IF($A1788="","",COUNTIFS(Orders!$C$2:$C$20001,$A1788,Orders!$E$2:$E$20001,"Prepaid",Orders!$F$2:$F$20001,"RTO"))</f>
        <v/>
      </c>
      <c r="G1788" s="18" t="str">
        <f aca="false">IF($A1788="","",IFERROR(F1788/E1788,0))</f>
        <v/>
      </c>
      <c r="H1788" s="19" t="str">
        <f aca="false">IF($A1788="","",C1788*Settings!$B$11)</f>
        <v/>
      </c>
      <c r="I1788" s="20" t="str">
        <f aca="false">IF($A1788="","",IF(N(H1788)=0,"",RANK(H1788,$H$5:$H$2004)))</f>
        <v/>
      </c>
      <c r="J1788" s="21" t="str">
        <f aca="false">IF($A1788="","",IF(B1788=0,"No COD orders",IF(B1788&lt;Settings!$B$8,"Too few orders",IF(D1788&gt;=Settings!$B$9,"Restrict COD or verify","Keep COD"))))</f>
        <v/>
      </c>
    </row>
    <row r="1789" customFormat="false" ht="15" hidden="false" customHeight="false" outlineLevel="0" collapsed="false">
      <c r="A1789" s="27"/>
      <c r="B1789" s="17" t="str">
        <f aca="false">IF($A1789="","",COUNTIFS(Orders!$C$2:$C$20001,$A1789,Orders!$E$2:$E$20001,"COD",Orders!$F$2:$F$20001,"Delivered")+COUNTIFS(Orders!$C$2:$C$20001,$A1789,Orders!$E$2:$E$20001,"COD",Orders!$F$2:$F$20001,"RTO"))</f>
        <v/>
      </c>
      <c r="C1789" s="17" t="str">
        <f aca="false">IF($A1789="","",COUNTIFS(Orders!$C$2:$C$20001,$A1789,Orders!$E$2:$E$20001,"COD",Orders!$F$2:$F$20001,"RTO"))</f>
        <v/>
      </c>
      <c r="D1789" s="18" t="str">
        <f aca="false">IF($A1789="","",IFERROR(C1789/B1789,0))</f>
        <v/>
      </c>
      <c r="E1789" s="17" t="str">
        <f aca="false">IF($A1789="","",COUNTIFS(Orders!$C$2:$C$20001,$A1789,Orders!$E$2:$E$20001,"Prepaid",Orders!$F$2:$F$20001,"Delivered")+COUNTIFS(Orders!$C$2:$C$20001,$A1789,Orders!$E$2:$E$20001,"Prepaid",Orders!$F$2:$F$20001,"RTO"))</f>
        <v/>
      </c>
      <c r="F1789" s="17" t="str">
        <f aca="false">IF($A1789="","",COUNTIFS(Orders!$C$2:$C$20001,$A1789,Orders!$E$2:$E$20001,"Prepaid",Orders!$F$2:$F$20001,"RTO"))</f>
        <v/>
      </c>
      <c r="G1789" s="18" t="str">
        <f aca="false">IF($A1789="","",IFERROR(F1789/E1789,0))</f>
        <v/>
      </c>
      <c r="H1789" s="19" t="str">
        <f aca="false">IF($A1789="","",C1789*Settings!$B$11)</f>
        <v/>
      </c>
      <c r="I1789" s="20" t="str">
        <f aca="false">IF($A1789="","",IF(N(H1789)=0,"",RANK(H1789,$H$5:$H$2004)))</f>
        <v/>
      </c>
      <c r="J1789" s="21" t="str">
        <f aca="false">IF($A1789="","",IF(B1789=0,"No COD orders",IF(B1789&lt;Settings!$B$8,"Too few orders",IF(D1789&gt;=Settings!$B$9,"Restrict COD or verify","Keep COD"))))</f>
        <v/>
      </c>
    </row>
    <row r="1790" customFormat="false" ht="15" hidden="false" customHeight="false" outlineLevel="0" collapsed="false">
      <c r="A1790" s="27"/>
      <c r="B1790" s="17" t="str">
        <f aca="false">IF($A1790="","",COUNTIFS(Orders!$C$2:$C$20001,$A1790,Orders!$E$2:$E$20001,"COD",Orders!$F$2:$F$20001,"Delivered")+COUNTIFS(Orders!$C$2:$C$20001,$A1790,Orders!$E$2:$E$20001,"COD",Orders!$F$2:$F$20001,"RTO"))</f>
        <v/>
      </c>
      <c r="C1790" s="17" t="str">
        <f aca="false">IF($A1790="","",COUNTIFS(Orders!$C$2:$C$20001,$A1790,Orders!$E$2:$E$20001,"COD",Orders!$F$2:$F$20001,"RTO"))</f>
        <v/>
      </c>
      <c r="D1790" s="18" t="str">
        <f aca="false">IF($A1790="","",IFERROR(C1790/B1790,0))</f>
        <v/>
      </c>
      <c r="E1790" s="17" t="str">
        <f aca="false">IF($A1790="","",COUNTIFS(Orders!$C$2:$C$20001,$A1790,Orders!$E$2:$E$20001,"Prepaid",Orders!$F$2:$F$20001,"Delivered")+COUNTIFS(Orders!$C$2:$C$20001,$A1790,Orders!$E$2:$E$20001,"Prepaid",Orders!$F$2:$F$20001,"RTO"))</f>
        <v/>
      </c>
      <c r="F1790" s="17" t="str">
        <f aca="false">IF($A1790="","",COUNTIFS(Orders!$C$2:$C$20001,$A1790,Orders!$E$2:$E$20001,"Prepaid",Orders!$F$2:$F$20001,"RTO"))</f>
        <v/>
      </c>
      <c r="G1790" s="18" t="str">
        <f aca="false">IF($A1790="","",IFERROR(F1790/E1790,0))</f>
        <v/>
      </c>
      <c r="H1790" s="19" t="str">
        <f aca="false">IF($A1790="","",C1790*Settings!$B$11)</f>
        <v/>
      </c>
      <c r="I1790" s="20" t="str">
        <f aca="false">IF($A1790="","",IF(N(H1790)=0,"",RANK(H1790,$H$5:$H$2004)))</f>
        <v/>
      </c>
      <c r="J1790" s="21" t="str">
        <f aca="false">IF($A1790="","",IF(B1790=0,"No COD orders",IF(B1790&lt;Settings!$B$8,"Too few orders",IF(D1790&gt;=Settings!$B$9,"Restrict COD or verify","Keep COD"))))</f>
        <v/>
      </c>
    </row>
    <row r="1791" customFormat="false" ht="15" hidden="false" customHeight="false" outlineLevel="0" collapsed="false">
      <c r="A1791" s="27"/>
      <c r="B1791" s="17" t="str">
        <f aca="false">IF($A1791="","",COUNTIFS(Orders!$C$2:$C$20001,$A1791,Orders!$E$2:$E$20001,"COD",Orders!$F$2:$F$20001,"Delivered")+COUNTIFS(Orders!$C$2:$C$20001,$A1791,Orders!$E$2:$E$20001,"COD",Orders!$F$2:$F$20001,"RTO"))</f>
        <v/>
      </c>
      <c r="C1791" s="17" t="str">
        <f aca="false">IF($A1791="","",COUNTIFS(Orders!$C$2:$C$20001,$A1791,Orders!$E$2:$E$20001,"COD",Orders!$F$2:$F$20001,"RTO"))</f>
        <v/>
      </c>
      <c r="D1791" s="18" t="str">
        <f aca="false">IF($A1791="","",IFERROR(C1791/B1791,0))</f>
        <v/>
      </c>
      <c r="E1791" s="17" t="str">
        <f aca="false">IF($A1791="","",COUNTIFS(Orders!$C$2:$C$20001,$A1791,Orders!$E$2:$E$20001,"Prepaid",Orders!$F$2:$F$20001,"Delivered")+COUNTIFS(Orders!$C$2:$C$20001,$A1791,Orders!$E$2:$E$20001,"Prepaid",Orders!$F$2:$F$20001,"RTO"))</f>
        <v/>
      </c>
      <c r="F1791" s="17" t="str">
        <f aca="false">IF($A1791="","",COUNTIFS(Orders!$C$2:$C$20001,$A1791,Orders!$E$2:$E$20001,"Prepaid",Orders!$F$2:$F$20001,"RTO"))</f>
        <v/>
      </c>
      <c r="G1791" s="18" t="str">
        <f aca="false">IF($A1791="","",IFERROR(F1791/E1791,0))</f>
        <v/>
      </c>
      <c r="H1791" s="19" t="str">
        <f aca="false">IF($A1791="","",C1791*Settings!$B$11)</f>
        <v/>
      </c>
      <c r="I1791" s="20" t="str">
        <f aca="false">IF($A1791="","",IF(N(H1791)=0,"",RANK(H1791,$H$5:$H$2004)))</f>
        <v/>
      </c>
      <c r="J1791" s="21" t="str">
        <f aca="false">IF($A1791="","",IF(B1791=0,"No COD orders",IF(B1791&lt;Settings!$B$8,"Too few orders",IF(D1791&gt;=Settings!$B$9,"Restrict COD or verify","Keep COD"))))</f>
        <v/>
      </c>
    </row>
    <row r="1792" customFormat="false" ht="15" hidden="false" customHeight="false" outlineLevel="0" collapsed="false">
      <c r="A1792" s="27"/>
      <c r="B1792" s="17" t="str">
        <f aca="false">IF($A1792="","",COUNTIFS(Orders!$C$2:$C$20001,$A1792,Orders!$E$2:$E$20001,"COD",Orders!$F$2:$F$20001,"Delivered")+COUNTIFS(Orders!$C$2:$C$20001,$A1792,Orders!$E$2:$E$20001,"COD",Orders!$F$2:$F$20001,"RTO"))</f>
        <v/>
      </c>
      <c r="C1792" s="17" t="str">
        <f aca="false">IF($A1792="","",COUNTIFS(Orders!$C$2:$C$20001,$A1792,Orders!$E$2:$E$20001,"COD",Orders!$F$2:$F$20001,"RTO"))</f>
        <v/>
      </c>
      <c r="D1792" s="18" t="str">
        <f aca="false">IF($A1792="","",IFERROR(C1792/B1792,0))</f>
        <v/>
      </c>
      <c r="E1792" s="17" t="str">
        <f aca="false">IF($A1792="","",COUNTIFS(Orders!$C$2:$C$20001,$A1792,Orders!$E$2:$E$20001,"Prepaid",Orders!$F$2:$F$20001,"Delivered")+COUNTIFS(Orders!$C$2:$C$20001,$A1792,Orders!$E$2:$E$20001,"Prepaid",Orders!$F$2:$F$20001,"RTO"))</f>
        <v/>
      </c>
      <c r="F1792" s="17" t="str">
        <f aca="false">IF($A1792="","",COUNTIFS(Orders!$C$2:$C$20001,$A1792,Orders!$E$2:$E$20001,"Prepaid",Orders!$F$2:$F$20001,"RTO"))</f>
        <v/>
      </c>
      <c r="G1792" s="18" t="str">
        <f aca="false">IF($A1792="","",IFERROR(F1792/E1792,0))</f>
        <v/>
      </c>
      <c r="H1792" s="19" t="str">
        <f aca="false">IF($A1792="","",C1792*Settings!$B$11)</f>
        <v/>
      </c>
      <c r="I1792" s="20" t="str">
        <f aca="false">IF($A1792="","",IF(N(H1792)=0,"",RANK(H1792,$H$5:$H$2004)))</f>
        <v/>
      </c>
      <c r="J1792" s="21" t="str">
        <f aca="false">IF($A1792="","",IF(B1792=0,"No COD orders",IF(B1792&lt;Settings!$B$8,"Too few orders",IF(D1792&gt;=Settings!$B$9,"Restrict COD or verify","Keep COD"))))</f>
        <v/>
      </c>
    </row>
    <row r="1793" customFormat="false" ht="15" hidden="false" customHeight="false" outlineLevel="0" collapsed="false">
      <c r="A1793" s="27"/>
      <c r="B1793" s="17" t="str">
        <f aca="false">IF($A1793="","",COUNTIFS(Orders!$C$2:$C$20001,$A1793,Orders!$E$2:$E$20001,"COD",Orders!$F$2:$F$20001,"Delivered")+COUNTIFS(Orders!$C$2:$C$20001,$A1793,Orders!$E$2:$E$20001,"COD",Orders!$F$2:$F$20001,"RTO"))</f>
        <v/>
      </c>
      <c r="C1793" s="17" t="str">
        <f aca="false">IF($A1793="","",COUNTIFS(Orders!$C$2:$C$20001,$A1793,Orders!$E$2:$E$20001,"COD",Orders!$F$2:$F$20001,"RTO"))</f>
        <v/>
      </c>
      <c r="D1793" s="18" t="str">
        <f aca="false">IF($A1793="","",IFERROR(C1793/B1793,0))</f>
        <v/>
      </c>
      <c r="E1793" s="17" t="str">
        <f aca="false">IF($A1793="","",COUNTIFS(Orders!$C$2:$C$20001,$A1793,Orders!$E$2:$E$20001,"Prepaid",Orders!$F$2:$F$20001,"Delivered")+COUNTIFS(Orders!$C$2:$C$20001,$A1793,Orders!$E$2:$E$20001,"Prepaid",Orders!$F$2:$F$20001,"RTO"))</f>
        <v/>
      </c>
      <c r="F1793" s="17" t="str">
        <f aca="false">IF($A1793="","",COUNTIFS(Orders!$C$2:$C$20001,$A1793,Orders!$E$2:$E$20001,"Prepaid",Orders!$F$2:$F$20001,"RTO"))</f>
        <v/>
      </c>
      <c r="G1793" s="18" t="str">
        <f aca="false">IF($A1793="","",IFERROR(F1793/E1793,0))</f>
        <v/>
      </c>
      <c r="H1793" s="19" t="str">
        <f aca="false">IF($A1793="","",C1793*Settings!$B$11)</f>
        <v/>
      </c>
      <c r="I1793" s="20" t="str">
        <f aca="false">IF($A1793="","",IF(N(H1793)=0,"",RANK(H1793,$H$5:$H$2004)))</f>
        <v/>
      </c>
      <c r="J1793" s="21" t="str">
        <f aca="false">IF($A1793="","",IF(B1793=0,"No COD orders",IF(B1793&lt;Settings!$B$8,"Too few orders",IF(D1793&gt;=Settings!$B$9,"Restrict COD or verify","Keep COD"))))</f>
        <v/>
      </c>
    </row>
    <row r="1794" customFormat="false" ht="15" hidden="false" customHeight="false" outlineLevel="0" collapsed="false">
      <c r="A1794" s="27"/>
      <c r="B1794" s="17" t="str">
        <f aca="false">IF($A1794="","",COUNTIFS(Orders!$C$2:$C$20001,$A1794,Orders!$E$2:$E$20001,"COD",Orders!$F$2:$F$20001,"Delivered")+COUNTIFS(Orders!$C$2:$C$20001,$A1794,Orders!$E$2:$E$20001,"COD",Orders!$F$2:$F$20001,"RTO"))</f>
        <v/>
      </c>
      <c r="C1794" s="17" t="str">
        <f aca="false">IF($A1794="","",COUNTIFS(Orders!$C$2:$C$20001,$A1794,Orders!$E$2:$E$20001,"COD",Orders!$F$2:$F$20001,"RTO"))</f>
        <v/>
      </c>
      <c r="D1794" s="18" t="str">
        <f aca="false">IF($A1794="","",IFERROR(C1794/B1794,0))</f>
        <v/>
      </c>
      <c r="E1794" s="17" t="str">
        <f aca="false">IF($A1794="","",COUNTIFS(Orders!$C$2:$C$20001,$A1794,Orders!$E$2:$E$20001,"Prepaid",Orders!$F$2:$F$20001,"Delivered")+COUNTIFS(Orders!$C$2:$C$20001,$A1794,Orders!$E$2:$E$20001,"Prepaid",Orders!$F$2:$F$20001,"RTO"))</f>
        <v/>
      </c>
      <c r="F1794" s="17" t="str">
        <f aca="false">IF($A1794="","",COUNTIFS(Orders!$C$2:$C$20001,$A1794,Orders!$E$2:$E$20001,"Prepaid",Orders!$F$2:$F$20001,"RTO"))</f>
        <v/>
      </c>
      <c r="G1794" s="18" t="str">
        <f aca="false">IF($A1794="","",IFERROR(F1794/E1794,0))</f>
        <v/>
      </c>
      <c r="H1794" s="19" t="str">
        <f aca="false">IF($A1794="","",C1794*Settings!$B$11)</f>
        <v/>
      </c>
      <c r="I1794" s="20" t="str">
        <f aca="false">IF($A1794="","",IF(N(H1794)=0,"",RANK(H1794,$H$5:$H$2004)))</f>
        <v/>
      </c>
      <c r="J1794" s="21" t="str">
        <f aca="false">IF($A1794="","",IF(B1794=0,"No COD orders",IF(B1794&lt;Settings!$B$8,"Too few orders",IF(D1794&gt;=Settings!$B$9,"Restrict COD or verify","Keep COD"))))</f>
        <v/>
      </c>
    </row>
    <row r="1795" customFormat="false" ht="15" hidden="false" customHeight="false" outlineLevel="0" collapsed="false">
      <c r="A1795" s="27"/>
      <c r="B1795" s="17" t="str">
        <f aca="false">IF($A1795="","",COUNTIFS(Orders!$C$2:$C$20001,$A1795,Orders!$E$2:$E$20001,"COD",Orders!$F$2:$F$20001,"Delivered")+COUNTIFS(Orders!$C$2:$C$20001,$A1795,Orders!$E$2:$E$20001,"COD",Orders!$F$2:$F$20001,"RTO"))</f>
        <v/>
      </c>
      <c r="C1795" s="17" t="str">
        <f aca="false">IF($A1795="","",COUNTIFS(Orders!$C$2:$C$20001,$A1795,Orders!$E$2:$E$20001,"COD",Orders!$F$2:$F$20001,"RTO"))</f>
        <v/>
      </c>
      <c r="D1795" s="18" t="str">
        <f aca="false">IF($A1795="","",IFERROR(C1795/B1795,0))</f>
        <v/>
      </c>
      <c r="E1795" s="17" t="str">
        <f aca="false">IF($A1795="","",COUNTIFS(Orders!$C$2:$C$20001,$A1795,Orders!$E$2:$E$20001,"Prepaid",Orders!$F$2:$F$20001,"Delivered")+COUNTIFS(Orders!$C$2:$C$20001,$A1795,Orders!$E$2:$E$20001,"Prepaid",Orders!$F$2:$F$20001,"RTO"))</f>
        <v/>
      </c>
      <c r="F1795" s="17" t="str">
        <f aca="false">IF($A1795="","",COUNTIFS(Orders!$C$2:$C$20001,$A1795,Orders!$E$2:$E$20001,"Prepaid",Orders!$F$2:$F$20001,"RTO"))</f>
        <v/>
      </c>
      <c r="G1795" s="18" t="str">
        <f aca="false">IF($A1795="","",IFERROR(F1795/E1795,0))</f>
        <v/>
      </c>
      <c r="H1795" s="19" t="str">
        <f aca="false">IF($A1795="","",C1795*Settings!$B$11)</f>
        <v/>
      </c>
      <c r="I1795" s="20" t="str">
        <f aca="false">IF($A1795="","",IF(N(H1795)=0,"",RANK(H1795,$H$5:$H$2004)))</f>
        <v/>
      </c>
      <c r="J1795" s="21" t="str">
        <f aca="false">IF($A1795="","",IF(B1795=0,"No COD orders",IF(B1795&lt;Settings!$B$8,"Too few orders",IF(D1795&gt;=Settings!$B$9,"Restrict COD or verify","Keep COD"))))</f>
        <v/>
      </c>
    </row>
    <row r="1796" customFormat="false" ht="15" hidden="false" customHeight="false" outlineLevel="0" collapsed="false">
      <c r="A1796" s="27"/>
      <c r="B1796" s="17" t="str">
        <f aca="false">IF($A1796="","",COUNTIFS(Orders!$C$2:$C$20001,$A1796,Orders!$E$2:$E$20001,"COD",Orders!$F$2:$F$20001,"Delivered")+COUNTIFS(Orders!$C$2:$C$20001,$A1796,Orders!$E$2:$E$20001,"COD",Orders!$F$2:$F$20001,"RTO"))</f>
        <v/>
      </c>
      <c r="C1796" s="17" t="str">
        <f aca="false">IF($A1796="","",COUNTIFS(Orders!$C$2:$C$20001,$A1796,Orders!$E$2:$E$20001,"COD",Orders!$F$2:$F$20001,"RTO"))</f>
        <v/>
      </c>
      <c r="D1796" s="18" t="str">
        <f aca="false">IF($A1796="","",IFERROR(C1796/B1796,0))</f>
        <v/>
      </c>
      <c r="E1796" s="17" t="str">
        <f aca="false">IF($A1796="","",COUNTIFS(Orders!$C$2:$C$20001,$A1796,Orders!$E$2:$E$20001,"Prepaid",Orders!$F$2:$F$20001,"Delivered")+COUNTIFS(Orders!$C$2:$C$20001,$A1796,Orders!$E$2:$E$20001,"Prepaid",Orders!$F$2:$F$20001,"RTO"))</f>
        <v/>
      </c>
      <c r="F1796" s="17" t="str">
        <f aca="false">IF($A1796="","",COUNTIFS(Orders!$C$2:$C$20001,$A1796,Orders!$E$2:$E$20001,"Prepaid",Orders!$F$2:$F$20001,"RTO"))</f>
        <v/>
      </c>
      <c r="G1796" s="18" t="str">
        <f aca="false">IF($A1796="","",IFERROR(F1796/E1796,0))</f>
        <v/>
      </c>
      <c r="H1796" s="19" t="str">
        <f aca="false">IF($A1796="","",C1796*Settings!$B$11)</f>
        <v/>
      </c>
      <c r="I1796" s="20" t="str">
        <f aca="false">IF($A1796="","",IF(N(H1796)=0,"",RANK(H1796,$H$5:$H$2004)))</f>
        <v/>
      </c>
      <c r="J1796" s="21" t="str">
        <f aca="false">IF($A1796="","",IF(B1796=0,"No COD orders",IF(B1796&lt;Settings!$B$8,"Too few orders",IF(D1796&gt;=Settings!$B$9,"Restrict COD or verify","Keep COD"))))</f>
        <v/>
      </c>
    </row>
    <row r="1797" customFormat="false" ht="15" hidden="false" customHeight="false" outlineLevel="0" collapsed="false">
      <c r="A1797" s="27"/>
      <c r="B1797" s="17" t="str">
        <f aca="false">IF($A1797="","",COUNTIFS(Orders!$C$2:$C$20001,$A1797,Orders!$E$2:$E$20001,"COD",Orders!$F$2:$F$20001,"Delivered")+COUNTIFS(Orders!$C$2:$C$20001,$A1797,Orders!$E$2:$E$20001,"COD",Orders!$F$2:$F$20001,"RTO"))</f>
        <v/>
      </c>
      <c r="C1797" s="17" t="str">
        <f aca="false">IF($A1797="","",COUNTIFS(Orders!$C$2:$C$20001,$A1797,Orders!$E$2:$E$20001,"COD",Orders!$F$2:$F$20001,"RTO"))</f>
        <v/>
      </c>
      <c r="D1797" s="18" t="str">
        <f aca="false">IF($A1797="","",IFERROR(C1797/B1797,0))</f>
        <v/>
      </c>
      <c r="E1797" s="17" t="str">
        <f aca="false">IF($A1797="","",COUNTIFS(Orders!$C$2:$C$20001,$A1797,Orders!$E$2:$E$20001,"Prepaid",Orders!$F$2:$F$20001,"Delivered")+COUNTIFS(Orders!$C$2:$C$20001,$A1797,Orders!$E$2:$E$20001,"Prepaid",Orders!$F$2:$F$20001,"RTO"))</f>
        <v/>
      </c>
      <c r="F1797" s="17" t="str">
        <f aca="false">IF($A1797="","",COUNTIFS(Orders!$C$2:$C$20001,$A1797,Orders!$E$2:$E$20001,"Prepaid",Orders!$F$2:$F$20001,"RTO"))</f>
        <v/>
      </c>
      <c r="G1797" s="18" t="str">
        <f aca="false">IF($A1797="","",IFERROR(F1797/E1797,0))</f>
        <v/>
      </c>
      <c r="H1797" s="19" t="str">
        <f aca="false">IF($A1797="","",C1797*Settings!$B$11)</f>
        <v/>
      </c>
      <c r="I1797" s="20" t="str">
        <f aca="false">IF($A1797="","",IF(N(H1797)=0,"",RANK(H1797,$H$5:$H$2004)))</f>
        <v/>
      </c>
      <c r="J1797" s="21" t="str">
        <f aca="false">IF($A1797="","",IF(B1797=0,"No COD orders",IF(B1797&lt;Settings!$B$8,"Too few orders",IF(D1797&gt;=Settings!$B$9,"Restrict COD or verify","Keep COD"))))</f>
        <v/>
      </c>
    </row>
    <row r="1798" customFormat="false" ht="15" hidden="false" customHeight="false" outlineLevel="0" collapsed="false">
      <c r="A1798" s="27"/>
      <c r="B1798" s="17" t="str">
        <f aca="false">IF($A1798="","",COUNTIFS(Orders!$C$2:$C$20001,$A1798,Orders!$E$2:$E$20001,"COD",Orders!$F$2:$F$20001,"Delivered")+COUNTIFS(Orders!$C$2:$C$20001,$A1798,Orders!$E$2:$E$20001,"COD",Orders!$F$2:$F$20001,"RTO"))</f>
        <v/>
      </c>
      <c r="C1798" s="17" t="str">
        <f aca="false">IF($A1798="","",COUNTIFS(Orders!$C$2:$C$20001,$A1798,Orders!$E$2:$E$20001,"COD",Orders!$F$2:$F$20001,"RTO"))</f>
        <v/>
      </c>
      <c r="D1798" s="18" t="str">
        <f aca="false">IF($A1798="","",IFERROR(C1798/B1798,0))</f>
        <v/>
      </c>
      <c r="E1798" s="17" t="str">
        <f aca="false">IF($A1798="","",COUNTIFS(Orders!$C$2:$C$20001,$A1798,Orders!$E$2:$E$20001,"Prepaid",Orders!$F$2:$F$20001,"Delivered")+COUNTIFS(Orders!$C$2:$C$20001,$A1798,Orders!$E$2:$E$20001,"Prepaid",Orders!$F$2:$F$20001,"RTO"))</f>
        <v/>
      </c>
      <c r="F1798" s="17" t="str">
        <f aca="false">IF($A1798="","",COUNTIFS(Orders!$C$2:$C$20001,$A1798,Orders!$E$2:$E$20001,"Prepaid",Orders!$F$2:$F$20001,"RTO"))</f>
        <v/>
      </c>
      <c r="G1798" s="18" t="str">
        <f aca="false">IF($A1798="","",IFERROR(F1798/E1798,0))</f>
        <v/>
      </c>
      <c r="H1798" s="19" t="str">
        <f aca="false">IF($A1798="","",C1798*Settings!$B$11)</f>
        <v/>
      </c>
      <c r="I1798" s="20" t="str">
        <f aca="false">IF($A1798="","",IF(N(H1798)=0,"",RANK(H1798,$H$5:$H$2004)))</f>
        <v/>
      </c>
      <c r="J1798" s="21" t="str">
        <f aca="false">IF($A1798="","",IF(B1798=0,"No COD orders",IF(B1798&lt;Settings!$B$8,"Too few orders",IF(D1798&gt;=Settings!$B$9,"Restrict COD or verify","Keep COD"))))</f>
        <v/>
      </c>
    </row>
    <row r="1799" customFormat="false" ht="15" hidden="false" customHeight="false" outlineLevel="0" collapsed="false">
      <c r="A1799" s="27"/>
      <c r="B1799" s="17" t="str">
        <f aca="false">IF($A1799="","",COUNTIFS(Orders!$C$2:$C$20001,$A1799,Orders!$E$2:$E$20001,"COD",Orders!$F$2:$F$20001,"Delivered")+COUNTIFS(Orders!$C$2:$C$20001,$A1799,Orders!$E$2:$E$20001,"COD",Orders!$F$2:$F$20001,"RTO"))</f>
        <v/>
      </c>
      <c r="C1799" s="17" t="str">
        <f aca="false">IF($A1799="","",COUNTIFS(Orders!$C$2:$C$20001,$A1799,Orders!$E$2:$E$20001,"COD",Orders!$F$2:$F$20001,"RTO"))</f>
        <v/>
      </c>
      <c r="D1799" s="18" t="str">
        <f aca="false">IF($A1799="","",IFERROR(C1799/B1799,0))</f>
        <v/>
      </c>
      <c r="E1799" s="17" t="str">
        <f aca="false">IF($A1799="","",COUNTIFS(Orders!$C$2:$C$20001,$A1799,Orders!$E$2:$E$20001,"Prepaid",Orders!$F$2:$F$20001,"Delivered")+COUNTIFS(Orders!$C$2:$C$20001,$A1799,Orders!$E$2:$E$20001,"Prepaid",Orders!$F$2:$F$20001,"RTO"))</f>
        <v/>
      </c>
      <c r="F1799" s="17" t="str">
        <f aca="false">IF($A1799="","",COUNTIFS(Orders!$C$2:$C$20001,$A1799,Orders!$E$2:$E$20001,"Prepaid",Orders!$F$2:$F$20001,"RTO"))</f>
        <v/>
      </c>
      <c r="G1799" s="18" t="str">
        <f aca="false">IF($A1799="","",IFERROR(F1799/E1799,0))</f>
        <v/>
      </c>
      <c r="H1799" s="19" t="str">
        <f aca="false">IF($A1799="","",C1799*Settings!$B$11)</f>
        <v/>
      </c>
      <c r="I1799" s="20" t="str">
        <f aca="false">IF($A1799="","",IF(N(H1799)=0,"",RANK(H1799,$H$5:$H$2004)))</f>
        <v/>
      </c>
      <c r="J1799" s="21" t="str">
        <f aca="false">IF($A1799="","",IF(B1799=0,"No COD orders",IF(B1799&lt;Settings!$B$8,"Too few orders",IF(D1799&gt;=Settings!$B$9,"Restrict COD or verify","Keep COD"))))</f>
        <v/>
      </c>
    </row>
    <row r="1800" customFormat="false" ht="15" hidden="false" customHeight="false" outlineLevel="0" collapsed="false">
      <c r="A1800" s="27"/>
      <c r="B1800" s="17" t="str">
        <f aca="false">IF($A1800="","",COUNTIFS(Orders!$C$2:$C$20001,$A1800,Orders!$E$2:$E$20001,"COD",Orders!$F$2:$F$20001,"Delivered")+COUNTIFS(Orders!$C$2:$C$20001,$A1800,Orders!$E$2:$E$20001,"COD",Orders!$F$2:$F$20001,"RTO"))</f>
        <v/>
      </c>
      <c r="C1800" s="17" t="str">
        <f aca="false">IF($A1800="","",COUNTIFS(Orders!$C$2:$C$20001,$A1800,Orders!$E$2:$E$20001,"COD",Orders!$F$2:$F$20001,"RTO"))</f>
        <v/>
      </c>
      <c r="D1800" s="18" t="str">
        <f aca="false">IF($A1800="","",IFERROR(C1800/B1800,0))</f>
        <v/>
      </c>
      <c r="E1800" s="17" t="str">
        <f aca="false">IF($A1800="","",COUNTIFS(Orders!$C$2:$C$20001,$A1800,Orders!$E$2:$E$20001,"Prepaid",Orders!$F$2:$F$20001,"Delivered")+COUNTIFS(Orders!$C$2:$C$20001,$A1800,Orders!$E$2:$E$20001,"Prepaid",Orders!$F$2:$F$20001,"RTO"))</f>
        <v/>
      </c>
      <c r="F1800" s="17" t="str">
        <f aca="false">IF($A1800="","",COUNTIFS(Orders!$C$2:$C$20001,$A1800,Orders!$E$2:$E$20001,"Prepaid",Orders!$F$2:$F$20001,"RTO"))</f>
        <v/>
      </c>
      <c r="G1800" s="18" t="str">
        <f aca="false">IF($A1800="","",IFERROR(F1800/E1800,0))</f>
        <v/>
      </c>
      <c r="H1800" s="19" t="str">
        <f aca="false">IF($A1800="","",C1800*Settings!$B$11)</f>
        <v/>
      </c>
      <c r="I1800" s="20" t="str">
        <f aca="false">IF($A1800="","",IF(N(H1800)=0,"",RANK(H1800,$H$5:$H$2004)))</f>
        <v/>
      </c>
      <c r="J1800" s="21" t="str">
        <f aca="false">IF($A1800="","",IF(B1800=0,"No COD orders",IF(B1800&lt;Settings!$B$8,"Too few orders",IF(D1800&gt;=Settings!$B$9,"Restrict COD or verify","Keep COD"))))</f>
        <v/>
      </c>
    </row>
    <row r="1801" customFormat="false" ht="15" hidden="false" customHeight="false" outlineLevel="0" collapsed="false">
      <c r="A1801" s="27"/>
      <c r="B1801" s="17" t="str">
        <f aca="false">IF($A1801="","",COUNTIFS(Orders!$C$2:$C$20001,$A1801,Orders!$E$2:$E$20001,"COD",Orders!$F$2:$F$20001,"Delivered")+COUNTIFS(Orders!$C$2:$C$20001,$A1801,Orders!$E$2:$E$20001,"COD",Orders!$F$2:$F$20001,"RTO"))</f>
        <v/>
      </c>
      <c r="C1801" s="17" t="str">
        <f aca="false">IF($A1801="","",COUNTIFS(Orders!$C$2:$C$20001,$A1801,Orders!$E$2:$E$20001,"COD",Orders!$F$2:$F$20001,"RTO"))</f>
        <v/>
      </c>
      <c r="D1801" s="18" t="str">
        <f aca="false">IF($A1801="","",IFERROR(C1801/B1801,0))</f>
        <v/>
      </c>
      <c r="E1801" s="17" t="str">
        <f aca="false">IF($A1801="","",COUNTIFS(Orders!$C$2:$C$20001,$A1801,Orders!$E$2:$E$20001,"Prepaid",Orders!$F$2:$F$20001,"Delivered")+COUNTIFS(Orders!$C$2:$C$20001,$A1801,Orders!$E$2:$E$20001,"Prepaid",Orders!$F$2:$F$20001,"RTO"))</f>
        <v/>
      </c>
      <c r="F1801" s="17" t="str">
        <f aca="false">IF($A1801="","",COUNTIFS(Orders!$C$2:$C$20001,$A1801,Orders!$E$2:$E$20001,"Prepaid",Orders!$F$2:$F$20001,"RTO"))</f>
        <v/>
      </c>
      <c r="G1801" s="18" t="str">
        <f aca="false">IF($A1801="","",IFERROR(F1801/E1801,0))</f>
        <v/>
      </c>
      <c r="H1801" s="19" t="str">
        <f aca="false">IF($A1801="","",C1801*Settings!$B$11)</f>
        <v/>
      </c>
      <c r="I1801" s="20" t="str">
        <f aca="false">IF($A1801="","",IF(N(H1801)=0,"",RANK(H1801,$H$5:$H$2004)))</f>
        <v/>
      </c>
      <c r="J1801" s="21" t="str">
        <f aca="false">IF($A1801="","",IF(B1801=0,"No COD orders",IF(B1801&lt;Settings!$B$8,"Too few orders",IF(D1801&gt;=Settings!$B$9,"Restrict COD or verify","Keep COD"))))</f>
        <v/>
      </c>
    </row>
    <row r="1802" customFormat="false" ht="15" hidden="false" customHeight="false" outlineLevel="0" collapsed="false">
      <c r="A1802" s="27"/>
      <c r="B1802" s="17" t="str">
        <f aca="false">IF($A1802="","",COUNTIFS(Orders!$C$2:$C$20001,$A1802,Orders!$E$2:$E$20001,"COD",Orders!$F$2:$F$20001,"Delivered")+COUNTIFS(Orders!$C$2:$C$20001,$A1802,Orders!$E$2:$E$20001,"COD",Orders!$F$2:$F$20001,"RTO"))</f>
        <v/>
      </c>
      <c r="C1802" s="17" t="str">
        <f aca="false">IF($A1802="","",COUNTIFS(Orders!$C$2:$C$20001,$A1802,Orders!$E$2:$E$20001,"COD",Orders!$F$2:$F$20001,"RTO"))</f>
        <v/>
      </c>
      <c r="D1802" s="18" t="str">
        <f aca="false">IF($A1802="","",IFERROR(C1802/B1802,0))</f>
        <v/>
      </c>
      <c r="E1802" s="17" t="str">
        <f aca="false">IF($A1802="","",COUNTIFS(Orders!$C$2:$C$20001,$A1802,Orders!$E$2:$E$20001,"Prepaid",Orders!$F$2:$F$20001,"Delivered")+COUNTIFS(Orders!$C$2:$C$20001,$A1802,Orders!$E$2:$E$20001,"Prepaid",Orders!$F$2:$F$20001,"RTO"))</f>
        <v/>
      </c>
      <c r="F1802" s="17" t="str">
        <f aca="false">IF($A1802="","",COUNTIFS(Orders!$C$2:$C$20001,$A1802,Orders!$E$2:$E$20001,"Prepaid",Orders!$F$2:$F$20001,"RTO"))</f>
        <v/>
      </c>
      <c r="G1802" s="18" t="str">
        <f aca="false">IF($A1802="","",IFERROR(F1802/E1802,0))</f>
        <v/>
      </c>
      <c r="H1802" s="19" t="str">
        <f aca="false">IF($A1802="","",C1802*Settings!$B$11)</f>
        <v/>
      </c>
      <c r="I1802" s="20" t="str">
        <f aca="false">IF($A1802="","",IF(N(H1802)=0,"",RANK(H1802,$H$5:$H$2004)))</f>
        <v/>
      </c>
      <c r="J1802" s="21" t="str">
        <f aca="false">IF($A1802="","",IF(B1802=0,"No COD orders",IF(B1802&lt;Settings!$B$8,"Too few orders",IF(D1802&gt;=Settings!$B$9,"Restrict COD or verify","Keep COD"))))</f>
        <v/>
      </c>
    </row>
    <row r="1803" customFormat="false" ht="15" hidden="false" customHeight="false" outlineLevel="0" collapsed="false">
      <c r="A1803" s="27"/>
      <c r="B1803" s="17" t="str">
        <f aca="false">IF($A1803="","",COUNTIFS(Orders!$C$2:$C$20001,$A1803,Orders!$E$2:$E$20001,"COD",Orders!$F$2:$F$20001,"Delivered")+COUNTIFS(Orders!$C$2:$C$20001,$A1803,Orders!$E$2:$E$20001,"COD",Orders!$F$2:$F$20001,"RTO"))</f>
        <v/>
      </c>
      <c r="C1803" s="17" t="str">
        <f aca="false">IF($A1803="","",COUNTIFS(Orders!$C$2:$C$20001,$A1803,Orders!$E$2:$E$20001,"COD",Orders!$F$2:$F$20001,"RTO"))</f>
        <v/>
      </c>
      <c r="D1803" s="18" t="str">
        <f aca="false">IF($A1803="","",IFERROR(C1803/B1803,0))</f>
        <v/>
      </c>
      <c r="E1803" s="17" t="str">
        <f aca="false">IF($A1803="","",COUNTIFS(Orders!$C$2:$C$20001,$A1803,Orders!$E$2:$E$20001,"Prepaid",Orders!$F$2:$F$20001,"Delivered")+COUNTIFS(Orders!$C$2:$C$20001,$A1803,Orders!$E$2:$E$20001,"Prepaid",Orders!$F$2:$F$20001,"RTO"))</f>
        <v/>
      </c>
      <c r="F1803" s="17" t="str">
        <f aca="false">IF($A1803="","",COUNTIFS(Orders!$C$2:$C$20001,$A1803,Orders!$E$2:$E$20001,"Prepaid",Orders!$F$2:$F$20001,"RTO"))</f>
        <v/>
      </c>
      <c r="G1803" s="18" t="str">
        <f aca="false">IF($A1803="","",IFERROR(F1803/E1803,0))</f>
        <v/>
      </c>
      <c r="H1803" s="19" t="str">
        <f aca="false">IF($A1803="","",C1803*Settings!$B$11)</f>
        <v/>
      </c>
      <c r="I1803" s="20" t="str">
        <f aca="false">IF($A1803="","",IF(N(H1803)=0,"",RANK(H1803,$H$5:$H$2004)))</f>
        <v/>
      </c>
      <c r="J1803" s="21" t="str">
        <f aca="false">IF($A1803="","",IF(B1803=0,"No COD orders",IF(B1803&lt;Settings!$B$8,"Too few orders",IF(D1803&gt;=Settings!$B$9,"Restrict COD or verify","Keep COD"))))</f>
        <v/>
      </c>
    </row>
    <row r="1804" customFormat="false" ht="15" hidden="false" customHeight="false" outlineLevel="0" collapsed="false">
      <c r="A1804" s="27"/>
      <c r="B1804" s="17" t="str">
        <f aca="false">IF($A1804="","",COUNTIFS(Orders!$C$2:$C$20001,$A1804,Orders!$E$2:$E$20001,"COD",Orders!$F$2:$F$20001,"Delivered")+COUNTIFS(Orders!$C$2:$C$20001,$A1804,Orders!$E$2:$E$20001,"COD",Orders!$F$2:$F$20001,"RTO"))</f>
        <v/>
      </c>
      <c r="C1804" s="17" t="str">
        <f aca="false">IF($A1804="","",COUNTIFS(Orders!$C$2:$C$20001,$A1804,Orders!$E$2:$E$20001,"COD",Orders!$F$2:$F$20001,"RTO"))</f>
        <v/>
      </c>
      <c r="D1804" s="18" t="str">
        <f aca="false">IF($A1804="","",IFERROR(C1804/B1804,0))</f>
        <v/>
      </c>
      <c r="E1804" s="17" t="str">
        <f aca="false">IF($A1804="","",COUNTIFS(Orders!$C$2:$C$20001,$A1804,Orders!$E$2:$E$20001,"Prepaid",Orders!$F$2:$F$20001,"Delivered")+COUNTIFS(Orders!$C$2:$C$20001,$A1804,Orders!$E$2:$E$20001,"Prepaid",Orders!$F$2:$F$20001,"RTO"))</f>
        <v/>
      </c>
      <c r="F1804" s="17" t="str">
        <f aca="false">IF($A1804="","",COUNTIFS(Orders!$C$2:$C$20001,$A1804,Orders!$E$2:$E$20001,"Prepaid",Orders!$F$2:$F$20001,"RTO"))</f>
        <v/>
      </c>
      <c r="G1804" s="18" t="str">
        <f aca="false">IF($A1804="","",IFERROR(F1804/E1804,0))</f>
        <v/>
      </c>
      <c r="H1804" s="19" t="str">
        <f aca="false">IF($A1804="","",C1804*Settings!$B$11)</f>
        <v/>
      </c>
      <c r="I1804" s="20" t="str">
        <f aca="false">IF($A1804="","",IF(N(H1804)=0,"",RANK(H1804,$H$5:$H$2004)))</f>
        <v/>
      </c>
      <c r="J1804" s="21" t="str">
        <f aca="false">IF($A1804="","",IF(B1804=0,"No COD orders",IF(B1804&lt;Settings!$B$8,"Too few orders",IF(D1804&gt;=Settings!$B$9,"Restrict COD or verify","Keep COD"))))</f>
        <v/>
      </c>
    </row>
    <row r="1805" customFormat="false" ht="15" hidden="false" customHeight="false" outlineLevel="0" collapsed="false">
      <c r="A1805" s="27"/>
      <c r="B1805" s="17" t="str">
        <f aca="false">IF($A1805="","",COUNTIFS(Orders!$C$2:$C$20001,$A1805,Orders!$E$2:$E$20001,"COD",Orders!$F$2:$F$20001,"Delivered")+COUNTIFS(Orders!$C$2:$C$20001,$A1805,Orders!$E$2:$E$20001,"COD",Orders!$F$2:$F$20001,"RTO"))</f>
        <v/>
      </c>
      <c r="C1805" s="17" t="str">
        <f aca="false">IF($A1805="","",COUNTIFS(Orders!$C$2:$C$20001,$A1805,Orders!$E$2:$E$20001,"COD",Orders!$F$2:$F$20001,"RTO"))</f>
        <v/>
      </c>
      <c r="D1805" s="18" t="str">
        <f aca="false">IF($A1805="","",IFERROR(C1805/B1805,0))</f>
        <v/>
      </c>
      <c r="E1805" s="17" t="str">
        <f aca="false">IF($A1805="","",COUNTIFS(Orders!$C$2:$C$20001,$A1805,Orders!$E$2:$E$20001,"Prepaid",Orders!$F$2:$F$20001,"Delivered")+COUNTIFS(Orders!$C$2:$C$20001,$A1805,Orders!$E$2:$E$20001,"Prepaid",Orders!$F$2:$F$20001,"RTO"))</f>
        <v/>
      </c>
      <c r="F1805" s="17" t="str">
        <f aca="false">IF($A1805="","",COUNTIFS(Orders!$C$2:$C$20001,$A1805,Orders!$E$2:$E$20001,"Prepaid",Orders!$F$2:$F$20001,"RTO"))</f>
        <v/>
      </c>
      <c r="G1805" s="18" t="str">
        <f aca="false">IF($A1805="","",IFERROR(F1805/E1805,0))</f>
        <v/>
      </c>
      <c r="H1805" s="19" t="str">
        <f aca="false">IF($A1805="","",C1805*Settings!$B$11)</f>
        <v/>
      </c>
      <c r="I1805" s="20" t="str">
        <f aca="false">IF($A1805="","",IF(N(H1805)=0,"",RANK(H1805,$H$5:$H$2004)))</f>
        <v/>
      </c>
      <c r="J1805" s="21" t="str">
        <f aca="false">IF($A1805="","",IF(B1805=0,"No COD orders",IF(B1805&lt;Settings!$B$8,"Too few orders",IF(D1805&gt;=Settings!$B$9,"Restrict COD or verify","Keep COD"))))</f>
        <v/>
      </c>
    </row>
    <row r="1806" customFormat="false" ht="15" hidden="false" customHeight="false" outlineLevel="0" collapsed="false">
      <c r="A1806" s="27"/>
      <c r="B1806" s="17" t="str">
        <f aca="false">IF($A1806="","",COUNTIFS(Orders!$C$2:$C$20001,$A1806,Orders!$E$2:$E$20001,"COD",Orders!$F$2:$F$20001,"Delivered")+COUNTIFS(Orders!$C$2:$C$20001,$A1806,Orders!$E$2:$E$20001,"COD",Orders!$F$2:$F$20001,"RTO"))</f>
        <v/>
      </c>
      <c r="C1806" s="17" t="str">
        <f aca="false">IF($A1806="","",COUNTIFS(Orders!$C$2:$C$20001,$A1806,Orders!$E$2:$E$20001,"COD",Orders!$F$2:$F$20001,"RTO"))</f>
        <v/>
      </c>
      <c r="D1806" s="18" t="str">
        <f aca="false">IF($A1806="","",IFERROR(C1806/B1806,0))</f>
        <v/>
      </c>
      <c r="E1806" s="17" t="str">
        <f aca="false">IF($A1806="","",COUNTIFS(Orders!$C$2:$C$20001,$A1806,Orders!$E$2:$E$20001,"Prepaid",Orders!$F$2:$F$20001,"Delivered")+COUNTIFS(Orders!$C$2:$C$20001,$A1806,Orders!$E$2:$E$20001,"Prepaid",Orders!$F$2:$F$20001,"RTO"))</f>
        <v/>
      </c>
      <c r="F1806" s="17" t="str">
        <f aca="false">IF($A1806="","",COUNTIFS(Orders!$C$2:$C$20001,$A1806,Orders!$E$2:$E$20001,"Prepaid",Orders!$F$2:$F$20001,"RTO"))</f>
        <v/>
      </c>
      <c r="G1806" s="18" t="str">
        <f aca="false">IF($A1806="","",IFERROR(F1806/E1806,0))</f>
        <v/>
      </c>
      <c r="H1806" s="19" t="str">
        <f aca="false">IF($A1806="","",C1806*Settings!$B$11)</f>
        <v/>
      </c>
      <c r="I1806" s="20" t="str">
        <f aca="false">IF($A1806="","",IF(N(H1806)=0,"",RANK(H1806,$H$5:$H$2004)))</f>
        <v/>
      </c>
      <c r="J1806" s="21" t="str">
        <f aca="false">IF($A1806="","",IF(B1806=0,"No COD orders",IF(B1806&lt;Settings!$B$8,"Too few orders",IF(D1806&gt;=Settings!$B$9,"Restrict COD or verify","Keep COD"))))</f>
        <v/>
      </c>
    </row>
    <row r="1807" customFormat="false" ht="15" hidden="false" customHeight="false" outlineLevel="0" collapsed="false">
      <c r="A1807" s="27"/>
      <c r="B1807" s="17" t="str">
        <f aca="false">IF($A1807="","",COUNTIFS(Orders!$C$2:$C$20001,$A1807,Orders!$E$2:$E$20001,"COD",Orders!$F$2:$F$20001,"Delivered")+COUNTIFS(Orders!$C$2:$C$20001,$A1807,Orders!$E$2:$E$20001,"COD",Orders!$F$2:$F$20001,"RTO"))</f>
        <v/>
      </c>
      <c r="C1807" s="17" t="str">
        <f aca="false">IF($A1807="","",COUNTIFS(Orders!$C$2:$C$20001,$A1807,Orders!$E$2:$E$20001,"COD",Orders!$F$2:$F$20001,"RTO"))</f>
        <v/>
      </c>
      <c r="D1807" s="18" t="str">
        <f aca="false">IF($A1807="","",IFERROR(C1807/B1807,0))</f>
        <v/>
      </c>
      <c r="E1807" s="17" t="str">
        <f aca="false">IF($A1807="","",COUNTIFS(Orders!$C$2:$C$20001,$A1807,Orders!$E$2:$E$20001,"Prepaid",Orders!$F$2:$F$20001,"Delivered")+COUNTIFS(Orders!$C$2:$C$20001,$A1807,Orders!$E$2:$E$20001,"Prepaid",Orders!$F$2:$F$20001,"RTO"))</f>
        <v/>
      </c>
      <c r="F1807" s="17" t="str">
        <f aca="false">IF($A1807="","",COUNTIFS(Orders!$C$2:$C$20001,$A1807,Orders!$E$2:$E$20001,"Prepaid",Orders!$F$2:$F$20001,"RTO"))</f>
        <v/>
      </c>
      <c r="G1807" s="18" t="str">
        <f aca="false">IF($A1807="","",IFERROR(F1807/E1807,0))</f>
        <v/>
      </c>
      <c r="H1807" s="19" t="str">
        <f aca="false">IF($A1807="","",C1807*Settings!$B$11)</f>
        <v/>
      </c>
      <c r="I1807" s="20" t="str">
        <f aca="false">IF($A1807="","",IF(N(H1807)=0,"",RANK(H1807,$H$5:$H$2004)))</f>
        <v/>
      </c>
      <c r="J1807" s="21" t="str">
        <f aca="false">IF($A1807="","",IF(B1807=0,"No COD orders",IF(B1807&lt;Settings!$B$8,"Too few orders",IF(D1807&gt;=Settings!$B$9,"Restrict COD or verify","Keep COD"))))</f>
        <v/>
      </c>
    </row>
    <row r="1808" customFormat="false" ht="15" hidden="false" customHeight="false" outlineLevel="0" collapsed="false">
      <c r="A1808" s="27"/>
      <c r="B1808" s="17" t="str">
        <f aca="false">IF($A1808="","",COUNTIFS(Orders!$C$2:$C$20001,$A1808,Orders!$E$2:$E$20001,"COD",Orders!$F$2:$F$20001,"Delivered")+COUNTIFS(Orders!$C$2:$C$20001,$A1808,Orders!$E$2:$E$20001,"COD",Orders!$F$2:$F$20001,"RTO"))</f>
        <v/>
      </c>
      <c r="C1808" s="17" t="str">
        <f aca="false">IF($A1808="","",COUNTIFS(Orders!$C$2:$C$20001,$A1808,Orders!$E$2:$E$20001,"COD",Orders!$F$2:$F$20001,"RTO"))</f>
        <v/>
      </c>
      <c r="D1808" s="18" t="str">
        <f aca="false">IF($A1808="","",IFERROR(C1808/B1808,0))</f>
        <v/>
      </c>
      <c r="E1808" s="17" t="str">
        <f aca="false">IF($A1808="","",COUNTIFS(Orders!$C$2:$C$20001,$A1808,Orders!$E$2:$E$20001,"Prepaid",Orders!$F$2:$F$20001,"Delivered")+COUNTIFS(Orders!$C$2:$C$20001,$A1808,Orders!$E$2:$E$20001,"Prepaid",Orders!$F$2:$F$20001,"RTO"))</f>
        <v/>
      </c>
      <c r="F1808" s="17" t="str">
        <f aca="false">IF($A1808="","",COUNTIFS(Orders!$C$2:$C$20001,$A1808,Orders!$E$2:$E$20001,"Prepaid",Orders!$F$2:$F$20001,"RTO"))</f>
        <v/>
      </c>
      <c r="G1808" s="18" t="str">
        <f aca="false">IF($A1808="","",IFERROR(F1808/E1808,0))</f>
        <v/>
      </c>
      <c r="H1808" s="19" t="str">
        <f aca="false">IF($A1808="","",C1808*Settings!$B$11)</f>
        <v/>
      </c>
      <c r="I1808" s="20" t="str">
        <f aca="false">IF($A1808="","",IF(N(H1808)=0,"",RANK(H1808,$H$5:$H$2004)))</f>
        <v/>
      </c>
      <c r="J1808" s="21" t="str">
        <f aca="false">IF($A1808="","",IF(B1808=0,"No COD orders",IF(B1808&lt;Settings!$B$8,"Too few orders",IF(D1808&gt;=Settings!$B$9,"Restrict COD or verify","Keep COD"))))</f>
        <v/>
      </c>
    </row>
    <row r="1809" customFormat="false" ht="15" hidden="false" customHeight="false" outlineLevel="0" collapsed="false">
      <c r="A1809" s="27"/>
      <c r="B1809" s="17" t="str">
        <f aca="false">IF($A1809="","",COUNTIFS(Orders!$C$2:$C$20001,$A1809,Orders!$E$2:$E$20001,"COD",Orders!$F$2:$F$20001,"Delivered")+COUNTIFS(Orders!$C$2:$C$20001,$A1809,Orders!$E$2:$E$20001,"COD",Orders!$F$2:$F$20001,"RTO"))</f>
        <v/>
      </c>
      <c r="C1809" s="17" t="str">
        <f aca="false">IF($A1809="","",COUNTIFS(Orders!$C$2:$C$20001,$A1809,Orders!$E$2:$E$20001,"COD",Orders!$F$2:$F$20001,"RTO"))</f>
        <v/>
      </c>
      <c r="D1809" s="18" t="str">
        <f aca="false">IF($A1809="","",IFERROR(C1809/B1809,0))</f>
        <v/>
      </c>
      <c r="E1809" s="17" t="str">
        <f aca="false">IF($A1809="","",COUNTIFS(Orders!$C$2:$C$20001,$A1809,Orders!$E$2:$E$20001,"Prepaid",Orders!$F$2:$F$20001,"Delivered")+COUNTIFS(Orders!$C$2:$C$20001,$A1809,Orders!$E$2:$E$20001,"Prepaid",Orders!$F$2:$F$20001,"RTO"))</f>
        <v/>
      </c>
      <c r="F1809" s="17" t="str">
        <f aca="false">IF($A1809="","",COUNTIFS(Orders!$C$2:$C$20001,$A1809,Orders!$E$2:$E$20001,"Prepaid",Orders!$F$2:$F$20001,"RTO"))</f>
        <v/>
      </c>
      <c r="G1809" s="18" t="str">
        <f aca="false">IF($A1809="","",IFERROR(F1809/E1809,0))</f>
        <v/>
      </c>
      <c r="H1809" s="19" t="str">
        <f aca="false">IF($A1809="","",C1809*Settings!$B$11)</f>
        <v/>
      </c>
      <c r="I1809" s="20" t="str">
        <f aca="false">IF($A1809="","",IF(N(H1809)=0,"",RANK(H1809,$H$5:$H$2004)))</f>
        <v/>
      </c>
      <c r="J1809" s="21" t="str">
        <f aca="false">IF($A1809="","",IF(B1809=0,"No COD orders",IF(B1809&lt;Settings!$B$8,"Too few orders",IF(D1809&gt;=Settings!$B$9,"Restrict COD or verify","Keep COD"))))</f>
        <v/>
      </c>
    </row>
    <row r="1810" customFormat="false" ht="15" hidden="false" customHeight="false" outlineLevel="0" collapsed="false">
      <c r="A1810" s="27"/>
      <c r="B1810" s="17" t="str">
        <f aca="false">IF($A1810="","",COUNTIFS(Orders!$C$2:$C$20001,$A1810,Orders!$E$2:$E$20001,"COD",Orders!$F$2:$F$20001,"Delivered")+COUNTIFS(Orders!$C$2:$C$20001,$A1810,Orders!$E$2:$E$20001,"COD",Orders!$F$2:$F$20001,"RTO"))</f>
        <v/>
      </c>
      <c r="C1810" s="17" t="str">
        <f aca="false">IF($A1810="","",COUNTIFS(Orders!$C$2:$C$20001,$A1810,Orders!$E$2:$E$20001,"COD",Orders!$F$2:$F$20001,"RTO"))</f>
        <v/>
      </c>
      <c r="D1810" s="18" t="str">
        <f aca="false">IF($A1810="","",IFERROR(C1810/B1810,0))</f>
        <v/>
      </c>
      <c r="E1810" s="17" t="str">
        <f aca="false">IF($A1810="","",COUNTIFS(Orders!$C$2:$C$20001,$A1810,Orders!$E$2:$E$20001,"Prepaid",Orders!$F$2:$F$20001,"Delivered")+COUNTIFS(Orders!$C$2:$C$20001,$A1810,Orders!$E$2:$E$20001,"Prepaid",Orders!$F$2:$F$20001,"RTO"))</f>
        <v/>
      </c>
      <c r="F1810" s="17" t="str">
        <f aca="false">IF($A1810="","",COUNTIFS(Orders!$C$2:$C$20001,$A1810,Orders!$E$2:$E$20001,"Prepaid",Orders!$F$2:$F$20001,"RTO"))</f>
        <v/>
      </c>
      <c r="G1810" s="18" t="str">
        <f aca="false">IF($A1810="","",IFERROR(F1810/E1810,0))</f>
        <v/>
      </c>
      <c r="H1810" s="19" t="str">
        <f aca="false">IF($A1810="","",C1810*Settings!$B$11)</f>
        <v/>
      </c>
      <c r="I1810" s="20" t="str">
        <f aca="false">IF($A1810="","",IF(N(H1810)=0,"",RANK(H1810,$H$5:$H$2004)))</f>
        <v/>
      </c>
      <c r="J1810" s="21" t="str">
        <f aca="false">IF($A1810="","",IF(B1810=0,"No COD orders",IF(B1810&lt;Settings!$B$8,"Too few orders",IF(D1810&gt;=Settings!$B$9,"Restrict COD or verify","Keep COD"))))</f>
        <v/>
      </c>
    </row>
    <row r="1811" customFormat="false" ht="15" hidden="false" customHeight="false" outlineLevel="0" collapsed="false">
      <c r="A1811" s="27"/>
      <c r="B1811" s="17" t="str">
        <f aca="false">IF($A1811="","",COUNTIFS(Orders!$C$2:$C$20001,$A1811,Orders!$E$2:$E$20001,"COD",Orders!$F$2:$F$20001,"Delivered")+COUNTIFS(Orders!$C$2:$C$20001,$A1811,Orders!$E$2:$E$20001,"COD",Orders!$F$2:$F$20001,"RTO"))</f>
        <v/>
      </c>
      <c r="C1811" s="17" t="str">
        <f aca="false">IF($A1811="","",COUNTIFS(Orders!$C$2:$C$20001,$A1811,Orders!$E$2:$E$20001,"COD",Orders!$F$2:$F$20001,"RTO"))</f>
        <v/>
      </c>
      <c r="D1811" s="18" t="str">
        <f aca="false">IF($A1811="","",IFERROR(C1811/B1811,0))</f>
        <v/>
      </c>
      <c r="E1811" s="17" t="str">
        <f aca="false">IF($A1811="","",COUNTIFS(Orders!$C$2:$C$20001,$A1811,Orders!$E$2:$E$20001,"Prepaid",Orders!$F$2:$F$20001,"Delivered")+COUNTIFS(Orders!$C$2:$C$20001,$A1811,Orders!$E$2:$E$20001,"Prepaid",Orders!$F$2:$F$20001,"RTO"))</f>
        <v/>
      </c>
      <c r="F1811" s="17" t="str">
        <f aca="false">IF($A1811="","",COUNTIFS(Orders!$C$2:$C$20001,$A1811,Orders!$E$2:$E$20001,"Prepaid",Orders!$F$2:$F$20001,"RTO"))</f>
        <v/>
      </c>
      <c r="G1811" s="18" t="str">
        <f aca="false">IF($A1811="","",IFERROR(F1811/E1811,0))</f>
        <v/>
      </c>
      <c r="H1811" s="19" t="str">
        <f aca="false">IF($A1811="","",C1811*Settings!$B$11)</f>
        <v/>
      </c>
      <c r="I1811" s="20" t="str">
        <f aca="false">IF($A1811="","",IF(N(H1811)=0,"",RANK(H1811,$H$5:$H$2004)))</f>
        <v/>
      </c>
      <c r="J1811" s="21" t="str">
        <f aca="false">IF($A1811="","",IF(B1811=0,"No COD orders",IF(B1811&lt;Settings!$B$8,"Too few orders",IF(D1811&gt;=Settings!$B$9,"Restrict COD or verify","Keep COD"))))</f>
        <v/>
      </c>
    </row>
    <row r="1812" customFormat="false" ht="15" hidden="false" customHeight="false" outlineLevel="0" collapsed="false">
      <c r="A1812" s="27"/>
      <c r="B1812" s="17" t="str">
        <f aca="false">IF($A1812="","",COUNTIFS(Orders!$C$2:$C$20001,$A1812,Orders!$E$2:$E$20001,"COD",Orders!$F$2:$F$20001,"Delivered")+COUNTIFS(Orders!$C$2:$C$20001,$A1812,Orders!$E$2:$E$20001,"COD",Orders!$F$2:$F$20001,"RTO"))</f>
        <v/>
      </c>
      <c r="C1812" s="17" t="str">
        <f aca="false">IF($A1812="","",COUNTIFS(Orders!$C$2:$C$20001,$A1812,Orders!$E$2:$E$20001,"COD",Orders!$F$2:$F$20001,"RTO"))</f>
        <v/>
      </c>
      <c r="D1812" s="18" t="str">
        <f aca="false">IF($A1812="","",IFERROR(C1812/B1812,0))</f>
        <v/>
      </c>
      <c r="E1812" s="17" t="str">
        <f aca="false">IF($A1812="","",COUNTIFS(Orders!$C$2:$C$20001,$A1812,Orders!$E$2:$E$20001,"Prepaid",Orders!$F$2:$F$20001,"Delivered")+COUNTIFS(Orders!$C$2:$C$20001,$A1812,Orders!$E$2:$E$20001,"Prepaid",Orders!$F$2:$F$20001,"RTO"))</f>
        <v/>
      </c>
      <c r="F1812" s="17" t="str">
        <f aca="false">IF($A1812="","",COUNTIFS(Orders!$C$2:$C$20001,$A1812,Orders!$E$2:$E$20001,"Prepaid",Orders!$F$2:$F$20001,"RTO"))</f>
        <v/>
      </c>
      <c r="G1812" s="18" t="str">
        <f aca="false">IF($A1812="","",IFERROR(F1812/E1812,0))</f>
        <v/>
      </c>
      <c r="H1812" s="19" t="str">
        <f aca="false">IF($A1812="","",C1812*Settings!$B$11)</f>
        <v/>
      </c>
      <c r="I1812" s="20" t="str">
        <f aca="false">IF($A1812="","",IF(N(H1812)=0,"",RANK(H1812,$H$5:$H$2004)))</f>
        <v/>
      </c>
      <c r="J1812" s="21" t="str">
        <f aca="false">IF($A1812="","",IF(B1812=0,"No COD orders",IF(B1812&lt;Settings!$B$8,"Too few orders",IF(D1812&gt;=Settings!$B$9,"Restrict COD or verify","Keep COD"))))</f>
        <v/>
      </c>
    </row>
    <row r="1813" customFormat="false" ht="15" hidden="false" customHeight="false" outlineLevel="0" collapsed="false">
      <c r="A1813" s="27"/>
      <c r="B1813" s="17" t="str">
        <f aca="false">IF($A1813="","",COUNTIFS(Orders!$C$2:$C$20001,$A1813,Orders!$E$2:$E$20001,"COD",Orders!$F$2:$F$20001,"Delivered")+COUNTIFS(Orders!$C$2:$C$20001,$A1813,Orders!$E$2:$E$20001,"COD",Orders!$F$2:$F$20001,"RTO"))</f>
        <v/>
      </c>
      <c r="C1813" s="17" t="str">
        <f aca="false">IF($A1813="","",COUNTIFS(Orders!$C$2:$C$20001,$A1813,Orders!$E$2:$E$20001,"COD",Orders!$F$2:$F$20001,"RTO"))</f>
        <v/>
      </c>
      <c r="D1813" s="18" t="str">
        <f aca="false">IF($A1813="","",IFERROR(C1813/B1813,0))</f>
        <v/>
      </c>
      <c r="E1813" s="17" t="str">
        <f aca="false">IF($A1813="","",COUNTIFS(Orders!$C$2:$C$20001,$A1813,Orders!$E$2:$E$20001,"Prepaid",Orders!$F$2:$F$20001,"Delivered")+COUNTIFS(Orders!$C$2:$C$20001,$A1813,Orders!$E$2:$E$20001,"Prepaid",Orders!$F$2:$F$20001,"RTO"))</f>
        <v/>
      </c>
      <c r="F1813" s="17" t="str">
        <f aca="false">IF($A1813="","",COUNTIFS(Orders!$C$2:$C$20001,$A1813,Orders!$E$2:$E$20001,"Prepaid",Orders!$F$2:$F$20001,"RTO"))</f>
        <v/>
      </c>
      <c r="G1813" s="18" t="str">
        <f aca="false">IF($A1813="","",IFERROR(F1813/E1813,0))</f>
        <v/>
      </c>
      <c r="H1813" s="19" t="str">
        <f aca="false">IF($A1813="","",C1813*Settings!$B$11)</f>
        <v/>
      </c>
      <c r="I1813" s="20" t="str">
        <f aca="false">IF($A1813="","",IF(N(H1813)=0,"",RANK(H1813,$H$5:$H$2004)))</f>
        <v/>
      </c>
      <c r="J1813" s="21" t="str">
        <f aca="false">IF($A1813="","",IF(B1813=0,"No COD orders",IF(B1813&lt;Settings!$B$8,"Too few orders",IF(D1813&gt;=Settings!$B$9,"Restrict COD or verify","Keep COD"))))</f>
        <v/>
      </c>
    </row>
    <row r="1814" customFormat="false" ht="15" hidden="false" customHeight="false" outlineLevel="0" collapsed="false">
      <c r="A1814" s="27"/>
      <c r="B1814" s="17" t="str">
        <f aca="false">IF($A1814="","",COUNTIFS(Orders!$C$2:$C$20001,$A1814,Orders!$E$2:$E$20001,"COD",Orders!$F$2:$F$20001,"Delivered")+COUNTIFS(Orders!$C$2:$C$20001,$A1814,Orders!$E$2:$E$20001,"COD",Orders!$F$2:$F$20001,"RTO"))</f>
        <v/>
      </c>
      <c r="C1814" s="17" t="str">
        <f aca="false">IF($A1814="","",COUNTIFS(Orders!$C$2:$C$20001,$A1814,Orders!$E$2:$E$20001,"COD",Orders!$F$2:$F$20001,"RTO"))</f>
        <v/>
      </c>
      <c r="D1814" s="18" t="str">
        <f aca="false">IF($A1814="","",IFERROR(C1814/B1814,0))</f>
        <v/>
      </c>
      <c r="E1814" s="17" t="str">
        <f aca="false">IF($A1814="","",COUNTIFS(Orders!$C$2:$C$20001,$A1814,Orders!$E$2:$E$20001,"Prepaid",Orders!$F$2:$F$20001,"Delivered")+COUNTIFS(Orders!$C$2:$C$20001,$A1814,Orders!$E$2:$E$20001,"Prepaid",Orders!$F$2:$F$20001,"RTO"))</f>
        <v/>
      </c>
      <c r="F1814" s="17" t="str">
        <f aca="false">IF($A1814="","",COUNTIFS(Orders!$C$2:$C$20001,$A1814,Orders!$E$2:$E$20001,"Prepaid",Orders!$F$2:$F$20001,"RTO"))</f>
        <v/>
      </c>
      <c r="G1814" s="18" t="str">
        <f aca="false">IF($A1814="","",IFERROR(F1814/E1814,0))</f>
        <v/>
      </c>
      <c r="H1814" s="19" t="str">
        <f aca="false">IF($A1814="","",C1814*Settings!$B$11)</f>
        <v/>
      </c>
      <c r="I1814" s="20" t="str">
        <f aca="false">IF($A1814="","",IF(N(H1814)=0,"",RANK(H1814,$H$5:$H$2004)))</f>
        <v/>
      </c>
      <c r="J1814" s="21" t="str">
        <f aca="false">IF($A1814="","",IF(B1814=0,"No COD orders",IF(B1814&lt;Settings!$B$8,"Too few orders",IF(D1814&gt;=Settings!$B$9,"Restrict COD or verify","Keep COD"))))</f>
        <v/>
      </c>
    </row>
    <row r="1815" customFormat="false" ht="15" hidden="false" customHeight="false" outlineLevel="0" collapsed="false">
      <c r="A1815" s="27"/>
      <c r="B1815" s="17" t="str">
        <f aca="false">IF($A1815="","",COUNTIFS(Orders!$C$2:$C$20001,$A1815,Orders!$E$2:$E$20001,"COD",Orders!$F$2:$F$20001,"Delivered")+COUNTIFS(Orders!$C$2:$C$20001,$A1815,Orders!$E$2:$E$20001,"COD",Orders!$F$2:$F$20001,"RTO"))</f>
        <v/>
      </c>
      <c r="C1815" s="17" t="str">
        <f aca="false">IF($A1815="","",COUNTIFS(Orders!$C$2:$C$20001,$A1815,Orders!$E$2:$E$20001,"COD",Orders!$F$2:$F$20001,"RTO"))</f>
        <v/>
      </c>
      <c r="D1815" s="18" t="str">
        <f aca="false">IF($A1815="","",IFERROR(C1815/B1815,0))</f>
        <v/>
      </c>
      <c r="E1815" s="17" t="str">
        <f aca="false">IF($A1815="","",COUNTIFS(Orders!$C$2:$C$20001,$A1815,Orders!$E$2:$E$20001,"Prepaid",Orders!$F$2:$F$20001,"Delivered")+COUNTIFS(Orders!$C$2:$C$20001,$A1815,Orders!$E$2:$E$20001,"Prepaid",Orders!$F$2:$F$20001,"RTO"))</f>
        <v/>
      </c>
      <c r="F1815" s="17" t="str">
        <f aca="false">IF($A1815="","",COUNTIFS(Orders!$C$2:$C$20001,$A1815,Orders!$E$2:$E$20001,"Prepaid",Orders!$F$2:$F$20001,"RTO"))</f>
        <v/>
      </c>
      <c r="G1815" s="18" t="str">
        <f aca="false">IF($A1815="","",IFERROR(F1815/E1815,0))</f>
        <v/>
      </c>
      <c r="H1815" s="19" t="str">
        <f aca="false">IF($A1815="","",C1815*Settings!$B$11)</f>
        <v/>
      </c>
      <c r="I1815" s="20" t="str">
        <f aca="false">IF($A1815="","",IF(N(H1815)=0,"",RANK(H1815,$H$5:$H$2004)))</f>
        <v/>
      </c>
      <c r="J1815" s="21" t="str">
        <f aca="false">IF($A1815="","",IF(B1815=0,"No COD orders",IF(B1815&lt;Settings!$B$8,"Too few orders",IF(D1815&gt;=Settings!$B$9,"Restrict COD or verify","Keep COD"))))</f>
        <v/>
      </c>
    </row>
    <row r="1816" customFormat="false" ht="15" hidden="false" customHeight="false" outlineLevel="0" collapsed="false">
      <c r="A1816" s="27"/>
      <c r="B1816" s="17" t="str">
        <f aca="false">IF($A1816="","",COUNTIFS(Orders!$C$2:$C$20001,$A1816,Orders!$E$2:$E$20001,"COD",Orders!$F$2:$F$20001,"Delivered")+COUNTIFS(Orders!$C$2:$C$20001,$A1816,Orders!$E$2:$E$20001,"COD",Orders!$F$2:$F$20001,"RTO"))</f>
        <v/>
      </c>
      <c r="C1816" s="17" t="str">
        <f aca="false">IF($A1816="","",COUNTIFS(Orders!$C$2:$C$20001,$A1816,Orders!$E$2:$E$20001,"COD",Orders!$F$2:$F$20001,"RTO"))</f>
        <v/>
      </c>
      <c r="D1816" s="18" t="str">
        <f aca="false">IF($A1816="","",IFERROR(C1816/B1816,0))</f>
        <v/>
      </c>
      <c r="E1816" s="17" t="str">
        <f aca="false">IF($A1816="","",COUNTIFS(Orders!$C$2:$C$20001,$A1816,Orders!$E$2:$E$20001,"Prepaid",Orders!$F$2:$F$20001,"Delivered")+COUNTIFS(Orders!$C$2:$C$20001,$A1816,Orders!$E$2:$E$20001,"Prepaid",Orders!$F$2:$F$20001,"RTO"))</f>
        <v/>
      </c>
      <c r="F1816" s="17" t="str">
        <f aca="false">IF($A1816="","",COUNTIFS(Orders!$C$2:$C$20001,$A1816,Orders!$E$2:$E$20001,"Prepaid",Orders!$F$2:$F$20001,"RTO"))</f>
        <v/>
      </c>
      <c r="G1816" s="18" t="str">
        <f aca="false">IF($A1816="","",IFERROR(F1816/E1816,0))</f>
        <v/>
      </c>
      <c r="H1816" s="19" t="str">
        <f aca="false">IF($A1816="","",C1816*Settings!$B$11)</f>
        <v/>
      </c>
      <c r="I1816" s="20" t="str">
        <f aca="false">IF($A1816="","",IF(N(H1816)=0,"",RANK(H1816,$H$5:$H$2004)))</f>
        <v/>
      </c>
      <c r="J1816" s="21" t="str">
        <f aca="false">IF($A1816="","",IF(B1816=0,"No COD orders",IF(B1816&lt;Settings!$B$8,"Too few orders",IF(D1816&gt;=Settings!$B$9,"Restrict COD or verify","Keep COD"))))</f>
        <v/>
      </c>
    </row>
    <row r="1817" customFormat="false" ht="15" hidden="false" customHeight="false" outlineLevel="0" collapsed="false">
      <c r="A1817" s="27"/>
      <c r="B1817" s="17" t="str">
        <f aca="false">IF($A1817="","",COUNTIFS(Orders!$C$2:$C$20001,$A1817,Orders!$E$2:$E$20001,"COD",Orders!$F$2:$F$20001,"Delivered")+COUNTIFS(Orders!$C$2:$C$20001,$A1817,Orders!$E$2:$E$20001,"COD",Orders!$F$2:$F$20001,"RTO"))</f>
        <v/>
      </c>
      <c r="C1817" s="17" t="str">
        <f aca="false">IF($A1817="","",COUNTIFS(Orders!$C$2:$C$20001,$A1817,Orders!$E$2:$E$20001,"COD",Orders!$F$2:$F$20001,"RTO"))</f>
        <v/>
      </c>
      <c r="D1817" s="18" t="str">
        <f aca="false">IF($A1817="","",IFERROR(C1817/B1817,0))</f>
        <v/>
      </c>
      <c r="E1817" s="17" t="str">
        <f aca="false">IF($A1817="","",COUNTIFS(Orders!$C$2:$C$20001,$A1817,Orders!$E$2:$E$20001,"Prepaid",Orders!$F$2:$F$20001,"Delivered")+COUNTIFS(Orders!$C$2:$C$20001,$A1817,Orders!$E$2:$E$20001,"Prepaid",Orders!$F$2:$F$20001,"RTO"))</f>
        <v/>
      </c>
      <c r="F1817" s="17" t="str">
        <f aca="false">IF($A1817="","",COUNTIFS(Orders!$C$2:$C$20001,$A1817,Orders!$E$2:$E$20001,"Prepaid",Orders!$F$2:$F$20001,"RTO"))</f>
        <v/>
      </c>
      <c r="G1817" s="18" t="str">
        <f aca="false">IF($A1817="","",IFERROR(F1817/E1817,0))</f>
        <v/>
      </c>
      <c r="H1817" s="19" t="str">
        <f aca="false">IF($A1817="","",C1817*Settings!$B$11)</f>
        <v/>
      </c>
      <c r="I1817" s="20" t="str">
        <f aca="false">IF($A1817="","",IF(N(H1817)=0,"",RANK(H1817,$H$5:$H$2004)))</f>
        <v/>
      </c>
      <c r="J1817" s="21" t="str">
        <f aca="false">IF($A1817="","",IF(B1817=0,"No COD orders",IF(B1817&lt;Settings!$B$8,"Too few orders",IF(D1817&gt;=Settings!$B$9,"Restrict COD or verify","Keep COD"))))</f>
        <v/>
      </c>
    </row>
    <row r="1818" customFormat="false" ht="15" hidden="false" customHeight="false" outlineLevel="0" collapsed="false">
      <c r="A1818" s="27"/>
      <c r="B1818" s="17" t="str">
        <f aca="false">IF($A1818="","",COUNTIFS(Orders!$C$2:$C$20001,$A1818,Orders!$E$2:$E$20001,"COD",Orders!$F$2:$F$20001,"Delivered")+COUNTIFS(Orders!$C$2:$C$20001,$A1818,Orders!$E$2:$E$20001,"COD",Orders!$F$2:$F$20001,"RTO"))</f>
        <v/>
      </c>
      <c r="C1818" s="17" t="str">
        <f aca="false">IF($A1818="","",COUNTIFS(Orders!$C$2:$C$20001,$A1818,Orders!$E$2:$E$20001,"COD",Orders!$F$2:$F$20001,"RTO"))</f>
        <v/>
      </c>
      <c r="D1818" s="18" t="str">
        <f aca="false">IF($A1818="","",IFERROR(C1818/B1818,0))</f>
        <v/>
      </c>
      <c r="E1818" s="17" t="str">
        <f aca="false">IF($A1818="","",COUNTIFS(Orders!$C$2:$C$20001,$A1818,Orders!$E$2:$E$20001,"Prepaid",Orders!$F$2:$F$20001,"Delivered")+COUNTIFS(Orders!$C$2:$C$20001,$A1818,Orders!$E$2:$E$20001,"Prepaid",Orders!$F$2:$F$20001,"RTO"))</f>
        <v/>
      </c>
      <c r="F1818" s="17" t="str">
        <f aca="false">IF($A1818="","",COUNTIFS(Orders!$C$2:$C$20001,$A1818,Orders!$E$2:$E$20001,"Prepaid",Orders!$F$2:$F$20001,"RTO"))</f>
        <v/>
      </c>
      <c r="G1818" s="18" t="str">
        <f aca="false">IF($A1818="","",IFERROR(F1818/E1818,0))</f>
        <v/>
      </c>
      <c r="H1818" s="19" t="str">
        <f aca="false">IF($A1818="","",C1818*Settings!$B$11)</f>
        <v/>
      </c>
      <c r="I1818" s="20" t="str">
        <f aca="false">IF($A1818="","",IF(N(H1818)=0,"",RANK(H1818,$H$5:$H$2004)))</f>
        <v/>
      </c>
      <c r="J1818" s="21" t="str">
        <f aca="false">IF($A1818="","",IF(B1818=0,"No COD orders",IF(B1818&lt;Settings!$B$8,"Too few orders",IF(D1818&gt;=Settings!$B$9,"Restrict COD or verify","Keep COD"))))</f>
        <v/>
      </c>
    </row>
    <row r="1819" customFormat="false" ht="15" hidden="false" customHeight="false" outlineLevel="0" collapsed="false">
      <c r="A1819" s="27"/>
      <c r="B1819" s="17" t="str">
        <f aca="false">IF($A1819="","",COUNTIFS(Orders!$C$2:$C$20001,$A1819,Orders!$E$2:$E$20001,"COD",Orders!$F$2:$F$20001,"Delivered")+COUNTIFS(Orders!$C$2:$C$20001,$A1819,Orders!$E$2:$E$20001,"COD",Orders!$F$2:$F$20001,"RTO"))</f>
        <v/>
      </c>
      <c r="C1819" s="17" t="str">
        <f aca="false">IF($A1819="","",COUNTIFS(Orders!$C$2:$C$20001,$A1819,Orders!$E$2:$E$20001,"COD",Orders!$F$2:$F$20001,"RTO"))</f>
        <v/>
      </c>
      <c r="D1819" s="18" t="str">
        <f aca="false">IF($A1819="","",IFERROR(C1819/B1819,0))</f>
        <v/>
      </c>
      <c r="E1819" s="17" t="str">
        <f aca="false">IF($A1819="","",COUNTIFS(Orders!$C$2:$C$20001,$A1819,Orders!$E$2:$E$20001,"Prepaid",Orders!$F$2:$F$20001,"Delivered")+COUNTIFS(Orders!$C$2:$C$20001,$A1819,Orders!$E$2:$E$20001,"Prepaid",Orders!$F$2:$F$20001,"RTO"))</f>
        <v/>
      </c>
      <c r="F1819" s="17" t="str">
        <f aca="false">IF($A1819="","",COUNTIFS(Orders!$C$2:$C$20001,$A1819,Orders!$E$2:$E$20001,"Prepaid",Orders!$F$2:$F$20001,"RTO"))</f>
        <v/>
      </c>
      <c r="G1819" s="18" t="str">
        <f aca="false">IF($A1819="","",IFERROR(F1819/E1819,0))</f>
        <v/>
      </c>
      <c r="H1819" s="19" t="str">
        <f aca="false">IF($A1819="","",C1819*Settings!$B$11)</f>
        <v/>
      </c>
      <c r="I1819" s="20" t="str">
        <f aca="false">IF($A1819="","",IF(N(H1819)=0,"",RANK(H1819,$H$5:$H$2004)))</f>
        <v/>
      </c>
      <c r="J1819" s="21" t="str">
        <f aca="false">IF($A1819="","",IF(B1819=0,"No COD orders",IF(B1819&lt;Settings!$B$8,"Too few orders",IF(D1819&gt;=Settings!$B$9,"Restrict COD or verify","Keep COD"))))</f>
        <v/>
      </c>
    </row>
    <row r="1820" customFormat="false" ht="15" hidden="false" customHeight="false" outlineLevel="0" collapsed="false">
      <c r="A1820" s="27"/>
      <c r="B1820" s="17" t="str">
        <f aca="false">IF($A1820="","",COUNTIFS(Orders!$C$2:$C$20001,$A1820,Orders!$E$2:$E$20001,"COD",Orders!$F$2:$F$20001,"Delivered")+COUNTIFS(Orders!$C$2:$C$20001,$A1820,Orders!$E$2:$E$20001,"COD",Orders!$F$2:$F$20001,"RTO"))</f>
        <v/>
      </c>
      <c r="C1820" s="17" t="str">
        <f aca="false">IF($A1820="","",COUNTIFS(Orders!$C$2:$C$20001,$A1820,Orders!$E$2:$E$20001,"COD",Orders!$F$2:$F$20001,"RTO"))</f>
        <v/>
      </c>
      <c r="D1820" s="18" t="str">
        <f aca="false">IF($A1820="","",IFERROR(C1820/B1820,0))</f>
        <v/>
      </c>
      <c r="E1820" s="17" t="str">
        <f aca="false">IF($A1820="","",COUNTIFS(Orders!$C$2:$C$20001,$A1820,Orders!$E$2:$E$20001,"Prepaid",Orders!$F$2:$F$20001,"Delivered")+COUNTIFS(Orders!$C$2:$C$20001,$A1820,Orders!$E$2:$E$20001,"Prepaid",Orders!$F$2:$F$20001,"RTO"))</f>
        <v/>
      </c>
      <c r="F1820" s="17" t="str">
        <f aca="false">IF($A1820="","",COUNTIFS(Orders!$C$2:$C$20001,$A1820,Orders!$E$2:$E$20001,"Prepaid",Orders!$F$2:$F$20001,"RTO"))</f>
        <v/>
      </c>
      <c r="G1820" s="18" t="str">
        <f aca="false">IF($A1820="","",IFERROR(F1820/E1820,0))</f>
        <v/>
      </c>
      <c r="H1820" s="19" t="str">
        <f aca="false">IF($A1820="","",C1820*Settings!$B$11)</f>
        <v/>
      </c>
      <c r="I1820" s="20" t="str">
        <f aca="false">IF($A1820="","",IF(N(H1820)=0,"",RANK(H1820,$H$5:$H$2004)))</f>
        <v/>
      </c>
      <c r="J1820" s="21" t="str">
        <f aca="false">IF($A1820="","",IF(B1820=0,"No COD orders",IF(B1820&lt;Settings!$B$8,"Too few orders",IF(D1820&gt;=Settings!$B$9,"Restrict COD or verify","Keep COD"))))</f>
        <v/>
      </c>
    </row>
    <row r="1821" customFormat="false" ht="15" hidden="false" customHeight="false" outlineLevel="0" collapsed="false">
      <c r="A1821" s="27"/>
      <c r="B1821" s="17" t="str">
        <f aca="false">IF($A1821="","",COUNTIFS(Orders!$C$2:$C$20001,$A1821,Orders!$E$2:$E$20001,"COD",Orders!$F$2:$F$20001,"Delivered")+COUNTIFS(Orders!$C$2:$C$20001,$A1821,Orders!$E$2:$E$20001,"COD",Orders!$F$2:$F$20001,"RTO"))</f>
        <v/>
      </c>
      <c r="C1821" s="17" t="str">
        <f aca="false">IF($A1821="","",COUNTIFS(Orders!$C$2:$C$20001,$A1821,Orders!$E$2:$E$20001,"COD",Orders!$F$2:$F$20001,"RTO"))</f>
        <v/>
      </c>
      <c r="D1821" s="18" t="str">
        <f aca="false">IF($A1821="","",IFERROR(C1821/B1821,0))</f>
        <v/>
      </c>
      <c r="E1821" s="17" t="str">
        <f aca="false">IF($A1821="","",COUNTIFS(Orders!$C$2:$C$20001,$A1821,Orders!$E$2:$E$20001,"Prepaid",Orders!$F$2:$F$20001,"Delivered")+COUNTIFS(Orders!$C$2:$C$20001,$A1821,Orders!$E$2:$E$20001,"Prepaid",Orders!$F$2:$F$20001,"RTO"))</f>
        <v/>
      </c>
      <c r="F1821" s="17" t="str">
        <f aca="false">IF($A1821="","",COUNTIFS(Orders!$C$2:$C$20001,$A1821,Orders!$E$2:$E$20001,"Prepaid",Orders!$F$2:$F$20001,"RTO"))</f>
        <v/>
      </c>
      <c r="G1821" s="18" t="str">
        <f aca="false">IF($A1821="","",IFERROR(F1821/E1821,0))</f>
        <v/>
      </c>
      <c r="H1821" s="19" t="str">
        <f aca="false">IF($A1821="","",C1821*Settings!$B$11)</f>
        <v/>
      </c>
      <c r="I1821" s="20" t="str">
        <f aca="false">IF($A1821="","",IF(N(H1821)=0,"",RANK(H1821,$H$5:$H$2004)))</f>
        <v/>
      </c>
      <c r="J1821" s="21" t="str">
        <f aca="false">IF($A1821="","",IF(B1821=0,"No COD orders",IF(B1821&lt;Settings!$B$8,"Too few orders",IF(D1821&gt;=Settings!$B$9,"Restrict COD or verify","Keep COD"))))</f>
        <v/>
      </c>
    </row>
    <row r="1822" customFormat="false" ht="15" hidden="false" customHeight="false" outlineLevel="0" collapsed="false">
      <c r="A1822" s="27"/>
      <c r="B1822" s="17" t="str">
        <f aca="false">IF($A1822="","",COUNTIFS(Orders!$C$2:$C$20001,$A1822,Orders!$E$2:$E$20001,"COD",Orders!$F$2:$F$20001,"Delivered")+COUNTIFS(Orders!$C$2:$C$20001,$A1822,Orders!$E$2:$E$20001,"COD",Orders!$F$2:$F$20001,"RTO"))</f>
        <v/>
      </c>
      <c r="C1822" s="17" t="str">
        <f aca="false">IF($A1822="","",COUNTIFS(Orders!$C$2:$C$20001,$A1822,Orders!$E$2:$E$20001,"COD",Orders!$F$2:$F$20001,"RTO"))</f>
        <v/>
      </c>
      <c r="D1822" s="18" t="str">
        <f aca="false">IF($A1822="","",IFERROR(C1822/B1822,0))</f>
        <v/>
      </c>
      <c r="E1822" s="17" t="str">
        <f aca="false">IF($A1822="","",COUNTIFS(Orders!$C$2:$C$20001,$A1822,Orders!$E$2:$E$20001,"Prepaid",Orders!$F$2:$F$20001,"Delivered")+COUNTIFS(Orders!$C$2:$C$20001,$A1822,Orders!$E$2:$E$20001,"Prepaid",Orders!$F$2:$F$20001,"RTO"))</f>
        <v/>
      </c>
      <c r="F1822" s="17" t="str">
        <f aca="false">IF($A1822="","",COUNTIFS(Orders!$C$2:$C$20001,$A1822,Orders!$E$2:$E$20001,"Prepaid",Orders!$F$2:$F$20001,"RTO"))</f>
        <v/>
      </c>
      <c r="G1822" s="18" t="str">
        <f aca="false">IF($A1822="","",IFERROR(F1822/E1822,0))</f>
        <v/>
      </c>
      <c r="H1822" s="19" t="str">
        <f aca="false">IF($A1822="","",C1822*Settings!$B$11)</f>
        <v/>
      </c>
      <c r="I1822" s="20" t="str">
        <f aca="false">IF($A1822="","",IF(N(H1822)=0,"",RANK(H1822,$H$5:$H$2004)))</f>
        <v/>
      </c>
      <c r="J1822" s="21" t="str">
        <f aca="false">IF($A1822="","",IF(B1822=0,"No COD orders",IF(B1822&lt;Settings!$B$8,"Too few orders",IF(D1822&gt;=Settings!$B$9,"Restrict COD or verify","Keep COD"))))</f>
        <v/>
      </c>
    </row>
    <row r="1823" customFormat="false" ht="15" hidden="false" customHeight="false" outlineLevel="0" collapsed="false">
      <c r="A1823" s="27"/>
      <c r="B1823" s="17" t="str">
        <f aca="false">IF($A1823="","",COUNTIFS(Orders!$C$2:$C$20001,$A1823,Orders!$E$2:$E$20001,"COD",Orders!$F$2:$F$20001,"Delivered")+COUNTIFS(Orders!$C$2:$C$20001,$A1823,Orders!$E$2:$E$20001,"COD",Orders!$F$2:$F$20001,"RTO"))</f>
        <v/>
      </c>
      <c r="C1823" s="17" t="str">
        <f aca="false">IF($A1823="","",COUNTIFS(Orders!$C$2:$C$20001,$A1823,Orders!$E$2:$E$20001,"COD",Orders!$F$2:$F$20001,"RTO"))</f>
        <v/>
      </c>
      <c r="D1823" s="18" t="str">
        <f aca="false">IF($A1823="","",IFERROR(C1823/B1823,0))</f>
        <v/>
      </c>
      <c r="E1823" s="17" t="str">
        <f aca="false">IF($A1823="","",COUNTIFS(Orders!$C$2:$C$20001,$A1823,Orders!$E$2:$E$20001,"Prepaid",Orders!$F$2:$F$20001,"Delivered")+COUNTIFS(Orders!$C$2:$C$20001,$A1823,Orders!$E$2:$E$20001,"Prepaid",Orders!$F$2:$F$20001,"RTO"))</f>
        <v/>
      </c>
      <c r="F1823" s="17" t="str">
        <f aca="false">IF($A1823="","",COUNTIFS(Orders!$C$2:$C$20001,$A1823,Orders!$E$2:$E$20001,"Prepaid",Orders!$F$2:$F$20001,"RTO"))</f>
        <v/>
      </c>
      <c r="G1823" s="18" t="str">
        <f aca="false">IF($A1823="","",IFERROR(F1823/E1823,0))</f>
        <v/>
      </c>
      <c r="H1823" s="19" t="str">
        <f aca="false">IF($A1823="","",C1823*Settings!$B$11)</f>
        <v/>
      </c>
      <c r="I1823" s="20" t="str">
        <f aca="false">IF($A1823="","",IF(N(H1823)=0,"",RANK(H1823,$H$5:$H$2004)))</f>
        <v/>
      </c>
      <c r="J1823" s="21" t="str">
        <f aca="false">IF($A1823="","",IF(B1823=0,"No COD orders",IF(B1823&lt;Settings!$B$8,"Too few orders",IF(D1823&gt;=Settings!$B$9,"Restrict COD or verify","Keep COD"))))</f>
        <v/>
      </c>
    </row>
    <row r="1824" customFormat="false" ht="15" hidden="false" customHeight="false" outlineLevel="0" collapsed="false">
      <c r="A1824" s="27"/>
      <c r="B1824" s="17" t="str">
        <f aca="false">IF($A1824="","",COUNTIFS(Orders!$C$2:$C$20001,$A1824,Orders!$E$2:$E$20001,"COD",Orders!$F$2:$F$20001,"Delivered")+COUNTIFS(Orders!$C$2:$C$20001,$A1824,Orders!$E$2:$E$20001,"COD",Orders!$F$2:$F$20001,"RTO"))</f>
        <v/>
      </c>
      <c r="C1824" s="17" t="str">
        <f aca="false">IF($A1824="","",COUNTIFS(Orders!$C$2:$C$20001,$A1824,Orders!$E$2:$E$20001,"COD",Orders!$F$2:$F$20001,"RTO"))</f>
        <v/>
      </c>
      <c r="D1824" s="18" t="str">
        <f aca="false">IF($A1824="","",IFERROR(C1824/B1824,0))</f>
        <v/>
      </c>
      <c r="E1824" s="17" t="str">
        <f aca="false">IF($A1824="","",COUNTIFS(Orders!$C$2:$C$20001,$A1824,Orders!$E$2:$E$20001,"Prepaid",Orders!$F$2:$F$20001,"Delivered")+COUNTIFS(Orders!$C$2:$C$20001,$A1824,Orders!$E$2:$E$20001,"Prepaid",Orders!$F$2:$F$20001,"RTO"))</f>
        <v/>
      </c>
      <c r="F1824" s="17" t="str">
        <f aca="false">IF($A1824="","",COUNTIFS(Orders!$C$2:$C$20001,$A1824,Orders!$E$2:$E$20001,"Prepaid",Orders!$F$2:$F$20001,"RTO"))</f>
        <v/>
      </c>
      <c r="G1824" s="18" t="str">
        <f aca="false">IF($A1824="","",IFERROR(F1824/E1824,0))</f>
        <v/>
      </c>
      <c r="H1824" s="19" t="str">
        <f aca="false">IF($A1824="","",C1824*Settings!$B$11)</f>
        <v/>
      </c>
      <c r="I1824" s="20" t="str">
        <f aca="false">IF($A1824="","",IF(N(H1824)=0,"",RANK(H1824,$H$5:$H$2004)))</f>
        <v/>
      </c>
      <c r="J1824" s="21" t="str">
        <f aca="false">IF($A1824="","",IF(B1824=0,"No COD orders",IF(B1824&lt;Settings!$B$8,"Too few orders",IF(D1824&gt;=Settings!$B$9,"Restrict COD or verify","Keep COD"))))</f>
        <v/>
      </c>
    </row>
    <row r="1825" customFormat="false" ht="15" hidden="false" customHeight="false" outlineLevel="0" collapsed="false">
      <c r="A1825" s="27"/>
      <c r="B1825" s="17" t="str">
        <f aca="false">IF($A1825="","",COUNTIFS(Orders!$C$2:$C$20001,$A1825,Orders!$E$2:$E$20001,"COD",Orders!$F$2:$F$20001,"Delivered")+COUNTIFS(Orders!$C$2:$C$20001,$A1825,Orders!$E$2:$E$20001,"COD",Orders!$F$2:$F$20001,"RTO"))</f>
        <v/>
      </c>
      <c r="C1825" s="17" t="str">
        <f aca="false">IF($A1825="","",COUNTIFS(Orders!$C$2:$C$20001,$A1825,Orders!$E$2:$E$20001,"COD",Orders!$F$2:$F$20001,"RTO"))</f>
        <v/>
      </c>
      <c r="D1825" s="18" t="str">
        <f aca="false">IF($A1825="","",IFERROR(C1825/B1825,0))</f>
        <v/>
      </c>
      <c r="E1825" s="17" t="str">
        <f aca="false">IF($A1825="","",COUNTIFS(Orders!$C$2:$C$20001,$A1825,Orders!$E$2:$E$20001,"Prepaid",Orders!$F$2:$F$20001,"Delivered")+COUNTIFS(Orders!$C$2:$C$20001,$A1825,Orders!$E$2:$E$20001,"Prepaid",Orders!$F$2:$F$20001,"RTO"))</f>
        <v/>
      </c>
      <c r="F1825" s="17" t="str">
        <f aca="false">IF($A1825="","",COUNTIFS(Orders!$C$2:$C$20001,$A1825,Orders!$E$2:$E$20001,"Prepaid",Orders!$F$2:$F$20001,"RTO"))</f>
        <v/>
      </c>
      <c r="G1825" s="18" t="str">
        <f aca="false">IF($A1825="","",IFERROR(F1825/E1825,0))</f>
        <v/>
      </c>
      <c r="H1825" s="19" t="str">
        <f aca="false">IF($A1825="","",C1825*Settings!$B$11)</f>
        <v/>
      </c>
      <c r="I1825" s="20" t="str">
        <f aca="false">IF($A1825="","",IF(N(H1825)=0,"",RANK(H1825,$H$5:$H$2004)))</f>
        <v/>
      </c>
      <c r="J1825" s="21" t="str">
        <f aca="false">IF($A1825="","",IF(B1825=0,"No COD orders",IF(B1825&lt;Settings!$B$8,"Too few orders",IF(D1825&gt;=Settings!$B$9,"Restrict COD or verify","Keep COD"))))</f>
        <v/>
      </c>
    </row>
    <row r="1826" customFormat="false" ht="15" hidden="false" customHeight="false" outlineLevel="0" collapsed="false">
      <c r="A1826" s="27"/>
      <c r="B1826" s="17" t="str">
        <f aca="false">IF($A1826="","",COUNTIFS(Orders!$C$2:$C$20001,$A1826,Orders!$E$2:$E$20001,"COD",Orders!$F$2:$F$20001,"Delivered")+COUNTIFS(Orders!$C$2:$C$20001,$A1826,Orders!$E$2:$E$20001,"COD",Orders!$F$2:$F$20001,"RTO"))</f>
        <v/>
      </c>
      <c r="C1826" s="17" t="str">
        <f aca="false">IF($A1826="","",COUNTIFS(Orders!$C$2:$C$20001,$A1826,Orders!$E$2:$E$20001,"COD",Orders!$F$2:$F$20001,"RTO"))</f>
        <v/>
      </c>
      <c r="D1826" s="18" t="str">
        <f aca="false">IF($A1826="","",IFERROR(C1826/B1826,0))</f>
        <v/>
      </c>
      <c r="E1826" s="17" t="str">
        <f aca="false">IF($A1826="","",COUNTIFS(Orders!$C$2:$C$20001,$A1826,Orders!$E$2:$E$20001,"Prepaid",Orders!$F$2:$F$20001,"Delivered")+COUNTIFS(Orders!$C$2:$C$20001,$A1826,Orders!$E$2:$E$20001,"Prepaid",Orders!$F$2:$F$20001,"RTO"))</f>
        <v/>
      </c>
      <c r="F1826" s="17" t="str">
        <f aca="false">IF($A1826="","",COUNTIFS(Orders!$C$2:$C$20001,$A1826,Orders!$E$2:$E$20001,"Prepaid",Orders!$F$2:$F$20001,"RTO"))</f>
        <v/>
      </c>
      <c r="G1826" s="18" t="str">
        <f aca="false">IF($A1826="","",IFERROR(F1826/E1826,0))</f>
        <v/>
      </c>
      <c r="H1826" s="19" t="str">
        <f aca="false">IF($A1826="","",C1826*Settings!$B$11)</f>
        <v/>
      </c>
      <c r="I1826" s="20" t="str">
        <f aca="false">IF($A1826="","",IF(N(H1826)=0,"",RANK(H1826,$H$5:$H$2004)))</f>
        <v/>
      </c>
      <c r="J1826" s="21" t="str">
        <f aca="false">IF($A1826="","",IF(B1826=0,"No COD orders",IF(B1826&lt;Settings!$B$8,"Too few orders",IF(D1826&gt;=Settings!$B$9,"Restrict COD or verify","Keep COD"))))</f>
        <v/>
      </c>
    </row>
    <row r="1827" customFormat="false" ht="15" hidden="false" customHeight="false" outlineLevel="0" collapsed="false">
      <c r="A1827" s="27"/>
      <c r="B1827" s="17" t="str">
        <f aca="false">IF($A1827="","",COUNTIFS(Orders!$C$2:$C$20001,$A1827,Orders!$E$2:$E$20001,"COD",Orders!$F$2:$F$20001,"Delivered")+COUNTIFS(Orders!$C$2:$C$20001,$A1827,Orders!$E$2:$E$20001,"COD",Orders!$F$2:$F$20001,"RTO"))</f>
        <v/>
      </c>
      <c r="C1827" s="17" t="str">
        <f aca="false">IF($A1827="","",COUNTIFS(Orders!$C$2:$C$20001,$A1827,Orders!$E$2:$E$20001,"COD",Orders!$F$2:$F$20001,"RTO"))</f>
        <v/>
      </c>
      <c r="D1827" s="18" t="str">
        <f aca="false">IF($A1827="","",IFERROR(C1827/B1827,0))</f>
        <v/>
      </c>
      <c r="E1827" s="17" t="str">
        <f aca="false">IF($A1827="","",COUNTIFS(Orders!$C$2:$C$20001,$A1827,Orders!$E$2:$E$20001,"Prepaid",Orders!$F$2:$F$20001,"Delivered")+COUNTIFS(Orders!$C$2:$C$20001,$A1827,Orders!$E$2:$E$20001,"Prepaid",Orders!$F$2:$F$20001,"RTO"))</f>
        <v/>
      </c>
      <c r="F1827" s="17" t="str">
        <f aca="false">IF($A1827="","",COUNTIFS(Orders!$C$2:$C$20001,$A1827,Orders!$E$2:$E$20001,"Prepaid",Orders!$F$2:$F$20001,"RTO"))</f>
        <v/>
      </c>
      <c r="G1827" s="18" t="str">
        <f aca="false">IF($A1827="","",IFERROR(F1827/E1827,0))</f>
        <v/>
      </c>
      <c r="H1827" s="19" t="str">
        <f aca="false">IF($A1827="","",C1827*Settings!$B$11)</f>
        <v/>
      </c>
      <c r="I1827" s="20" t="str">
        <f aca="false">IF($A1827="","",IF(N(H1827)=0,"",RANK(H1827,$H$5:$H$2004)))</f>
        <v/>
      </c>
      <c r="J1827" s="21" t="str">
        <f aca="false">IF($A1827="","",IF(B1827=0,"No COD orders",IF(B1827&lt;Settings!$B$8,"Too few orders",IF(D1827&gt;=Settings!$B$9,"Restrict COD or verify","Keep COD"))))</f>
        <v/>
      </c>
    </row>
    <row r="1828" customFormat="false" ht="15" hidden="false" customHeight="false" outlineLevel="0" collapsed="false">
      <c r="A1828" s="27"/>
      <c r="B1828" s="17" t="str">
        <f aca="false">IF($A1828="","",COUNTIFS(Orders!$C$2:$C$20001,$A1828,Orders!$E$2:$E$20001,"COD",Orders!$F$2:$F$20001,"Delivered")+COUNTIFS(Orders!$C$2:$C$20001,$A1828,Orders!$E$2:$E$20001,"COD",Orders!$F$2:$F$20001,"RTO"))</f>
        <v/>
      </c>
      <c r="C1828" s="17" t="str">
        <f aca="false">IF($A1828="","",COUNTIFS(Orders!$C$2:$C$20001,$A1828,Orders!$E$2:$E$20001,"COD",Orders!$F$2:$F$20001,"RTO"))</f>
        <v/>
      </c>
      <c r="D1828" s="18" t="str">
        <f aca="false">IF($A1828="","",IFERROR(C1828/B1828,0))</f>
        <v/>
      </c>
      <c r="E1828" s="17" t="str">
        <f aca="false">IF($A1828="","",COUNTIFS(Orders!$C$2:$C$20001,$A1828,Orders!$E$2:$E$20001,"Prepaid",Orders!$F$2:$F$20001,"Delivered")+COUNTIFS(Orders!$C$2:$C$20001,$A1828,Orders!$E$2:$E$20001,"Prepaid",Orders!$F$2:$F$20001,"RTO"))</f>
        <v/>
      </c>
      <c r="F1828" s="17" t="str">
        <f aca="false">IF($A1828="","",COUNTIFS(Orders!$C$2:$C$20001,$A1828,Orders!$E$2:$E$20001,"Prepaid",Orders!$F$2:$F$20001,"RTO"))</f>
        <v/>
      </c>
      <c r="G1828" s="18" t="str">
        <f aca="false">IF($A1828="","",IFERROR(F1828/E1828,0))</f>
        <v/>
      </c>
      <c r="H1828" s="19" t="str">
        <f aca="false">IF($A1828="","",C1828*Settings!$B$11)</f>
        <v/>
      </c>
      <c r="I1828" s="20" t="str">
        <f aca="false">IF($A1828="","",IF(N(H1828)=0,"",RANK(H1828,$H$5:$H$2004)))</f>
        <v/>
      </c>
      <c r="J1828" s="21" t="str">
        <f aca="false">IF($A1828="","",IF(B1828=0,"No COD orders",IF(B1828&lt;Settings!$B$8,"Too few orders",IF(D1828&gt;=Settings!$B$9,"Restrict COD or verify","Keep COD"))))</f>
        <v/>
      </c>
    </row>
    <row r="1829" customFormat="false" ht="15" hidden="false" customHeight="false" outlineLevel="0" collapsed="false">
      <c r="A1829" s="27"/>
      <c r="B1829" s="17" t="str">
        <f aca="false">IF($A1829="","",COUNTIFS(Orders!$C$2:$C$20001,$A1829,Orders!$E$2:$E$20001,"COD",Orders!$F$2:$F$20001,"Delivered")+COUNTIFS(Orders!$C$2:$C$20001,$A1829,Orders!$E$2:$E$20001,"COD",Orders!$F$2:$F$20001,"RTO"))</f>
        <v/>
      </c>
      <c r="C1829" s="17" t="str">
        <f aca="false">IF($A1829="","",COUNTIFS(Orders!$C$2:$C$20001,$A1829,Orders!$E$2:$E$20001,"COD",Orders!$F$2:$F$20001,"RTO"))</f>
        <v/>
      </c>
      <c r="D1829" s="18" t="str">
        <f aca="false">IF($A1829="","",IFERROR(C1829/B1829,0))</f>
        <v/>
      </c>
      <c r="E1829" s="17" t="str">
        <f aca="false">IF($A1829="","",COUNTIFS(Orders!$C$2:$C$20001,$A1829,Orders!$E$2:$E$20001,"Prepaid",Orders!$F$2:$F$20001,"Delivered")+COUNTIFS(Orders!$C$2:$C$20001,$A1829,Orders!$E$2:$E$20001,"Prepaid",Orders!$F$2:$F$20001,"RTO"))</f>
        <v/>
      </c>
      <c r="F1829" s="17" t="str">
        <f aca="false">IF($A1829="","",COUNTIFS(Orders!$C$2:$C$20001,$A1829,Orders!$E$2:$E$20001,"Prepaid",Orders!$F$2:$F$20001,"RTO"))</f>
        <v/>
      </c>
      <c r="G1829" s="18" t="str">
        <f aca="false">IF($A1829="","",IFERROR(F1829/E1829,0))</f>
        <v/>
      </c>
      <c r="H1829" s="19" t="str">
        <f aca="false">IF($A1829="","",C1829*Settings!$B$11)</f>
        <v/>
      </c>
      <c r="I1829" s="20" t="str">
        <f aca="false">IF($A1829="","",IF(N(H1829)=0,"",RANK(H1829,$H$5:$H$2004)))</f>
        <v/>
      </c>
      <c r="J1829" s="21" t="str">
        <f aca="false">IF($A1829="","",IF(B1829=0,"No COD orders",IF(B1829&lt;Settings!$B$8,"Too few orders",IF(D1829&gt;=Settings!$B$9,"Restrict COD or verify","Keep COD"))))</f>
        <v/>
      </c>
    </row>
    <row r="1830" customFormat="false" ht="15" hidden="false" customHeight="false" outlineLevel="0" collapsed="false">
      <c r="A1830" s="27"/>
      <c r="B1830" s="17" t="str">
        <f aca="false">IF($A1830="","",COUNTIFS(Orders!$C$2:$C$20001,$A1830,Orders!$E$2:$E$20001,"COD",Orders!$F$2:$F$20001,"Delivered")+COUNTIFS(Orders!$C$2:$C$20001,$A1830,Orders!$E$2:$E$20001,"COD",Orders!$F$2:$F$20001,"RTO"))</f>
        <v/>
      </c>
      <c r="C1830" s="17" t="str">
        <f aca="false">IF($A1830="","",COUNTIFS(Orders!$C$2:$C$20001,$A1830,Orders!$E$2:$E$20001,"COD",Orders!$F$2:$F$20001,"RTO"))</f>
        <v/>
      </c>
      <c r="D1830" s="18" t="str">
        <f aca="false">IF($A1830="","",IFERROR(C1830/B1830,0))</f>
        <v/>
      </c>
      <c r="E1830" s="17" t="str">
        <f aca="false">IF($A1830="","",COUNTIFS(Orders!$C$2:$C$20001,$A1830,Orders!$E$2:$E$20001,"Prepaid",Orders!$F$2:$F$20001,"Delivered")+COUNTIFS(Orders!$C$2:$C$20001,$A1830,Orders!$E$2:$E$20001,"Prepaid",Orders!$F$2:$F$20001,"RTO"))</f>
        <v/>
      </c>
      <c r="F1830" s="17" t="str">
        <f aca="false">IF($A1830="","",COUNTIFS(Orders!$C$2:$C$20001,$A1830,Orders!$E$2:$E$20001,"Prepaid",Orders!$F$2:$F$20001,"RTO"))</f>
        <v/>
      </c>
      <c r="G1830" s="18" t="str">
        <f aca="false">IF($A1830="","",IFERROR(F1830/E1830,0))</f>
        <v/>
      </c>
      <c r="H1830" s="19" t="str">
        <f aca="false">IF($A1830="","",C1830*Settings!$B$11)</f>
        <v/>
      </c>
      <c r="I1830" s="20" t="str">
        <f aca="false">IF($A1830="","",IF(N(H1830)=0,"",RANK(H1830,$H$5:$H$2004)))</f>
        <v/>
      </c>
      <c r="J1830" s="21" t="str">
        <f aca="false">IF($A1830="","",IF(B1830=0,"No COD orders",IF(B1830&lt;Settings!$B$8,"Too few orders",IF(D1830&gt;=Settings!$B$9,"Restrict COD or verify","Keep COD"))))</f>
        <v/>
      </c>
    </row>
    <row r="1831" customFormat="false" ht="15" hidden="false" customHeight="false" outlineLevel="0" collapsed="false">
      <c r="A1831" s="27"/>
      <c r="B1831" s="17" t="str">
        <f aca="false">IF($A1831="","",COUNTIFS(Orders!$C$2:$C$20001,$A1831,Orders!$E$2:$E$20001,"COD",Orders!$F$2:$F$20001,"Delivered")+COUNTIFS(Orders!$C$2:$C$20001,$A1831,Orders!$E$2:$E$20001,"COD",Orders!$F$2:$F$20001,"RTO"))</f>
        <v/>
      </c>
      <c r="C1831" s="17" t="str">
        <f aca="false">IF($A1831="","",COUNTIFS(Orders!$C$2:$C$20001,$A1831,Orders!$E$2:$E$20001,"COD",Orders!$F$2:$F$20001,"RTO"))</f>
        <v/>
      </c>
      <c r="D1831" s="18" t="str">
        <f aca="false">IF($A1831="","",IFERROR(C1831/B1831,0))</f>
        <v/>
      </c>
      <c r="E1831" s="17" t="str">
        <f aca="false">IF($A1831="","",COUNTIFS(Orders!$C$2:$C$20001,$A1831,Orders!$E$2:$E$20001,"Prepaid",Orders!$F$2:$F$20001,"Delivered")+COUNTIFS(Orders!$C$2:$C$20001,$A1831,Orders!$E$2:$E$20001,"Prepaid",Orders!$F$2:$F$20001,"RTO"))</f>
        <v/>
      </c>
      <c r="F1831" s="17" t="str">
        <f aca="false">IF($A1831="","",COUNTIFS(Orders!$C$2:$C$20001,$A1831,Orders!$E$2:$E$20001,"Prepaid",Orders!$F$2:$F$20001,"RTO"))</f>
        <v/>
      </c>
      <c r="G1831" s="18" t="str">
        <f aca="false">IF($A1831="","",IFERROR(F1831/E1831,0))</f>
        <v/>
      </c>
      <c r="H1831" s="19" t="str">
        <f aca="false">IF($A1831="","",C1831*Settings!$B$11)</f>
        <v/>
      </c>
      <c r="I1831" s="20" t="str">
        <f aca="false">IF($A1831="","",IF(N(H1831)=0,"",RANK(H1831,$H$5:$H$2004)))</f>
        <v/>
      </c>
      <c r="J1831" s="21" t="str">
        <f aca="false">IF($A1831="","",IF(B1831=0,"No COD orders",IF(B1831&lt;Settings!$B$8,"Too few orders",IF(D1831&gt;=Settings!$B$9,"Restrict COD or verify","Keep COD"))))</f>
        <v/>
      </c>
    </row>
    <row r="1832" customFormat="false" ht="15" hidden="false" customHeight="false" outlineLevel="0" collapsed="false">
      <c r="A1832" s="27"/>
      <c r="B1832" s="17" t="str">
        <f aca="false">IF($A1832="","",COUNTIFS(Orders!$C$2:$C$20001,$A1832,Orders!$E$2:$E$20001,"COD",Orders!$F$2:$F$20001,"Delivered")+COUNTIFS(Orders!$C$2:$C$20001,$A1832,Orders!$E$2:$E$20001,"COD",Orders!$F$2:$F$20001,"RTO"))</f>
        <v/>
      </c>
      <c r="C1832" s="17" t="str">
        <f aca="false">IF($A1832="","",COUNTIFS(Orders!$C$2:$C$20001,$A1832,Orders!$E$2:$E$20001,"COD",Orders!$F$2:$F$20001,"RTO"))</f>
        <v/>
      </c>
      <c r="D1832" s="18" t="str">
        <f aca="false">IF($A1832="","",IFERROR(C1832/B1832,0))</f>
        <v/>
      </c>
      <c r="E1832" s="17" t="str">
        <f aca="false">IF($A1832="","",COUNTIFS(Orders!$C$2:$C$20001,$A1832,Orders!$E$2:$E$20001,"Prepaid",Orders!$F$2:$F$20001,"Delivered")+COUNTIFS(Orders!$C$2:$C$20001,$A1832,Orders!$E$2:$E$20001,"Prepaid",Orders!$F$2:$F$20001,"RTO"))</f>
        <v/>
      </c>
      <c r="F1832" s="17" t="str">
        <f aca="false">IF($A1832="","",COUNTIFS(Orders!$C$2:$C$20001,$A1832,Orders!$E$2:$E$20001,"Prepaid",Orders!$F$2:$F$20001,"RTO"))</f>
        <v/>
      </c>
      <c r="G1832" s="18" t="str">
        <f aca="false">IF($A1832="","",IFERROR(F1832/E1832,0))</f>
        <v/>
      </c>
      <c r="H1832" s="19" t="str">
        <f aca="false">IF($A1832="","",C1832*Settings!$B$11)</f>
        <v/>
      </c>
      <c r="I1832" s="20" t="str">
        <f aca="false">IF($A1832="","",IF(N(H1832)=0,"",RANK(H1832,$H$5:$H$2004)))</f>
        <v/>
      </c>
      <c r="J1832" s="21" t="str">
        <f aca="false">IF($A1832="","",IF(B1832=0,"No COD orders",IF(B1832&lt;Settings!$B$8,"Too few orders",IF(D1832&gt;=Settings!$B$9,"Restrict COD or verify","Keep COD"))))</f>
        <v/>
      </c>
    </row>
    <row r="1833" customFormat="false" ht="15" hidden="false" customHeight="false" outlineLevel="0" collapsed="false">
      <c r="A1833" s="27"/>
      <c r="B1833" s="17" t="str">
        <f aca="false">IF($A1833="","",COUNTIFS(Orders!$C$2:$C$20001,$A1833,Orders!$E$2:$E$20001,"COD",Orders!$F$2:$F$20001,"Delivered")+COUNTIFS(Orders!$C$2:$C$20001,$A1833,Orders!$E$2:$E$20001,"COD",Orders!$F$2:$F$20001,"RTO"))</f>
        <v/>
      </c>
      <c r="C1833" s="17" t="str">
        <f aca="false">IF($A1833="","",COUNTIFS(Orders!$C$2:$C$20001,$A1833,Orders!$E$2:$E$20001,"COD",Orders!$F$2:$F$20001,"RTO"))</f>
        <v/>
      </c>
      <c r="D1833" s="18" t="str">
        <f aca="false">IF($A1833="","",IFERROR(C1833/B1833,0))</f>
        <v/>
      </c>
      <c r="E1833" s="17" t="str">
        <f aca="false">IF($A1833="","",COUNTIFS(Orders!$C$2:$C$20001,$A1833,Orders!$E$2:$E$20001,"Prepaid",Orders!$F$2:$F$20001,"Delivered")+COUNTIFS(Orders!$C$2:$C$20001,$A1833,Orders!$E$2:$E$20001,"Prepaid",Orders!$F$2:$F$20001,"RTO"))</f>
        <v/>
      </c>
      <c r="F1833" s="17" t="str">
        <f aca="false">IF($A1833="","",COUNTIFS(Orders!$C$2:$C$20001,$A1833,Orders!$E$2:$E$20001,"Prepaid",Orders!$F$2:$F$20001,"RTO"))</f>
        <v/>
      </c>
      <c r="G1833" s="18" t="str">
        <f aca="false">IF($A1833="","",IFERROR(F1833/E1833,0))</f>
        <v/>
      </c>
      <c r="H1833" s="19" t="str">
        <f aca="false">IF($A1833="","",C1833*Settings!$B$11)</f>
        <v/>
      </c>
      <c r="I1833" s="20" t="str">
        <f aca="false">IF($A1833="","",IF(N(H1833)=0,"",RANK(H1833,$H$5:$H$2004)))</f>
        <v/>
      </c>
      <c r="J1833" s="21" t="str">
        <f aca="false">IF($A1833="","",IF(B1833=0,"No COD orders",IF(B1833&lt;Settings!$B$8,"Too few orders",IF(D1833&gt;=Settings!$B$9,"Restrict COD or verify","Keep COD"))))</f>
        <v/>
      </c>
    </row>
    <row r="1834" customFormat="false" ht="15" hidden="false" customHeight="false" outlineLevel="0" collapsed="false">
      <c r="A1834" s="27"/>
      <c r="B1834" s="17" t="str">
        <f aca="false">IF($A1834="","",COUNTIFS(Orders!$C$2:$C$20001,$A1834,Orders!$E$2:$E$20001,"COD",Orders!$F$2:$F$20001,"Delivered")+COUNTIFS(Orders!$C$2:$C$20001,$A1834,Orders!$E$2:$E$20001,"COD",Orders!$F$2:$F$20001,"RTO"))</f>
        <v/>
      </c>
      <c r="C1834" s="17" t="str">
        <f aca="false">IF($A1834="","",COUNTIFS(Orders!$C$2:$C$20001,$A1834,Orders!$E$2:$E$20001,"COD",Orders!$F$2:$F$20001,"RTO"))</f>
        <v/>
      </c>
      <c r="D1834" s="18" t="str">
        <f aca="false">IF($A1834="","",IFERROR(C1834/B1834,0))</f>
        <v/>
      </c>
      <c r="E1834" s="17" t="str">
        <f aca="false">IF($A1834="","",COUNTIFS(Orders!$C$2:$C$20001,$A1834,Orders!$E$2:$E$20001,"Prepaid",Orders!$F$2:$F$20001,"Delivered")+COUNTIFS(Orders!$C$2:$C$20001,$A1834,Orders!$E$2:$E$20001,"Prepaid",Orders!$F$2:$F$20001,"RTO"))</f>
        <v/>
      </c>
      <c r="F1834" s="17" t="str">
        <f aca="false">IF($A1834="","",COUNTIFS(Orders!$C$2:$C$20001,$A1834,Orders!$E$2:$E$20001,"Prepaid",Orders!$F$2:$F$20001,"RTO"))</f>
        <v/>
      </c>
      <c r="G1834" s="18" t="str">
        <f aca="false">IF($A1834="","",IFERROR(F1834/E1834,0))</f>
        <v/>
      </c>
      <c r="H1834" s="19" t="str">
        <f aca="false">IF($A1834="","",C1834*Settings!$B$11)</f>
        <v/>
      </c>
      <c r="I1834" s="20" t="str">
        <f aca="false">IF($A1834="","",IF(N(H1834)=0,"",RANK(H1834,$H$5:$H$2004)))</f>
        <v/>
      </c>
      <c r="J1834" s="21" t="str">
        <f aca="false">IF($A1834="","",IF(B1834=0,"No COD orders",IF(B1834&lt;Settings!$B$8,"Too few orders",IF(D1834&gt;=Settings!$B$9,"Restrict COD or verify","Keep COD"))))</f>
        <v/>
      </c>
    </row>
    <row r="1835" customFormat="false" ht="15" hidden="false" customHeight="false" outlineLevel="0" collapsed="false">
      <c r="A1835" s="27"/>
      <c r="B1835" s="17" t="str">
        <f aca="false">IF($A1835="","",COUNTIFS(Orders!$C$2:$C$20001,$A1835,Orders!$E$2:$E$20001,"COD",Orders!$F$2:$F$20001,"Delivered")+COUNTIFS(Orders!$C$2:$C$20001,$A1835,Orders!$E$2:$E$20001,"COD",Orders!$F$2:$F$20001,"RTO"))</f>
        <v/>
      </c>
      <c r="C1835" s="17" t="str">
        <f aca="false">IF($A1835="","",COUNTIFS(Orders!$C$2:$C$20001,$A1835,Orders!$E$2:$E$20001,"COD",Orders!$F$2:$F$20001,"RTO"))</f>
        <v/>
      </c>
      <c r="D1835" s="18" t="str">
        <f aca="false">IF($A1835="","",IFERROR(C1835/B1835,0))</f>
        <v/>
      </c>
      <c r="E1835" s="17" t="str">
        <f aca="false">IF($A1835="","",COUNTIFS(Orders!$C$2:$C$20001,$A1835,Orders!$E$2:$E$20001,"Prepaid",Orders!$F$2:$F$20001,"Delivered")+COUNTIFS(Orders!$C$2:$C$20001,$A1835,Orders!$E$2:$E$20001,"Prepaid",Orders!$F$2:$F$20001,"RTO"))</f>
        <v/>
      </c>
      <c r="F1835" s="17" t="str">
        <f aca="false">IF($A1835="","",COUNTIFS(Orders!$C$2:$C$20001,$A1835,Orders!$E$2:$E$20001,"Prepaid",Orders!$F$2:$F$20001,"RTO"))</f>
        <v/>
      </c>
      <c r="G1835" s="18" t="str">
        <f aca="false">IF($A1835="","",IFERROR(F1835/E1835,0))</f>
        <v/>
      </c>
      <c r="H1835" s="19" t="str">
        <f aca="false">IF($A1835="","",C1835*Settings!$B$11)</f>
        <v/>
      </c>
      <c r="I1835" s="20" t="str">
        <f aca="false">IF($A1835="","",IF(N(H1835)=0,"",RANK(H1835,$H$5:$H$2004)))</f>
        <v/>
      </c>
      <c r="J1835" s="21" t="str">
        <f aca="false">IF($A1835="","",IF(B1835=0,"No COD orders",IF(B1835&lt;Settings!$B$8,"Too few orders",IF(D1835&gt;=Settings!$B$9,"Restrict COD or verify","Keep COD"))))</f>
        <v/>
      </c>
    </row>
    <row r="1836" customFormat="false" ht="15" hidden="false" customHeight="false" outlineLevel="0" collapsed="false">
      <c r="A1836" s="27"/>
      <c r="B1836" s="17" t="str">
        <f aca="false">IF($A1836="","",COUNTIFS(Orders!$C$2:$C$20001,$A1836,Orders!$E$2:$E$20001,"COD",Orders!$F$2:$F$20001,"Delivered")+COUNTIFS(Orders!$C$2:$C$20001,$A1836,Orders!$E$2:$E$20001,"COD",Orders!$F$2:$F$20001,"RTO"))</f>
        <v/>
      </c>
      <c r="C1836" s="17" t="str">
        <f aca="false">IF($A1836="","",COUNTIFS(Orders!$C$2:$C$20001,$A1836,Orders!$E$2:$E$20001,"COD",Orders!$F$2:$F$20001,"RTO"))</f>
        <v/>
      </c>
      <c r="D1836" s="18" t="str">
        <f aca="false">IF($A1836="","",IFERROR(C1836/B1836,0))</f>
        <v/>
      </c>
      <c r="E1836" s="17" t="str">
        <f aca="false">IF($A1836="","",COUNTIFS(Orders!$C$2:$C$20001,$A1836,Orders!$E$2:$E$20001,"Prepaid",Orders!$F$2:$F$20001,"Delivered")+COUNTIFS(Orders!$C$2:$C$20001,$A1836,Orders!$E$2:$E$20001,"Prepaid",Orders!$F$2:$F$20001,"RTO"))</f>
        <v/>
      </c>
      <c r="F1836" s="17" t="str">
        <f aca="false">IF($A1836="","",COUNTIFS(Orders!$C$2:$C$20001,$A1836,Orders!$E$2:$E$20001,"Prepaid",Orders!$F$2:$F$20001,"RTO"))</f>
        <v/>
      </c>
      <c r="G1836" s="18" t="str">
        <f aca="false">IF($A1836="","",IFERROR(F1836/E1836,0))</f>
        <v/>
      </c>
      <c r="H1836" s="19" t="str">
        <f aca="false">IF($A1836="","",C1836*Settings!$B$11)</f>
        <v/>
      </c>
      <c r="I1836" s="20" t="str">
        <f aca="false">IF($A1836="","",IF(N(H1836)=0,"",RANK(H1836,$H$5:$H$2004)))</f>
        <v/>
      </c>
      <c r="J1836" s="21" t="str">
        <f aca="false">IF($A1836="","",IF(B1836=0,"No COD orders",IF(B1836&lt;Settings!$B$8,"Too few orders",IF(D1836&gt;=Settings!$B$9,"Restrict COD or verify","Keep COD"))))</f>
        <v/>
      </c>
    </row>
    <row r="1837" customFormat="false" ht="15" hidden="false" customHeight="false" outlineLevel="0" collapsed="false">
      <c r="A1837" s="27"/>
      <c r="B1837" s="17" t="str">
        <f aca="false">IF($A1837="","",COUNTIFS(Orders!$C$2:$C$20001,$A1837,Orders!$E$2:$E$20001,"COD",Orders!$F$2:$F$20001,"Delivered")+COUNTIFS(Orders!$C$2:$C$20001,$A1837,Orders!$E$2:$E$20001,"COD",Orders!$F$2:$F$20001,"RTO"))</f>
        <v/>
      </c>
      <c r="C1837" s="17" t="str">
        <f aca="false">IF($A1837="","",COUNTIFS(Orders!$C$2:$C$20001,$A1837,Orders!$E$2:$E$20001,"COD",Orders!$F$2:$F$20001,"RTO"))</f>
        <v/>
      </c>
      <c r="D1837" s="18" t="str">
        <f aca="false">IF($A1837="","",IFERROR(C1837/B1837,0))</f>
        <v/>
      </c>
      <c r="E1837" s="17" t="str">
        <f aca="false">IF($A1837="","",COUNTIFS(Orders!$C$2:$C$20001,$A1837,Orders!$E$2:$E$20001,"Prepaid",Orders!$F$2:$F$20001,"Delivered")+COUNTIFS(Orders!$C$2:$C$20001,$A1837,Orders!$E$2:$E$20001,"Prepaid",Orders!$F$2:$F$20001,"RTO"))</f>
        <v/>
      </c>
      <c r="F1837" s="17" t="str">
        <f aca="false">IF($A1837="","",COUNTIFS(Orders!$C$2:$C$20001,$A1837,Orders!$E$2:$E$20001,"Prepaid",Orders!$F$2:$F$20001,"RTO"))</f>
        <v/>
      </c>
      <c r="G1837" s="18" t="str">
        <f aca="false">IF($A1837="","",IFERROR(F1837/E1837,0))</f>
        <v/>
      </c>
      <c r="H1837" s="19" t="str">
        <f aca="false">IF($A1837="","",C1837*Settings!$B$11)</f>
        <v/>
      </c>
      <c r="I1837" s="20" t="str">
        <f aca="false">IF($A1837="","",IF(N(H1837)=0,"",RANK(H1837,$H$5:$H$2004)))</f>
        <v/>
      </c>
      <c r="J1837" s="21" t="str">
        <f aca="false">IF($A1837="","",IF(B1837=0,"No COD orders",IF(B1837&lt;Settings!$B$8,"Too few orders",IF(D1837&gt;=Settings!$B$9,"Restrict COD or verify","Keep COD"))))</f>
        <v/>
      </c>
    </row>
    <row r="1838" customFormat="false" ht="15" hidden="false" customHeight="false" outlineLevel="0" collapsed="false">
      <c r="A1838" s="27"/>
      <c r="B1838" s="17" t="str">
        <f aca="false">IF($A1838="","",COUNTIFS(Orders!$C$2:$C$20001,$A1838,Orders!$E$2:$E$20001,"COD",Orders!$F$2:$F$20001,"Delivered")+COUNTIFS(Orders!$C$2:$C$20001,$A1838,Orders!$E$2:$E$20001,"COD",Orders!$F$2:$F$20001,"RTO"))</f>
        <v/>
      </c>
      <c r="C1838" s="17" t="str">
        <f aca="false">IF($A1838="","",COUNTIFS(Orders!$C$2:$C$20001,$A1838,Orders!$E$2:$E$20001,"COD",Orders!$F$2:$F$20001,"RTO"))</f>
        <v/>
      </c>
      <c r="D1838" s="18" t="str">
        <f aca="false">IF($A1838="","",IFERROR(C1838/B1838,0))</f>
        <v/>
      </c>
      <c r="E1838" s="17" t="str">
        <f aca="false">IF($A1838="","",COUNTIFS(Orders!$C$2:$C$20001,$A1838,Orders!$E$2:$E$20001,"Prepaid",Orders!$F$2:$F$20001,"Delivered")+COUNTIFS(Orders!$C$2:$C$20001,$A1838,Orders!$E$2:$E$20001,"Prepaid",Orders!$F$2:$F$20001,"RTO"))</f>
        <v/>
      </c>
      <c r="F1838" s="17" t="str">
        <f aca="false">IF($A1838="","",COUNTIFS(Orders!$C$2:$C$20001,$A1838,Orders!$E$2:$E$20001,"Prepaid",Orders!$F$2:$F$20001,"RTO"))</f>
        <v/>
      </c>
      <c r="G1838" s="18" t="str">
        <f aca="false">IF($A1838="","",IFERROR(F1838/E1838,0))</f>
        <v/>
      </c>
      <c r="H1838" s="19" t="str">
        <f aca="false">IF($A1838="","",C1838*Settings!$B$11)</f>
        <v/>
      </c>
      <c r="I1838" s="20" t="str">
        <f aca="false">IF($A1838="","",IF(N(H1838)=0,"",RANK(H1838,$H$5:$H$2004)))</f>
        <v/>
      </c>
      <c r="J1838" s="21" t="str">
        <f aca="false">IF($A1838="","",IF(B1838=0,"No COD orders",IF(B1838&lt;Settings!$B$8,"Too few orders",IF(D1838&gt;=Settings!$B$9,"Restrict COD or verify","Keep COD"))))</f>
        <v/>
      </c>
    </row>
    <row r="1839" customFormat="false" ht="15" hidden="false" customHeight="false" outlineLevel="0" collapsed="false">
      <c r="A1839" s="27"/>
      <c r="B1839" s="17" t="str">
        <f aca="false">IF($A1839="","",COUNTIFS(Orders!$C$2:$C$20001,$A1839,Orders!$E$2:$E$20001,"COD",Orders!$F$2:$F$20001,"Delivered")+COUNTIFS(Orders!$C$2:$C$20001,$A1839,Orders!$E$2:$E$20001,"COD",Orders!$F$2:$F$20001,"RTO"))</f>
        <v/>
      </c>
      <c r="C1839" s="17" t="str">
        <f aca="false">IF($A1839="","",COUNTIFS(Orders!$C$2:$C$20001,$A1839,Orders!$E$2:$E$20001,"COD",Orders!$F$2:$F$20001,"RTO"))</f>
        <v/>
      </c>
      <c r="D1839" s="18" t="str">
        <f aca="false">IF($A1839="","",IFERROR(C1839/B1839,0))</f>
        <v/>
      </c>
      <c r="E1839" s="17" t="str">
        <f aca="false">IF($A1839="","",COUNTIFS(Orders!$C$2:$C$20001,$A1839,Orders!$E$2:$E$20001,"Prepaid",Orders!$F$2:$F$20001,"Delivered")+COUNTIFS(Orders!$C$2:$C$20001,$A1839,Orders!$E$2:$E$20001,"Prepaid",Orders!$F$2:$F$20001,"RTO"))</f>
        <v/>
      </c>
      <c r="F1839" s="17" t="str">
        <f aca="false">IF($A1839="","",COUNTIFS(Orders!$C$2:$C$20001,$A1839,Orders!$E$2:$E$20001,"Prepaid",Orders!$F$2:$F$20001,"RTO"))</f>
        <v/>
      </c>
      <c r="G1839" s="18" t="str">
        <f aca="false">IF($A1839="","",IFERROR(F1839/E1839,0))</f>
        <v/>
      </c>
      <c r="H1839" s="19" t="str">
        <f aca="false">IF($A1839="","",C1839*Settings!$B$11)</f>
        <v/>
      </c>
      <c r="I1839" s="20" t="str">
        <f aca="false">IF($A1839="","",IF(N(H1839)=0,"",RANK(H1839,$H$5:$H$2004)))</f>
        <v/>
      </c>
      <c r="J1839" s="21" t="str">
        <f aca="false">IF($A1839="","",IF(B1839=0,"No COD orders",IF(B1839&lt;Settings!$B$8,"Too few orders",IF(D1839&gt;=Settings!$B$9,"Restrict COD or verify","Keep COD"))))</f>
        <v/>
      </c>
    </row>
    <row r="1840" customFormat="false" ht="15" hidden="false" customHeight="false" outlineLevel="0" collapsed="false">
      <c r="A1840" s="27"/>
      <c r="B1840" s="17" t="str">
        <f aca="false">IF($A1840="","",COUNTIFS(Orders!$C$2:$C$20001,$A1840,Orders!$E$2:$E$20001,"COD",Orders!$F$2:$F$20001,"Delivered")+COUNTIFS(Orders!$C$2:$C$20001,$A1840,Orders!$E$2:$E$20001,"COD",Orders!$F$2:$F$20001,"RTO"))</f>
        <v/>
      </c>
      <c r="C1840" s="17" t="str">
        <f aca="false">IF($A1840="","",COUNTIFS(Orders!$C$2:$C$20001,$A1840,Orders!$E$2:$E$20001,"COD",Orders!$F$2:$F$20001,"RTO"))</f>
        <v/>
      </c>
      <c r="D1840" s="18" t="str">
        <f aca="false">IF($A1840="","",IFERROR(C1840/B1840,0))</f>
        <v/>
      </c>
      <c r="E1840" s="17" t="str">
        <f aca="false">IF($A1840="","",COUNTIFS(Orders!$C$2:$C$20001,$A1840,Orders!$E$2:$E$20001,"Prepaid",Orders!$F$2:$F$20001,"Delivered")+COUNTIFS(Orders!$C$2:$C$20001,$A1840,Orders!$E$2:$E$20001,"Prepaid",Orders!$F$2:$F$20001,"RTO"))</f>
        <v/>
      </c>
      <c r="F1840" s="17" t="str">
        <f aca="false">IF($A1840="","",COUNTIFS(Orders!$C$2:$C$20001,$A1840,Orders!$E$2:$E$20001,"Prepaid",Orders!$F$2:$F$20001,"RTO"))</f>
        <v/>
      </c>
      <c r="G1840" s="18" t="str">
        <f aca="false">IF($A1840="","",IFERROR(F1840/E1840,0))</f>
        <v/>
      </c>
      <c r="H1840" s="19" t="str">
        <f aca="false">IF($A1840="","",C1840*Settings!$B$11)</f>
        <v/>
      </c>
      <c r="I1840" s="20" t="str">
        <f aca="false">IF($A1840="","",IF(N(H1840)=0,"",RANK(H1840,$H$5:$H$2004)))</f>
        <v/>
      </c>
      <c r="J1840" s="21" t="str">
        <f aca="false">IF($A1840="","",IF(B1840=0,"No COD orders",IF(B1840&lt;Settings!$B$8,"Too few orders",IF(D1840&gt;=Settings!$B$9,"Restrict COD or verify","Keep COD"))))</f>
        <v/>
      </c>
    </row>
    <row r="1841" customFormat="false" ht="15" hidden="false" customHeight="false" outlineLevel="0" collapsed="false">
      <c r="A1841" s="27"/>
      <c r="B1841" s="17" t="str">
        <f aca="false">IF($A1841="","",COUNTIFS(Orders!$C$2:$C$20001,$A1841,Orders!$E$2:$E$20001,"COD",Orders!$F$2:$F$20001,"Delivered")+COUNTIFS(Orders!$C$2:$C$20001,$A1841,Orders!$E$2:$E$20001,"COD",Orders!$F$2:$F$20001,"RTO"))</f>
        <v/>
      </c>
      <c r="C1841" s="17" t="str">
        <f aca="false">IF($A1841="","",COUNTIFS(Orders!$C$2:$C$20001,$A1841,Orders!$E$2:$E$20001,"COD",Orders!$F$2:$F$20001,"RTO"))</f>
        <v/>
      </c>
      <c r="D1841" s="18" t="str">
        <f aca="false">IF($A1841="","",IFERROR(C1841/B1841,0))</f>
        <v/>
      </c>
      <c r="E1841" s="17" t="str">
        <f aca="false">IF($A1841="","",COUNTIFS(Orders!$C$2:$C$20001,$A1841,Orders!$E$2:$E$20001,"Prepaid",Orders!$F$2:$F$20001,"Delivered")+COUNTIFS(Orders!$C$2:$C$20001,$A1841,Orders!$E$2:$E$20001,"Prepaid",Orders!$F$2:$F$20001,"RTO"))</f>
        <v/>
      </c>
      <c r="F1841" s="17" t="str">
        <f aca="false">IF($A1841="","",COUNTIFS(Orders!$C$2:$C$20001,$A1841,Orders!$E$2:$E$20001,"Prepaid",Orders!$F$2:$F$20001,"RTO"))</f>
        <v/>
      </c>
      <c r="G1841" s="18" t="str">
        <f aca="false">IF($A1841="","",IFERROR(F1841/E1841,0))</f>
        <v/>
      </c>
      <c r="H1841" s="19" t="str">
        <f aca="false">IF($A1841="","",C1841*Settings!$B$11)</f>
        <v/>
      </c>
      <c r="I1841" s="20" t="str">
        <f aca="false">IF($A1841="","",IF(N(H1841)=0,"",RANK(H1841,$H$5:$H$2004)))</f>
        <v/>
      </c>
      <c r="J1841" s="21" t="str">
        <f aca="false">IF($A1841="","",IF(B1841=0,"No COD orders",IF(B1841&lt;Settings!$B$8,"Too few orders",IF(D1841&gt;=Settings!$B$9,"Restrict COD or verify","Keep COD"))))</f>
        <v/>
      </c>
    </row>
    <row r="1842" customFormat="false" ht="15" hidden="false" customHeight="false" outlineLevel="0" collapsed="false">
      <c r="A1842" s="27"/>
      <c r="B1842" s="17" t="str">
        <f aca="false">IF($A1842="","",COUNTIFS(Orders!$C$2:$C$20001,$A1842,Orders!$E$2:$E$20001,"COD",Orders!$F$2:$F$20001,"Delivered")+COUNTIFS(Orders!$C$2:$C$20001,$A1842,Orders!$E$2:$E$20001,"COD",Orders!$F$2:$F$20001,"RTO"))</f>
        <v/>
      </c>
      <c r="C1842" s="17" t="str">
        <f aca="false">IF($A1842="","",COUNTIFS(Orders!$C$2:$C$20001,$A1842,Orders!$E$2:$E$20001,"COD",Orders!$F$2:$F$20001,"RTO"))</f>
        <v/>
      </c>
      <c r="D1842" s="18" t="str">
        <f aca="false">IF($A1842="","",IFERROR(C1842/B1842,0))</f>
        <v/>
      </c>
      <c r="E1842" s="17" t="str">
        <f aca="false">IF($A1842="","",COUNTIFS(Orders!$C$2:$C$20001,$A1842,Orders!$E$2:$E$20001,"Prepaid",Orders!$F$2:$F$20001,"Delivered")+COUNTIFS(Orders!$C$2:$C$20001,$A1842,Orders!$E$2:$E$20001,"Prepaid",Orders!$F$2:$F$20001,"RTO"))</f>
        <v/>
      </c>
      <c r="F1842" s="17" t="str">
        <f aca="false">IF($A1842="","",COUNTIFS(Orders!$C$2:$C$20001,$A1842,Orders!$E$2:$E$20001,"Prepaid",Orders!$F$2:$F$20001,"RTO"))</f>
        <v/>
      </c>
      <c r="G1842" s="18" t="str">
        <f aca="false">IF($A1842="","",IFERROR(F1842/E1842,0))</f>
        <v/>
      </c>
      <c r="H1842" s="19" t="str">
        <f aca="false">IF($A1842="","",C1842*Settings!$B$11)</f>
        <v/>
      </c>
      <c r="I1842" s="20" t="str">
        <f aca="false">IF($A1842="","",IF(N(H1842)=0,"",RANK(H1842,$H$5:$H$2004)))</f>
        <v/>
      </c>
      <c r="J1842" s="21" t="str">
        <f aca="false">IF($A1842="","",IF(B1842=0,"No COD orders",IF(B1842&lt;Settings!$B$8,"Too few orders",IF(D1842&gt;=Settings!$B$9,"Restrict COD or verify","Keep COD"))))</f>
        <v/>
      </c>
    </row>
    <row r="1843" customFormat="false" ht="15" hidden="false" customHeight="false" outlineLevel="0" collapsed="false">
      <c r="A1843" s="27"/>
      <c r="B1843" s="17" t="str">
        <f aca="false">IF($A1843="","",COUNTIFS(Orders!$C$2:$C$20001,$A1843,Orders!$E$2:$E$20001,"COD",Orders!$F$2:$F$20001,"Delivered")+COUNTIFS(Orders!$C$2:$C$20001,$A1843,Orders!$E$2:$E$20001,"COD",Orders!$F$2:$F$20001,"RTO"))</f>
        <v/>
      </c>
      <c r="C1843" s="17" t="str">
        <f aca="false">IF($A1843="","",COUNTIFS(Orders!$C$2:$C$20001,$A1843,Orders!$E$2:$E$20001,"COD",Orders!$F$2:$F$20001,"RTO"))</f>
        <v/>
      </c>
      <c r="D1843" s="18" t="str">
        <f aca="false">IF($A1843="","",IFERROR(C1843/B1843,0))</f>
        <v/>
      </c>
      <c r="E1843" s="17" t="str">
        <f aca="false">IF($A1843="","",COUNTIFS(Orders!$C$2:$C$20001,$A1843,Orders!$E$2:$E$20001,"Prepaid",Orders!$F$2:$F$20001,"Delivered")+COUNTIFS(Orders!$C$2:$C$20001,$A1843,Orders!$E$2:$E$20001,"Prepaid",Orders!$F$2:$F$20001,"RTO"))</f>
        <v/>
      </c>
      <c r="F1843" s="17" t="str">
        <f aca="false">IF($A1843="","",COUNTIFS(Orders!$C$2:$C$20001,$A1843,Orders!$E$2:$E$20001,"Prepaid",Orders!$F$2:$F$20001,"RTO"))</f>
        <v/>
      </c>
      <c r="G1843" s="18" t="str">
        <f aca="false">IF($A1843="","",IFERROR(F1843/E1843,0))</f>
        <v/>
      </c>
      <c r="H1843" s="19" t="str">
        <f aca="false">IF($A1843="","",C1843*Settings!$B$11)</f>
        <v/>
      </c>
      <c r="I1843" s="20" t="str">
        <f aca="false">IF($A1843="","",IF(N(H1843)=0,"",RANK(H1843,$H$5:$H$2004)))</f>
        <v/>
      </c>
      <c r="J1843" s="21" t="str">
        <f aca="false">IF($A1843="","",IF(B1843=0,"No COD orders",IF(B1843&lt;Settings!$B$8,"Too few orders",IF(D1843&gt;=Settings!$B$9,"Restrict COD or verify","Keep COD"))))</f>
        <v/>
      </c>
    </row>
    <row r="1844" customFormat="false" ht="15" hidden="false" customHeight="false" outlineLevel="0" collapsed="false">
      <c r="A1844" s="27"/>
      <c r="B1844" s="17" t="str">
        <f aca="false">IF($A1844="","",COUNTIFS(Orders!$C$2:$C$20001,$A1844,Orders!$E$2:$E$20001,"COD",Orders!$F$2:$F$20001,"Delivered")+COUNTIFS(Orders!$C$2:$C$20001,$A1844,Orders!$E$2:$E$20001,"COD",Orders!$F$2:$F$20001,"RTO"))</f>
        <v/>
      </c>
      <c r="C1844" s="17" t="str">
        <f aca="false">IF($A1844="","",COUNTIFS(Orders!$C$2:$C$20001,$A1844,Orders!$E$2:$E$20001,"COD",Orders!$F$2:$F$20001,"RTO"))</f>
        <v/>
      </c>
      <c r="D1844" s="18" t="str">
        <f aca="false">IF($A1844="","",IFERROR(C1844/B1844,0))</f>
        <v/>
      </c>
      <c r="E1844" s="17" t="str">
        <f aca="false">IF($A1844="","",COUNTIFS(Orders!$C$2:$C$20001,$A1844,Orders!$E$2:$E$20001,"Prepaid",Orders!$F$2:$F$20001,"Delivered")+COUNTIFS(Orders!$C$2:$C$20001,$A1844,Orders!$E$2:$E$20001,"Prepaid",Orders!$F$2:$F$20001,"RTO"))</f>
        <v/>
      </c>
      <c r="F1844" s="17" t="str">
        <f aca="false">IF($A1844="","",COUNTIFS(Orders!$C$2:$C$20001,$A1844,Orders!$E$2:$E$20001,"Prepaid",Orders!$F$2:$F$20001,"RTO"))</f>
        <v/>
      </c>
      <c r="G1844" s="18" t="str">
        <f aca="false">IF($A1844="","",IFERROR(F1844/E1844,0))</f>
        <v/>
      </c>
      <c r="H1844" s="19" t="str">
        <f aca="false">IF($A1844="","",C1844*Settings!$B$11)</f>
        <v/>
      </c>
      <c r="I1844" s="20" t="str">
        <f aca="false">IF($A1844="","",IF(N(H1844)=0,"",RANK(H1844,$H$5:$H$2004)))</f>
        <v/>
      </c>
      <c r="J1844" s="21" t="str">
        <f aca="false">IF($A1844="","",IF(B1844=0,"No COD orders",IF(B1844&lt;Settings!$B$8,"Too few orders",IF(D1844&gt;=Settings!$B$9,"Restrict COD or verify","Keep COD"))))</f>
        <v/>
      </c>
    </row>
    <row r="1845" customFormat="false" ht="15" hidden="false" customHeight="false" outlineLevel="0" collapsed="false">
      <c r="A1845" s="27"/>
      <c r="B1845" s="17" t="str">
        <f aca="false">IF($A1845="","",COUNTIFS(Orders!$C$2:$C$20001,$A1845,Orders!$E$2:$E$20001,"COD",Orders!$F$2:$F$20001,"Delivered")+COUNTIFS(Orders!$C$2:$C$20001,$A1845,Orders!$E$2:$E$20001,"COD",Orders!$F$2:$F$20001,"RTO"))</f>
        <v/>
      </c>
      <c r="C1845" s="17" t="str">
        <f aca="false">IF($A1845="","",COUNTIFS(Orders!$C$2:$C$20001,$A1845,Orders!$E$2:$E$20001,"COD",Orders!$F$2:$F$20001,"RTO"))</f>
        <v/>
      </c>
      <c r="D1845" s="18" t="str">
        <f aca="false">IF($A1845="","",IFERROR(C1845/B1845,0))</f>
        <v/>
      </c>
      <c r="E1845" s="17" t="str">
        <f aca="false">IF($A1845="","",COUNTIFS(Orders!$C$2:$C$20001,$A1845,Orders!$E$2:$E$20001,"Prepaid",Orders!$F$2:$F$20001,"Delivered")+COUNTIFS(Orders!$C$2:$C$20001,$A1845,Orders!$E$2:$E$20001,"Prepaid",Orders!$F$2:$F$20001,"RTO"))</f>
        <v/>
      </c>
      <c r="F1845" s="17" t="str">
        <f aca="false">IF($A1845="","",COUNTIFS(Orders!$C$2:$C$20001,$A1845,Orders!$E$2:$E$20001,"Prepaid",Orders!$F$2:$F$20001,"RTO"))</f>
        <v/>
      </c>
      <c r="G1845" s="18" t="str">
        <f aca="false">IF($A1845="","",IFERROR(F1845/E1845,0))</f>
        <v/>
      </c>
      <c r="H1845" s="19" t="str">
        <f aca="false">IF($A1845="","",C1845*Settings!$B$11)</f>
        <v/>
      </c>
      <c r="I1845" s="20" t="str">
        <f aca="false">IF($A1845="","",IF(N(H1845)=0,"",RANK(H1845,$H$5:$H$2004)))</f>
        <v/>
      </c>
      <c r="J1845" s="21" t="str">
        <f aca="false">IF($A1845="","",IF(B1845=0,"No COD orders",IF(B1845&lt;Settings!$B$8,"Too few orders",IF(D1845&gt;=Settings!$B$9,"Restrict COD or verify","Keep COD"))))</f>
        <v/>
      </c>
    </row>
    <row r="1846" customFormat="false" ht="15" hidden="false" customHeight="false" outlineLevel="0" collapsed="false">
      <c r="A1846" s="27"/>
      <c r="B1846" s="17" t="str">
        <f aca="false">IF($A1846="","",COUNTIFS(Orders!$C$2:$C$20001,$A1846,Orders!$E$2:$E$20001,"COD",Orders!$F$2:$F$20001,"Delivered")+COUNTIFS(Orders!$C$2:$C$20001,$A1846,Orders!$E$2:$E$20001,"COD",Orders!$F$2:$F$20001,"RTO"))</f>
        <v/>
      </c>
      <c r="C1846" s="17" t="str">
        <f aca="false">IF($A1846="","",COUNTIFS(Orders!$C$2:$C$20001,$A1846,Orders!$E$2:$E$20001,"COD",Orders!$F$2:$F$20001,"RTO"))</f>
        <v/>
      </c>
      <c r="D1846" s="18" t="str">
        <f aca="false">IF($A1846="","",IFERROR(C1846/B1846,0))</f>
        <v/>
      </c>
      <c r="E1846" s="17" t="str">
        <f aca="false">IF($A1846="","",COUNTIFS(Orders!$C$2:$C$20001,$A1846,Orders!$E$2:$E$20001,"Prepaid",Orders!$F$2:$F$20001,"Delivered")+COUNTIFS(Orders!$C$2:$C$20001,$A1846,Orders!$E$2:$E$20001,"Prepaid",Orders!$F$2:$F$20001,"RTO"))</f>
        <v/>
      </c>
      <c r="F1846" s="17" t="str">
        <f aca="false">IF($A1846="","",COUNTIFS(Orders!$C$2:$C$20001,$A1846,Orders!$E$2:$E$20001,"Prepaid",Orders!$F$2:$F$20001,"RTO"))</f>
        <v/>
      </c>
      <c r="G1846" s="18" t="str">
        <f aca="false">IF($A1846="","",IFERROR(F1846/E1846,0))</f>
        <v/>
      </c>
      <c r="H1846" s="19" t="str">
        <f aca="false">IF($A1846="","",C1846*Settings!$B$11)</f>
        <v/>
      </c>
      <c r="I1846" s="20" t="str">
        <f aca="false">IF($A1846="","",IF(N(H1846)=0,"",RANK(H1846,$H$5:$H$2004)))</f>
        <v/>
      </c>
      <c r="J1846" s="21" t="str">
        <f aca="false">IF($A1846="","",IF(B1846=0,"No COD orders",IF(B1846&lt;Settings!$B$8,"Too few orders",IF(D1846&gt;=Settings!$B$9,"Restrict COD or verify","Keep COD"))))</f>
        <v/>
      </c>
    </row>
    <row r="1847" customFormat="false" ht="15" hidden="false" customHeight="false" outlineLevel="0" collapsed="false">
      <c r="A1847" s="27"/>
      <c r="B1847" s="17" t="str">
        <f aca="false">IF($A1847="","",COUNTIFS(Orders!$C$2:$C$20001,$A1847,Orders!$E$2:$E$20001,"COD",Orders!$F$2:$F$20001,"Delivered")+COUNTIFS(Orders!$C$2:$C$20001,$A1847,Orders!$E$2:$E$20001,"COD",Orders!$F$2:$F$20001,"RTO"))</f>
        <v/>
      </c>
      <c r="C1847" s="17" t="str">
        <f aca="false">IF($A1847="","",COUNTIFS(Orders!$C$2:$C$20001,$A1847,Orders!$E$2:$E$20001,"COD",Orders!$F$2:$F$20001,"RTO"))</f>
        <v/>
      </c>
      <c r="D1847" s="18" t="str">
        <f aca="false">IF($A1847="","",IFERROR(C1847/B1847,0))</f>
        <v/>
      </c>
      <c r="E1847" s="17" t="str">
        <f aca="false">IF($A1847="","",COUNTIFS(Orders!$C$2:$C$20001,$A1847,Orders!$E$2:$E$20001,"Prepaid",Orders!$F$2:$F$20001,"Delivered")+COUNTIFS(Orders!$C$2:$C$20001,$A1847,Orders!$E$2:$E$20001,"Prepaid",Orders!$F$2:$F$20001,"RTO"))</f>
        <v/>
      </c>
      <c r="F1847" s="17" t="str">
        <f aca="false">IF($A1847="","",COUNTIFS(Orders!$C$2:$C$20001,$A1847,Orders!$E$2:$E$20001,"Prepaid",Orders!$F$2:$F$20001,"RTO"))</f>
        <v/>
      </c>
      <c r="G1847" s="18" t="str">
        <f aca="false">IF($A1847="","",IFERROR(F1847/E1847,0))</f>
        <v/>
      </c>
      <c r="H1847" s="19" t="str">
        <f aca="false">IF($A1847="","",C1847*Settings!$B$11)</f>
        <v/>
      </c>
      <c r="I1847" s="20" t="str">
        <f aca="false">IF($A1847="","",IF(N(H1847)=0,"",RANK(H1847,$H$5:$H$2004)))</f>
        <v/>
      </c>
      <c r="J1847" s="21" t="str">
        <f aca="false">IF($A1847="","",IF(B1847=0,"No COD orders",IF(B1847&lt;Settings!$B$8,"Too few orders",IF(D1847&gt;=Settings!$B$9,"Restrict COD or verify","Keep COD"))))</f>
        <v/>
      </c>
    </row>
    <row r="1848" customFormat="false" ht="15" hidden="false" customHeight="false" outlineLevel="0" collapsed="false">
      <c r="A1848" s="27"/>
      <c r="B1848" s="17" t="str">
        <f aca="false">IF($A1848="","",COUNTIFS(Orders!$C$2:$C$20001,$A1848,Orders!$E$2:$E$20001,"COD",Orders!$F$2:$F$20001,"Delivered")+COUNTIFS(Orders!$C$2:$C$20001,$A1848,Orders!$E$2:$E$20001,"COD",Orders!$F$2:$F$20001,"RTO"))</f>
        <v/>
      </c>
      <c r="C1848" s="17" t="str">
        <f aca="false">IF($A1848="","",COUNTIFS(Orders!$C$2:$C$20001,$A1848,Orders!$E$2:$E$20001,"COD",Orders!$F$2:$F$20001,"RTO"))</f>
        <v/>
      </c>
      <c r="D1848" s="18" t="str">
        <f aca="false">IF($A1848="","",IFERROR(C1848/B1848,0))</f>
        <v/>
      </c>
      <c r="E1848" s="17" t="str">
        <f aca="false">IF($A1848="","",COUNTIFS(Orders!$C$2:$C$20001,$A1848,Orders!$E$2:$E$20001,"Prepaid",Orders!$F$2:$F$20001,"Delivered")+COUNTIFS(Orders!$C$2:$C$20001,$A1848,Orders!$E$2:$E$20001,"Prepaid",Orders!$F$2:$F$20001,"RTO"))</f>
        <v/>
      </c>
      <c r="F1848" s="17" t="str">
        <f aca="false">IF($A1848="","",COUNTIFS(Orders!$C$2:$C$20001,$A1848,Orders!$E$2:$E$20001,"Prepaid",Orders!$F$2:$F$20001,"RTO"))</f>
        <v/>
      </c>
      <c r="G1848" s="18" t="str">
        <f aca="false">IF($A1848="","",IFERROR(F1848/E1848,0))</f>
        <v/>
      </c>
      <c r="H1848" s="19" t="str">
        <f aca="false">IF($A1848="","",C1848*Settings!$B$11)</f>
        <v/>
      </c>
      <c r="I1848" s="20" t="str">
        <f aca="false">IF($A1848="","",IF(N(H1848)=0,"",RANK(H1848,$H$5:$H$2004)))</f>
        <v/>
      </c>
      <c r="J1848" s="21" t="str">
        <f aca="false">IF($A1848="","",IF(B1848=0,"No COD orders",IF(B1848&lt;Settings!$B$8,"Too few orders",IF(D1848&gt;=Settings!$B$9,"Restrict COD or verify","Keep COD"))))</f>
        <v/>
      </c>
    </row>
    <row r="1849" customFormat="false" ht="15" hidden="false" customHeight="false" outlineLevel="0" collapsed="false">
      <c r="A1849" s="27"/>
      <c r="B1849" s="17" t="str">
        <f aca="false">IF($A1849="","",COUNTIFS(Orders!$C$2:$C$20001,$A1849,Orders!$E$2:$E$20001,"COD",Orders!$F$2:$F$20001,"Delivered")+COUNTIFS(Orders!$C$2:$C$20001,$A1849,Orders!$E$2:$E$20001,"COD",Orders!$F$2:$F$20001,"RTO"))</f>
        <v/>
      </c>
      <c r="C1849" s="17" t="str">
        <f aca="false">IF($A1849="","",COUNTIFS(Orders!$C$2:$C$20001,$A1849,Orders!$E$2:$E$20001,"COD",Orders!$F$2:$F$20001,"RTO"))</f>
        <v/>
      </c>
      <c r="D1849" s="18" t="str">
        <f aca="false">IF($A1849="","",IFERROR(C1849/B1849,0))</f>
        <v/>
      </c>
      <c r="E1849" s="17" t="str">
        <f aca="false">IF($A1849="","",COUNTIFS(Orders!$C$2:$C$20001,$A1849,Orders!$E$2:$E$20001,"Prepaid",Orders!$F$2:$F$20001,"Delivered")+COUNTIFS(Orders!$C$2:$C$20001,$A1849,Orders!$E$2:$E$20001,"Prepaid",Orders!$F$2:$F$20001,"RTO"))</f>
        <v/>
      </c>
      <c r="F1849" s="17" t="str">
        <f aca="false">IF($A1849="","",COUNTIFS(Orders!$C$2:$C$20001,$A1849,Orders!$E$2:$E$20001,"Prepaid",Orders!$F$2:$F$20001,"RTO"))</f>
        <v/>
      </c>
      <c r="G1849" s="18" t="str">
        <f aca="false">IF($A1849="","",IFERROR(F1849/E1849,0))</f>
        <v/>
      </c>
      <c r="H1849" s="19" t="str">
        <f aca="false">IF($A1849="","",C1849*Settings!$B$11)</f>
        <v/>
      </c>
      <c r="I1849" s="20" t="str">
        <f aca="false">IF($A1849="","",IF(N(H1849)=0,"",RANK(H1849,$H$5:$H$2004)))</f>
        <v/>
      </c>
      <c r="J1849" s="21" t="str">
        <f aca="false">IF($A1849="","",IF(B1849=0,"No COD orders",IF(B1849&lt;Settings!$B$8,"Too few orders",IF(D1849&gt;=Settings!$B$9,"Restrict COD or verify","Keep COD"))))</f>
        <v/>
      </c>
    </row>
    <row r="1850" customFormat="false" ht="15" hidden="false" customHeight="false" outlineLevel="0" collapsed="false">
      <c r="A1850" s="27"/>
      <c r="B1850" s="17" t="str">
        <f aca="false">IF($A1850="","",COUNTIFS(Orders!$C$2:$C$20001,$A1850,Orders!$E$2:$E$20001,"COD",Orders!$F$2:$F$20001,"Delivered")+COUNTIFS(Orders!$C$2:$C$20001,$A1850,Orders!$E$2:$E$20001,"COD",Orders!$F$2:$F$20001,"RTO"))</f>
        <v/>
      </c>
      <c r="C1850" s="17" t="str">
        <f aca="false">IF($A1850="","",COUNTIFS(Orders!$C$2:$C$20001,$A1850,Orders!$E$2:$E$20001,"COD",Orders!$F$2:$F$20001,"RTO"))</f>
        <v/>
      </c>
      <c r="D1850" s="18" t="str">
        <f aca="false">IF($A1850="","",IFERROR(C1850/B1850,0))</f>
        <v/>
      </c>
      <c r="E1850" s="17" t="str">
        <f aca="false">IF($A1850="","",COUNTIFS(Orders!$C$2:$C$20001,$A1850,Orders!$E$2:$E$20001,"Prepaid",Orders!$F$2:$F$20001,"Delivered")+COUNTIFS(Orders!$C$2:$C$20001,$A1850,Orders!$E$2:$E$20001,"Prepaid",Orders!$F$2:$F$20001,"RTO"))</f>
        <v/>
      </c>
      <c r="F1850" s="17" t="str">
        <f aca="false">IF($A1850="","",COUNTIFS(Orders!$C$2:$C$20001,$A1850,Orders!$E$2:$E$20001,"Prepaid",Orders!$F$2:$F$20001,"RTO"))</f>
        <v/>
      </c>
      <c r="G1850" s="18" t="str">
        <f aca="false">IF($A1850="","",IFERROR(F1850/E1850,0))</f>
        <v/>
      </c>
      <c r="H1850" s="19" t="str">
        <f aca="false">IF($A1850="","",C1850*Settings!$B$11)</f>
        <v/>
      </c>
      <c r="I1850" s="20" t="str">
        <f aca="false">IF($A1850="","",IF(N(H1850)=0,"",RANK(H1850,$H$5:$H$2004)))</f>
        <v/>
      </c>
      <c r="J1850" s="21" t="str">
        <f aca="false">IF($A1850="","",IF(B1850=0,"No COD orders",IF(B1850&lt;Settings!$B$8,"Too few orders",IF(D1850&gt;=Settings!$B$9,"Restrict COD or verify","Keep COD"))))</f>
        <v/>
      </c>
    </row>
    <row r="1851" customFormat="false" ht="15" hidden="false" customHeight="false" outlineLevel="0" collapsed="false">
      <c r="A1851" s="27"/>
      <c r="B1851" s="17" t="str">
        <f aca="false">IF($A1851="","",COUNTIFS(Orders!$C$2:$C$20001,$A1851,Orders!$E$2:$E$20001,"COD",Orders!$F$2:$F$20001,"Delivered")+COUNTIFS(Orders!$C$2:$C$20001,$A1851,Orders!$E$2:$E$20001,"COD",Orders!$F$2:$F$20001,"RTO"))</f>
        <v/>
      </c>
      <c r="C1851" s="17" t="str">
        <f aca="false">IF($A1851="","",COUNTIFS(Orders!$C$2:$C$20001,$A1851,Orders!$E$2:$E$20001,"COD",Orders!$F$2:$F$20001,"RTO"))</f>
        <v/>
      </c>
      <c r="D1851" s="18" t="str">
        <f aca="false">IF($A1851="","",IFERROR(C1851/B1851,0))</f>
        <v/>
      </c>
      <c r="E1851" s="17" t="str">
        <f aca="false">IF($A1851="","",COUNTIFS(Orders!$C$2:$C$20001,$A1851,Orders!$E$2:$E$20001,"Prepaid",Orders!$F$2:$F$20001,"Delivered")+COUNTIFS(Orders!$C$2:$C$20001,$A1851,Orders!$E$2:$E$20001,"Prepaid",Orders!$F$2:$F$20001,"RTO"))</f>
        <v/>
      </c>
      <c r="F1851" s="17" t="str">
        <f aca="false">IF($A1851="","",COUNTIFS(Orders!$C$2:$C$20001,$A1851,Orders!$E$2:$E$20001,"Prepaid",Orders!$F$2:$F$20001,"RTO"))</f>
        <v/>
      </c>
      <c r="G1851" s="18" t="str">
        <f aca="false">IF($A1851="","",IFERROR(F1851/E1851,0))</f>
        <v/>
      </c>
      <c r="H1851" s="19" t="str">
        <f aca="false">IF($A1851="","",C1851*Settings!$B$11)</f>
        <v/>
      </c>
      <c r="I1851" s="20" t="str">
        <f aca="false">IF($A1851="","",IF(N(H1851)=0,"",RANK(H1851,$H$5:$H$2004)))</f>
        <v/>
      </c>
      <c r="J1851" s="21" t="str">
        <f aca="false">IF($A1851="","",IF(B1851=0,"No COD orders",IF(B1851&lt;Settings!$B$8,"Too few orders",IF(D1851&gt;=Settings!$B$9,"Restrict COD or verify","Keep COD"))))</f>
        <v/>
      </c>
    </row>
    <row r="1852" customFormat="false" ht="15" hidden="false" customHeight="false" outlineLevel="0" collapsed="false">
      <c r="A1852" s="27"/>
      <c r="B1852" s="17" t="str">
        <f aca="false">IF($A1852="","",COUNTIFS(Orders!$C$2:$C$20001,$A1852,Orders!$E$2:$E$20001,"COD",Orders!$F$2:$F$20001,"Delivered")+COUNTIFS(Orders!$C$2:$C$20001,$A1852,Orders!$E$2:$E$20001,"COD",Orders!$F$2:$F$20001,"RTO"))</f>
        <v/>
      </c>
      <c r="C1852" s="17" t="str">
        <f aca="false">IF($A1852="","",COUNTIFS(Orders!$C$2:$C$20001,$A1852,Orders!$E$2:$E$20001,"COD",Orders!$F$2:$F$20001,"RTO"))</f>
        <v/>
      </c>
      <c r="D1852" s="18" t="str">
        <f aca="false">IF($A1852="","",IFERROR(C1852/B1852,0))</f>
        <v/>
      </c>
      <c r="E1852" s="17" t="str">
        <f aca="false">IF($A1852="","",COUNTIFS(Orders!$C$2:$C$20001,$A1852,Orders!$E$2:$E$20001,"Prepaid",Orders!$F$2:$F$20001,"Delivered")+COUNTIFS(Orders!$C$2:$C$20001,$A1852,Orders!$E$2:$E$20001,"Prepaid",Orders!$F$2:$F$20001,"RTO"))</f>
        <v/>
      </c>
      <c r="F1852" s="17" t="str">
        <f aca="false">IF($A1852="","",COUNTIFS(Orders!$C$2:$C$20001,$A1852,Orders!$E$2:$E$20001,"Prepaid",Orders!$F$2:$F$20001,"RTO"))</f>
        <v/>
      </c>
      <c r="G1852" s="18" t="str">
        <f aca="false">IF($A1852="","",IFERROR(F1852/E1852,0))</f>
        <v/>
      </c>
      <c r="H1852" s="19" t="str">
        <f aca="false">IF($A1852="","",C1852*Settings!$B$11)</f>
        <v/>
      </c>
      <c r="I1852" s="20" t="str">
        <f aca="false">IF($A1852="","",IF(N(H1852)=0,"",RANK(H1852,$H$5:$H$2004)))</f>
        <v/>
      </c>
      <c r="J1852" s="21" t="str">
        <f aca="false">IF($A1852="","",IF(B1852=0,"No COD orders",IF(B1852&lt;Settings!$B$8,"Too few orders",IF(D1852&gt;=Settings!$B$9,"Restrict COD or verify","Keep COD"))))</f>
        <v/>
      </c>
    </row>
    <row r="1853" customFormat="false" ht="15" hidden="false" customHeight="false" outlineLevel="0" collapsed="false">
      <c r="A1853" s="27"/>
      <c r="B1853" s="17" t="str">
        <f aca="false">IF($A1853="","",COUNTIFS(Orders!$C$2:$C$20001,$A1853,Orders!$E$2:$E$20001,"COD",Orders!$F$2:$F$20001,"Delivered")+COUNTIFS(Orders!$C$2:$C$20001,$A1853,Orders!$E$2:$E$20001,"COD",Orders!$F$2:$F$20001,"RTO"))</f>
        <v/>
      </c>
      <c r="C1853" s="17" t="str">
        <f aca="false">IF($A1853="","",COUNTIFS(Orders!$C$2:$C$20001,$A1853,Orders!$E$2:$E$20001,"COD",Orders!$F$2:$F$20001,"RTO"))</f>
        <v/>
      </c>
      <c r="D1853" s="18" t="str">
        <f aca="false">IF($A1853="","",IFERROR(C1853/B1853,0))</f>
        <v/>
      </c>
      <c r="E1853" s="17" t="str">
        <f aca="false">IF($A1853="","",COUNTIFS(Orders!$C$2:$C$20001,$A1853,Orders!$E$2:$E$20001,"Prepaid",Orders!$F$2:$F$20001,"Delivered")+COUNTIFS(Orders!$C$2:$C$20001,$A1853,Orders!$E$2:$E$20001,"Prepaid",Orders!$F$2:$F$20001,"RTO"))</f>
        <v/>
      </c>
      <c r="F1853" s="17" t="str">
        <f aca="false">IF($A1853="","",COUNTIFS(Orders!$C$2:$C$20001,$A1853,Orders!$E$2:$E$20001,"Prepaid",Orders!$F$2:$F$20001,"RTO"))</f>
        <v/>
      </c>
      <c r="G1853" s="18" t="str">
        <f aca="false">IF($A1853="","",IFERROR(F1853/E1853,0))</f>
        <v/>
      </c>
      <c r="H1853" s="19" t="str">
        <f aca="false">IF($A1853="","",C1853*Settings!$B$11)</f>
        <v/>
      </c>
      <c r="I1853" s="20" t="str">
        <f aca="false">IF($A1853="","",IF(N(H1853)=0,"",RANK(H1853,$H$5:$H$2004)))</f>
        <v/>
      </c>
      <c r="J1853" s="21" t="str">
        <f aca="false">IF($A1853="","",IF(B1853=0,"No COD orders",IF(B1853&lt;Settings!$B$8,"Too few orders",IF(D1853&gt;=Settings!$B$9,"Restrict COD or verify","Keep COD"))))</f>
        <v/>
      </c>
    </row>
    <row r="1854" customFormat="false" ht="15" hidden="false" customHeight="false" outlineLevel="0" collapsed="false">
      <c r="A1854" s="27"/>
      <c r="B1854" s="17" t="str">
        <f aca="false">IF($A1854="","",COUNTIFS(Orders!$C$2:$C$20001,$A1854,Orders!$E$2:$E$20001,"COD",Orders!$F$2:$F$20001,"Delivered")+COUNTIFS(Orders!$C$2:$C$20001,$A1854,Orders!$E$2:$E$20001,"COD",Orders!$F$2:$F$20001,"RTO"))</f>
        <v/>
      </c>
      <c r="C1854" s="17" t="str">
        <f aca="false">IF($A1854="","",COUNTIFS(Orders!$C$2:$C$20001,$A1854,Orders!$E$2:$E$20001,"COD",Orders!$F$2:$F$20001,"RTO"))</f>
        <v/>
      </c>
      <c r="D1854" s="18" t="str">
        <f aca="false">IF($A1854="","",IFERROR(C1854/B1854,0))</f>
        <v/>
      </c>
      <c r="E1854" s="17" t="str">
        <f aca="false">IF($A1854="","",COUNTIFS(Orders!$C$2:$C$20001,$A1854,Orders!$E$2:$E$20001,"Prepaid",Orders!$F$2:$F$20001,"Delivered")+COUNTIFS(Orders!$C$2:$C$20001,$A1854,Orders!$E$2:$E$20001,"Prepaid",Orders!$F$2:$F$20001,"RTO"))</f>
        <v/>
      </c>
      <c r="F1854" s="17" t="str">
        <f aca="false">IF($A1854="","",COUNTIFS(Orders!$C$2:$C$20001,$A1854,Orders!$E$2:$E$20001,"Prepaid",Orders!$F$2:$F$20001,"RTO"))</f>
        <v/>
      </c>
      <c r="G1854" s="18" t="str">
        <f aca="false">IF($A1854="","",IFERROR(F1854/E1854,0))</f>
        <v/>
      </c>
      <c r="H1854" s="19" t="str">
        <f aca="false">IF($A1854="","",C1854*Settings!$B$11)</f>
        <v/>
      </c>
      <c r="I1854" s="20" t="str">
        <f aca="false">IF($A1854="","",IF(N(H1854)=0,"",RANK(H1854,$H$5:$H$2004)))</f>
        <v/>
      </c>
      <c r="J1854" s="21" t="str">
        <f aca="false">IF($A1854="","",IF(B1854=0,"No COD orders",IF(B1854&lt;Settings!$B$8,"Too few orders",IF(D1854&gt;=Settings!$B$9,"Restrict COD or verify","Keep COD"))))</f>
        <v/>
      </c>
    </row>
    <row r="1855" customFormat="false" ht="15" hidden="false" customHeight="false" outlineLevel="0" collapsed="false">
      <c r="A1855" s="27"/>
      <c r="B1855" s="17" t="str">
        <f aca="false">IF($A1855="","",COUNTIFS(Orders!$C$2:$C$20001,$A1855,Orders!$E$2:$E$20001,"COD",Orders!$F$2:$F$20001,"Delivered")+COUNTIFS(Orders!$C$2:$C$20001,$A1855,Orders!$E$2:$E$20001,"COD",Orders!$F$2:$F$20001,"RTO"))</f>
        <v/>
      </c>
      <c r="C1855" s="17" t="str">
        <f aca="false">IF($A1855="","",COUNTIFS(Orders!$C$2:$C$20001,$A1855,Orders!$E$2:$E$20001,"COD",Orders!$F$2:$F$20001,"RTO"))</f>
        <v/>
      </c>
      <c r="D1855" s="18" t="str">
        <f aca="false">IF($A1855="","",IFERROR(C1855/B1855,0))</f>
        <v/>
      </c>
      <c r="E1855" s="17" t="str">
        <f aca="false">IF($A1855="","",COUNTIFS(Orders!$C$2:$C$20001,$A1855,Orders!$E$2:$E$20001,"Prepaid",Orders!$F$2:$F$20001,"Delivered")+COUNTIFS(Orders!$C$2:$C$20001,$A1855,Orders!$E$2:$E$20001,"Prepaid",Orders!$F$2:$F$20001,"RTO"))</f>
        <v/>
      </c>
      <c r="F1855" s="17" t="str">
        <f aca="false">IF($A1855="","",COUNTIFS(Orders!$C$2:$C$20001,$A1855,Orders!$E$2:$E$20001,"Prepaid",Orders!$F$2:$F$20001,"RTO"))</f>
        <v/>
      </c>
      <c r="G1855" s="18" t="str">
        <f aca="false">IF($A1855="","",IFERROR(F1855/E1855,0))</f>
        <v/>
      </c>
      <c r="H1855" s="19" t="str">
        <f aca="false">IF($A1855="","",C1855*Settings!$B$11)</f>
        <v/>
      </c>
      <c r="I1855" s="20" t="str">
        <f aca="false">IF($A1855="","",IF(N(H1855)=0,"",RANK(H1855,$H$5:$H$2004)))</f>
        <v/>
      </c>
      <c r="J1855" s="21" t="str">
        <f aca="false">IF($A1855="","",IF(B1855=0,"No COD orders",IF(B1855&lt;Settings!$B$8,"Too few orders",IF(D1855&gt;=Settings!$B$9,"Restrict COD or verify","Keep COD"))))</f>
        <v/>
      </c>
    </row>
    <row r="1856" customFormat="false" ht="15" hidden="false" customHeight="false" outlineLevel="0" collapsed="false">
      <c r="A1856" s="27"/>
      <c r="B1856" s="17" t="str">
        <f aca="false">IF($A1856="","",COUNTIFS(Orders!$C$2:$C$20001,$A1856,Orders!$E$2:$E$20001,"COD",Orders!$F$2:$F$20001,"Delivered")+COUNTIFS(Orders!$C$2:$C$20001,$A1856,Orders!$E$2:$E$20001,"COD",Orders!$F$2:$F$20001,"RTO"))</f>
        <v/>
      </c>
      <c r="C1856" s="17" t="str">
        <f aca="false">IF($A1856="","",COUNTIFS(Orders!$C$2:$C$20001,$A1856,Orders!$E$2:$E$20001,"COD",Orders!$F$2:$F$20001,"RTO"))</f>
        <v/>
      </c>
      <c r="D1856" s="18" t="str">
        <f aca="false">IF($A1856="","",IFERROR(C1856/B1856,0))</f>
        <v/>
      </c>
      <c r="E1856" s="17" t="str">
        <f aca="false">IF($A1856="","",COUNTIFS(Orders!$C$2:$C$20001,$A1856,Orders!$E$2:$E$20001,"Prepaid",Orders!$F$2:$F$20001,"Delivered")+COUNTIFS(Orders!$C$2:$C$20001,$A1856,Orders!$E$2:$E$20001,"Prepaid",Orders!$F$2:$F$20001,"RTO"))</f>
        <v/>
      </c>
      <c r="F1856" s="17" t="str">
        <f aca="false">IF($A1856="","",COUNTIFS(Orders!$C$2:$C$20001,$A1856,Orders!$E$2:$E$20001,"Prepaid",Orders!$F$2:$F$20001,"RTO"))</f>
        <v/>
      </c>
      <c r="G1856" s="18" t="str">
        <f aca="false">IF($A1856="","",IFERROR(F1856/E1856,0))</f>
        <v/>
      </c>
      <c r="H1856" s="19" t="str">
        <f aca="false">IF($A1856="","",C1856*Settings!$B$11)</f>
        <v/>
      </c>
      <c r="I1856" s="20" t="str">
        <f aca="false">IF($A1856="","",IF(N(H1856)=0,"",RANK(H1856,$H$5:$H$2004)))</f>
        <v/>
      </c>
      <c r="J1856" s="21" t="str">
        <f aca="false">IF($A1856="","",IF(B1856=0,"No COD orders",IF(B1856&lt;Settings!$B$8,"Too few orders",IF(D1856&gt;=Settings!$B$9,"Restrict COD or verify","Keep COD"))))</f>
        <v/>
      </c>
    </row>
    <row r="1857" customFormat="false" ht="15" hidden="false" customHeight="false" outlineLevel="0" collapsed="false">
      <c r="A1857" s="27"/>
      <c r="B1857" s="17" t="str">
        <f aca="false">IF($A1857="","",COUNTIFS(Orders!$C$2:$C$20001,$A1857,Orders!$E$2:$E$20001,"COD",Orders!$F$2:$F$20001,"Delivered")+COUNTIFS(Orders!$C$2:$C$20001,$A1857,Orders!$E$2:$E$20001,"COD",Orders!$F$2:$F$20001,"RTO"))</f>
        <v/>
      </c>
      <c r="C1857" s="17" t="str">
        <f aca="false">IF($A1857="","",COUNTIFS(Orders!$C$2:$C$20001,$A1857,Orders!$E$2:$E$20001,"COD",Orders!$F$2:$F$20001,"RTO"))</f>
        <v/>
      </c>
      <c r="D1857" s="18" t="str">
        <f aca="false">IF($A1857="","",IFERROR(C1857/B1857,0))</f>
        <v/>
      </c>
      <c r="E1857" s="17" t="str">
        <f aca="false">IF($A1857="","",COUNTIFS(Orders!$C$2:$C$20001,$A1857,Orders!$E$2:$E$20001,"Prepaid",Orders!$F$2:$F$20001,"Delivered")+COUNTIFS(Orders!$C$2:$C$20001,$A1857,Orders!$E$2:$E$20001,"Prepaid",Orders!$F$2:$F$20001,"RTO"))</f>
        <v/>
      </c>
      <c r="F1857" s="17" t="str">
        <f aca="false">IF($A1857="","",COUNTIFS(Orders!$C$2:$C$20001,$A1857,Orders!$E$2:$E$20001,"Prepaid",Orders!$F$2:$F$20001,"RTO"))</f>
        <v/>
      </c>
      <c r="G1857" s="18" t="str">
        <f aca="false">IF($A1857="","",IFERROR(F1857/E1857,0))</f>
        <v/>
      </c>
      <c r="H1857" s="19" t="str">
        <f aca="false">IF($A1857="","",C1857*Settings!$B$11)</f>
        <v/>
      </c>
      <c r="I1857" s="20" t="str">
        <f aca="false">IF($A1857="","",IF(N(H1857)=0,"",RANK(H1857,$H$5:$H$2004)))</f>
        <v/>
      </c>
      <c r="J1857" s="21" t="str">
        <f aca="false">IF($A1857="","",IF(B1857=0,"No COD orders",IF(B1857&lt;Settings!$B$8,"Too few orders",IF(D1857&gt;=Settings!$B$9,"Restrict COD or verify","Keep COD"))))</f>
        <v/>
      </c>
    </row>
    <row r="1858" customFormat="false" ht="15" hidden="false" customHeight="false" outlineLevel="0" collapsed="false">
      <c r="A1858" s="27"/>
      <c r="B1858" s="17" t="str">
        <f aca="false">IF($A1858="","",COUNTIFS(Orders!$C$2:$C$20001,$A1858,Orders!$E$2:$E$20001,"COD",Orders!$F$2:$F$20001,"Delivered")+COUNTIFS(Orders!$C$2:$C$20001,$A1858,Orders!$E$2:$E$20001,"COD",Orders!$F$2:$F$20001,"RTO"))</f>
        <v/>
      </c>
      <c r="C1858" s="17" t="str">
        <f aca="false">IF($A1858="","",COUNTIFS(Orders!$C$2:$C$20001,$A1858,Orders!$E$2:$E$20001,"COD",Orders!$F$2:$F$20001,"RTO"))</f>
        <v/>
      </c>
      <c r="D1858" s="18" t="str">
        <f aca="false">IF($A1858="","",IFERROR(C1858/B1858,0))</f>
        <v/>
      </c>
      <c r="E1858" s="17" t="str">
        <f aca="false">IF($A1858="","",COUNTIFS(Orders!$C$2:$C$20001,$A1858,Orders!$E$2:$E$20001,"Prepaid",Orders!$F$2:$F$20001,"Delivered")+COUNTIFS(Orders!$C$2:$C$20001,$A1858,Orders!$E$2:$E$20001,"Prepaid",Orders!$F$2:$F$20001,"RTO"))</f>
        <v/>
      </c>
      <c r="F1858" s="17" t="str">
        <f aca="false">IF($A1858="","",COUNTIFS(Orders!$C$2:$C$20001,$A1858,Orders!$E$2:$E$20001,"Prepaid",Orders!$F$2:$F$20001,"RTO"))</f>
        <v/>
      </c>
      <c r="G1858" s="18" t="str">
        <f aca="false">IF($A1858="","",IFERROR(F1858/E1858,0))</f>
        <v/>
      </c>
      <c r="H1858" s="19" t="str">
        <f aca="false">IF($A1858="","",C1858*Settings!$B$11)</f>
        <v/>
      </c>
      <c r="I1858" s="20" t="str">
        <f aca="false">IF($A1858="","",IF(N(H1858)=0,"",RANK(H1858,$H$5:$H$2004)))</f>
        <v/>
      </c>
      <c r="J1858" s="21" t="str">
        <f aca="false">IF($A1858="","",IF(B1858=0,"No COD orders",IF(B1858&lt;Settings!$B$8,"Too few orders",IF(D1858&gt;=Settings!$B$9,"Restrict COD or verify","Keep COD"))))</f>
        <v/>
      </c>
    </row>
    <row r="1859" customFormat="false" ht="15" hidden="false" customHeight="false" outlineLevel="0" collapsed="false">
      <c r="A1859" s="27"/>
      <c r="B1859" s="17" t="str">
        <f aca="false">IF($A1859="","",COUNTIFS(Orders!$C$2:$C$20001,$A1859,Orders!$E$2:$E$20001,"COD",Orders!$F$2:$F$20001,"Delivered")+COUNTIFS(Orders!$C$2:$C$20001,$A1859,Orders!$E$2:$E$20001,"COD",Orders!$F$2:$F$20001,"RTO"))</f>
        <v/>
      </c>
      <c r="C1859" s="17" t="str">
        <f aca="false">IF($A1859="","",COUNTIFS(Orders!$C$2:$C$20001,$A1859,Orders!$E$2:$E$20001,"COD",Orders!$F$2:$F$20001,"RTO"))</f>
        <v/>
      </c>
      <c r="D1859" s="18" t="str">
        <f aca="false">IF($A1859="","",IFERROR(C1859/B1859,0))</f>
        <v/>
      </c>
      <c r="E1859" s="17" t="str">
        <f aca="false">IF($A1859="","",COUNTIFS(Orders!$C$2:$C$20001,$A1859,Orders!$E$2:$E$20001,"Prepaid",Orders!$F$2:$F$20001,"Delivered")+COUNTIFS(Orders!$C$2:$C$20001,$A1859,Orders!$E$2:$E$20001,"Prepaid",Orders!$F$2:$F$20001,"RTO"))</f>
        <v/>
      </c>
      <c r="F1859" s="17" t="str">
        <f aca="false">IF($A1859="","",COUNTIFS(Orders!$C$2:$C$20001,$A1859,Orders!$E$2:$E$20001,"Prepaid",Orders!$F$2:$F$20001,"RTO"))</f>
        <v/>
      </c>
      <c r="G1859" s="18" t="str">
        <f aca="false">IF($A1859="","",IFERROR(F1859/E1859,0))</f>
        <v/>
      </c>
      <c r="H1859" s="19" t="str">
        <f aca="false">IF($A1859="","",C1859*Settings!$B$11)</f>
        <v/>
      </c>
      <c r="I1859" s="20" t="str">
        <f aca="false">IF($A1859="","",IF(N(H1859)=0,"",RANK(H1859,$H$5:$H$2004)))</f>
        <v/>
      </c>
      <c r="J1859" s="21" t="str">
        <f aca="false">IF($A1859="","",IF(B1859=0,"No COD orders",IF(B1859&lt;Settings!$B$8,"Too few orders",IF(D1859&gt;=Settings!$B$9,"Restrict COD or verify","Keep COD"))))</f>
        <v/>
      </c>
    </row>
    <row r="1860" customFormat="false" ht="15" hidden="false" customHeight="false" outlineLevel="0" collapsed="false">
      <c r="A1860" s="27"/>
      <c r="B1860" s="17" t="str">
        <f aca="false">IF($A1860="","",COUNTIFS(Orders!$C$2:$C$20001,$A1860,Orders!$E$2:$E$20001,"COD",Orders!$F$2:$F$20001,"Delivered")+COUNTIFS(Orders!$C$2:$C$20001,$A1860,Orders!$E$2:$E$20001,"COD",Orders!$F$2:$F$20001,"RTO"))</f>
        <v/>
      </c>
      <c r="C1860" s="17" t="str">
        <f aca="false">IF($A1860="","",COUNTIFS(Orders!$C$2:$C$20001,$A1860,Orders!$E$2:$E$20001,"COD",Orders!$F$2:$F$20001,"RTO"))</f>
        <v/>
      </c>
      <c r="D1860" s="18" t="str">
        <f aca="false">IF($A1860="","",IFERROR(C1860/B1860,0))</f>
        <v/>
      </c>
      <c r="E1860" s="17" t="str">
        <f aca="false">IF($A1860="","",COUNTIFS(Orders!$C$2:$C$20001,$A1860,Orders!$E$2:$E$20001,"Prepaid",Orders!$F$2:$F$20001,"Delivered")+COUNTIFS(Orders!$C$2:$C$20001,$A1860,Orders!$E$2:$E$20001,"Prepaid",Orders!$F$2:$F$20001,"RTO"))</f>
        <v/>
      </c>
      <c r="F1860" s="17" t="str">
        <f aca="false">IF($A1860="","",COUNTIFS(Orders!$C$2:$C$20001,$A1860,Orders!$E$2:$E$20001,"Prepaid",Orders!$F$2:$F$20001,"RTO"))</f>
        <v/>
      </c>
      <c r="G1860" s="18" t="str">
        <f aca="false">IF($A1860="","",IFERROR(F1860/E1860,0))</f>
        <v/>
      </c>
      <c r="H1860" s="19" t="str">
        <f aca="false">IF($A1860="","",C1860*Settings!$B$11)</f>
        <v/>
      </c>
      <c r="I1860" s="20" t="str">
        <f aca="false">IF($A1860="","",IF(N(H1860)=0,"",RANK(H1860,$H$5:$H$2004)))</f>
        <v/>
      </c>
      <c r="J1860" s="21" t="str">
        <f aca="false">IF($A1860="","",IF(B1860=0,"No COD orders",IF(B1860&lt;Settings!$B$8,"Too few orders",IF(D1860&gt;=Settings!$B$9,"Restrict COD or verify","Keep COD"))))</f>
        <v/>
      </c>
    </row>
    <row r="1861" customFormat="false" ht="15" hidden="false" customHeight="false" outlineLevel="0" collapsed="false">
      <c r="A1861" s="27"/>
      <c r="B1861" s="17" t="str">
        <f aca="false">IF($A1861="","",COUNTIFS(Orders!$C$2:$C$20001,$A1861,Orders!$E$2:$E$20001,"COD",Orders!$F$2:$F$20001,"Delivered")+COUNTIFS(Orders!$C$2:$C$20001,$A1861,Orders!$E$2:$E$20001,"COD",Orders!$F$2:$F$20001,"RTO"))</f>
        <v/>
      </c>
      <c r="C1861" s="17" t="str">
        <f aca="false">IF($A1861="","",COUNTIFS(Orders!$C$2:$C$20001,$A1861,Orders!$E$2:$E$20001,"COD",Orders!$F$2:$F$20001,"RTO"))</f>
        <v/>
      </c>
      <c r="D1861" s="18" t="str">
        <f aca="false">IF($A1861="","",IFERROR(C1861/B1861,0))</f>
        <v/>
      </c>
      <c r="E1861" s="17" t="str">
        <f aca="false">IF($A1861="","",COUNTIFS(Orders!$C$2:$C$20001,$A1861,Orders!$E$2:$E$20001,"Prepaid",Orders!$F$2:$F$20001,"Delivered")+COUNTIFS(Orders!$C$2:$C$20001,$A1861,Orders!$E$2:$E$20001,"Prepaid",Orders!$F$2:$F$20001,"RTO"))</f>
        <v/>
      </c>
      <c r="F1861" s="17" t="str">
        <f aca="false">IF($A1861="","",COUNTIFS(Orders!$C$2:$C$20001,$A1861,Orders!$E$2:$E$20001,"Prepaid",Orders!$F$2:$F$20001,"RTO"))</f>
        <v/>
      </c>
      <c r="G1861" s="18" t="str">
        <f aca="false">IF($A1861="","",IFERROR(F1861/E1861,0))</f>
        <v/>
      </c>
      <c r="H1861" s="19" t="str">
        <f aca="false">IF($A1861="","",C1861*Settings!$B$11)</f>
        <v/>
      </c>
      <c r="I1861" s="20" t="str">
        <f aca="false">IF($A1861="","",IF(N(H1861)=0,"",RANK(H1861,$H$5:$H$2004)))</f>
        <v/>
      </c>
      <c r="J1861" s="21" t="str">
        <f aca="false">IF($A1861="","",IF(B1861=0,"No COD orders",IF(B1861&lt;Settings!$B$8,"Too few orders",IF(D1861&gt;=Settings!$B$9,"Restrict COD or verify","Keep COD"))))</f>
        <v/>
      </c>
    </row>
    <row r="1862" customFormat="false" ht="15" hidden="false" customHeight="false" outlineLevel="0" collapsed="false">
      <c r="A1862" s="27"/>
      <c r="B1862" s="17" t="str">
        <f aca="false">IF($A1862="","",COUNTIFS(Orders!$C$2:$C$20001,$A1862,Orders!$E$2:$E$20001,"COD",Orders!$F$2:$F$20001,"Delivered")+COUNTIFS(Orders!$C$2:$C$20001,$A1862,Orders!$E$2:$E$20001,"COD",Orders!$F$2:$F$20001,"RTO"))</f>
        <v/>
      </c>
      <c r="C1862" s="17" t="str">
        <f aca="false">IF($A1862="","",COUNTIFS(Orders!$C$2:$C$20001,$A1862,Orders!$E$2:$E$20001,"COD",Orders!$F$2:$F$20001,"RTO"))</f>
        <v/>
      </c>
      <c r="D1862" s="18" t="str">
        <f aca="false">IF($A1862="","",IFERROR(C1862/B1862,0))</f>
        <v/>
      </c>
      <c r="E1862" s="17" t="str">
        <f aca="false">IF($A1862="","",COUNTIFS(Orders!$C$2:$C$20001,$A1862,Orders!$E$2:$E$20001,"Prepaid",Orders!$F$2:$F$20001,"Delivered")+COUNTIFS(Orders!$C$2:$C$20001,$A1862,Orders!$E$2:$E$20001,"Prepaid",Orders!$F$2:$F$20001,"RTO"))</f>
        <v/>
      </c>
      <c r="F1862" s="17" t="str">
        <f aca="false">IF($A1862="","",COUNTIFS(Orders!$C$2:$C$20001,$A1862,Orders!$E$2:$E$20001,"Prepaid",Orders!$F$2:$F$20001,"RTO"))</f>
        <v/>
      </c>
      <c r="G1862" s="18" t="str">
        <f aca="false">IF($A1862="","",IFERROR(F1862/E1862,0))</f>
        <v/>
      </c>
      <c r="H1862" s="19" t="str">
        <f aca="false">IF($A1862="","",C1862*Settings!$B$11)</f>
        <v/>
      </c>
      <c r="I1862" s="20" t="str">
        <f aca="false">IF($A1862="","",IF(N(H1862)=0,"",RANK(H1862,$H$5:$H$2004)))</f>
        <v/>
      </c>
      <c r="J1862" s="21" t="str">
        <f aca="false">IF($A1862="","",IF(B1862=0,"No COD orders",IF(B1862&lt;Settings!$B$8,"Too few orders",IF(D1862&gt;=Settings!$B$9,"Restrict COD or verify","Keep COD"))))</f>
        <v/>
      </c>
    </row>
    <row r="1863" customFormat="false" ht="15" hidden="false" customHeight="false" outlineLevel="0" collapsed="false">
      <c r="A1863" s="27"/>
      <c r="B1863" s="17" t="str">
        <f aca="false">IF($A1863="","",COUNTIFS(Orders!$C$2:$C$20001,$A1863,Orders!$E$2:$E$20001,"COD",Orders!$F$2:$F$20001,"Delivered")+COUNTIFS(Orders!$C$2:$C$20001,$A1863,Orders!$E$2:$E$20001,"COD",Orders!$F$2:$F$20001,"RTO"))</f>
        <v/>
      </c>
      <c r="C1863" s="17" t="str">
        <f aca="false">IF($A1863="","",COUNTIFS(Orders!$C$2:$C$20001,$A1863,Orders!$E$2:$E$20001,"COD",Orders!$F$2:$F$20001,"RTO"))</f>
        <v/>
      </c>
      <c r="D1863" s="18" t="str">
        <f aca="false">IF($A1863="","",IFERROR(C1863/B1863,0))</f>
        <v/>
      </c>
      <c r="E1863" s="17" t="str">
        <f aca="false">IF($A1863="","",COUNTIFS(Orders!$C$2:$C$20001,$A1863,Orders!$E$2:$E$20001,"Prepaid",Orders!$F$2:$F$20001,"Delivered")+COUNTIFS(Orders!$C$2:$C$20001,$A1863,Orders!$E$2:$E$20001,"Prepaid",Orders!$F$2:$F$20001,"RTO"))</f>
        <v/>
      </c>
      <c r="F1863" s="17" t="str">
        <f aca="false">IF($A1863="","",COUNTIFS(Orders!$C$2:$C$20001,$A1863,Orders!$E$2:$E$20001,"Prepaid",Orders!$F$2:$F$20001,"RTO"))</f>
        <v/>
      </c>
      <c r="G1863" s="18" t="str">
        <f aca="false">IF($A1863="","",IFERROR(F1863/E1863,0))</f>
        <v/>
      </c>
      <c r="H1863" s="19" t="str">
        <f aca="false">IF($A1863="","",C1863*Settings!$B$11)</f>
        <v/>
      </c>
      <c r="I1863" s="20" t="str">
        <f aca="false">IF($A1863="","",IF(N(H1863)=0,"",RANK(H1863,$H$5:$H$2004)))</f>
        <v/>
      </c>
      <c r="J1863" s="21" t="str">
        <f aca="false">IF($A1863="","",IF(B1863=0,"No COD orders",IF(B1863&lt;Settings!$B$8,"Too few orders",IF(D1863&gt;=Settings!$B$9,"Restrict COD or verify","Keep COD"))))</f>
        <v/>
      </c>
    </row>
    <row r="1864" customFormat="false" ht="15" hidden="false" customHeight="false" outlineLevel="0" collapsed="false">
      <c r="A1864" s="27"/>
      <c r="B1864" s="17" t="str">
        <f aca="false">IF($A1864="","",COUNTIFS(Orders!$C$2:$C$20001,$A1864,Orders!$E$2:$E$20001,"COD",Orders!$F$2:$F$20001,"Delivered")+COUNTIFS(Orders!$C$2:$C$20001,$A1864,Orders!$E$2:$E$20001,"COD",Orders!$F$2:$F$20001,"RTO"))</f>
        <v/>
      </c>
      <c r="C1864" s="17" t="str">
        <f aca="false">IF($A1864="","",COUNTIFS(Orders!$C$2:$C$20001,$A1864,Orders!$E$2:$E$20001,"COD",Orders!$F$2:$F$20001,"RTO"))</f>
        <v/>
      </c>
      <c r="D1864" s="18" t="str">
        <f aca="false">IF($A1864="","",IFERROR(C1864/B1864,0))</f>
        <v/>
      </c>
      <c r="E1864" s="17" t="str">
        <f aca="false">IF($A1864="","",COUNTIFS(Orders!$C$2:$C$20001,$A1864,Orders!$E$2:$E$20001,"Prepaid",Orders!$F$2:$F$20001,"Delivered")+COUNTIFS(Orders!$C$2:$C$20001,$A1864,Orders!$E$2:$E$20001,"Prepaid",Orders!$F$2:$F$20001,"RTO"))</f>
        <v/>
      </c>
      <c r="F1864" s="17" t="str">
        <f aca="false">IF($A1864="","",COUNTIFS(Orders!$C$2:$C$20001,$A1864,Orders!$E$2:$E$20001,"Prepaid",Orders!$F$2:$F$20001,"RTO"))</f>
        <v/>
      </c>
      <c r="G1864" s="18" t="str">
        <f aca="false">IF($A1864="","",IFERROR(F1864/E1864,0))</f>
        <v/>
      </c>
      <c r="H1864" s="19" t="str">
        <f aca="false">IF($A1864="","",C1864*Settings!$B$11)</f>
        <v/>
      </c>
      <c r="I1864" s="20" t="str">
        <f aca="false">IF($A1864="","",IF(N(H1864)=0,"",RANK(H1864,$H$5:$H$2004)))</f>
        <v/>
      </c>
      <c r="J1864" s="21" t="str">
        <f aca="false">IF($A1864="","",IF(B1864=0,"No COD orders",IF(B1864&lt;Settings!$B$8,"Too few orders",IF(D1864&gt;=Settings!$B$9,"Restrict COD or verify","Keep COD"))))</f>
        <v/>
      </c>
    </row>
    <row r="1865" customFormat="false" ht="15" hidden="false" customHeight="false" outlineLevel="0" collapsed="false">
      <c r="A1865" s="27"/>
      <c r="B1865" s="17" t="str">
        <f aca="false">IF($A1865="","",COUNTIFS(Orders!$C$2:$C$20001,$A1865,Orders!$E$2:$E$20001,"COD",Orders!$F$2:$F$20001,"Delivered")+COUNTIFS(Orders!$C$2:$C$20001,$A1865,Orders!$E$2:$E$20001,"COD",Orders!$F$2:$F$20001,"RTO"))</f>
        <v/>
      </c>
      <c r="C1865" s="17" t="str">
        <f aca="false">IF($A1865="","",COUNTIFS(Orders!$C$2:$C$20001,$A1865,Orders!$E$2:$E$20001,"COD",Orders!$F$2:$F$20001,"RTO"))</f>
        <v/>
      </c>
      <c r="D1865" s="18" t="str">
        <f aca="false">IF($A1865="","",IFERROR(C1865/B1865,0))</f>
        <v/>
      </c>
      <c r="E1865" s="17" t="str">
        <f aca="false">IF($A1865="","",COUNTIFS(Orders!$C$2:$C$20001,$A1865,Orders!$E$2:$E$20001,"Prepaid",Orders!$F$2:$F$20001,"Delivered")+COUNTIFS(Orders!$C$2:$C$20001,$A1865,Orders!$E$2:$E$20001,"Prepaid",Orders!$F$2:$F$20001,"RTO"))</f>
        <v/>
      </c>
      <c r="F1865" s="17" t="str">
        <f aca="false">IF($A1865="","",COUNTIFS(Orders!$C$2:$C$20001,$A1865,Orders!$E$2:$E$20001,"Prepaid",Orders!$F$2:$F$20001,"RTO"))</f>
        <v/>
      </c>
      <c r="G1865" s="18" t="str">
        <f aca="false">IF($A1865="","",IFERROR(F1865/E1865,0))</f>
        <v/>
      </c>
      <c r="H1865" s="19" t="str">
        <f aca="false">IF($A1865="","",C1865*Settings!$B$11)</f>
        <v/>
      </c>
      <c r="I1865" s="20" t="str">
        <f aca="false">IF($A1865="","",IF(N(H1865)=0,"",RANK(H1865,$H$5:$H$2004)))</f>
        <v/>
      </c>
      <c r="J1865" s="21" t="str">
        <f aca="false">IF($A1865="","",IF(B1865=0,"No COD orders",IF(B1865&lt;Settings!$B$8,"Too few orders",IF(D1865&gt;=Settings!$B$9,"Restrict COD or verify","Keep COD"))))</f>
        <v/>
      </c>
    </row>
    <row r="1866" customFormat="false" ht="15" hidden="false" customHeight="false" outlineLevel="0" collapsed="false">
      <c r="A1866" s="27"/>
      <c r="B1866" s="17" t="str">
        <f aca="false">IF($A1866="","",COUNTIFS(Orders!$C$2:$C$20001,$A1866,Orders!$E$2:$E$20001,"COD",Orders!$F$2:$F$20001,"Delivered")+COUNTIFS(Orders!$C$2:$C$20001,$A1866,Orders!$E$2:$E$20001,"COD",Orders!$F$2:$F$20001,"RTO"))</f>
        <v/>
      </c>
      <c r="C1866" s="17" t="str">
        <f aca="false">IF($A1866="","",COUNTIFS(Orders!$C$2:$C$20001,$A1866,Orders!$E$2:$E$20001,"COD",Orders!$F$2:$F$20001,"RTO"))</f>
        <v/>
      </c>
      <c r="D1866" s="18" t="str">
        <f aca="false">IF($A1866="","",IFERROR(C1866/B1866,0))</f>
        <v/>
      </c>
      <c r="E1866" s="17" t="str">
        <f aca="false">IF($A1866="","",COUNTIFS(Orders!$C$2:$C$20001,$A1866,Orders!$E$2:$E$20001,"Prepaid",Orders!$F$2:$F$20001,"Delivered")+COUNTIFS(Orders!$C$2:$C$20001,$A1866,Orders!$E$2:$E$20001,"Prepaid",Orders!$F$2:$F$20001,"RTO"))</f>
        <v/>
      </c>
      <c r="F1866" s="17" t="str">
        <f aca="false">IF($A1866="","",COUNTIFS(Orders!$C$2:$C$20001,$A1866,Orders!$E$2:$E$20001,"Prepaid",Orders!$F$2:$F$20001,"RTO"))</f>
        <v/>
      </c>
      <c r="G1866" s="18" t="str">
        <f aca="false">IF($A1866="","",IFERROR(F1866/E1866,0))</f>
        <v/>
      </c>
      <c r="H1866" s="19" t="str">
        <f aca="false">IF($A1866="","",C1866*Settings!$B$11)</f>
        <v/>
      </c>
      <c r="I1866" s="20" t="str">
        <f aca="false">IF($A1866="","",IF(N(H1866)=0,"",RANK(H1866,$H$5:$H$2004)))</f>
        <v/>
      </c>
      <c r="J1866" s="21" t="str">
        <f aca="false">IF($A1866="","",IF(B1866=0,"No COD orders",IF(B1866&lt;Settings!$B$8,"Too few orders",IF(D1866&gt;=Settings!$B$9,"Restrict COD or verify","Keep COD"))))</f>
        <v/>
      </c>
    </row>
    <row r="1867" customFormat="false" ht="15" hidden="false" customHeight="false" outlineLevel="0" collapsed="false">
      <c r="A1867" s="27"/>
      <c r="B1867" s="17" t="str">
        <f aca="false">IF($A1867="","",COUNTIFS(Orders!$C$2:$C$20001,$A1867,Orders!$E$2:$E$20001,"COD",Orders!$F$2:$F$20001,"Delivered")+COUNTIFS(Orders!$C$2:$C$20001,$A1867,Orders!$E$2:$E$20001,"COD",Orders!$F$2:$F$20001,"RTO"))</f>
        <v/>
      </c>
      <c r="C1867" s="17" t="str">
        <f aca="false">IF($A1867="","",COUNTIFS(Orders!$C$2:$C$20001,$A1867,Orders!$E$2:$E$20001,"COD",Orders!$F$2:$F$20001,"RTO"))</f>
        <v/>
      </c>
      <c r="D1867" s="18" t="str">
        <f aca="false">IF($A1867="","",IFERROR(C1867/B1867,0))</f>
        <v/>
      </c>
      <c r="E1867" s="17" t="str">
        <f aca="false">IF($A1867="","",COUNTIFS(Orders!$C$2:$C$20001,$A1867,Orders!$E$2:$E$20001,"Prepaid",Orders!$F$2:$F$20001,"Delivered")+COUNTIFS(Orders!$C$2:$C$20001,$A1867,Orders!$E$2:$E$20001,"Prepaid",Orders!$F$2:$F$20001,"RTO"))</f>
        <v/>
      </c>
      <c r="F1867" s="17" t="str">
        <f aca="false">IF($A1867="","",COUNTIFS(Orders!$C$2:$C$20001,$A1867,Orders!$E$2:$E$20001,"Prepaid",Orders!$F$2:$F$20001,"RTO"))</f>
        <v/>
      </c>
      <c r="G1867" s="18" t="str">
        <f aca="false">IF($A1867="","",IFERROR(F1867/E1867,0))</f>
        <v/>
      </c>
      <c r="H1867" s="19" t="str">
        <f aca="false">IF($A1867="","",C1867*Settings!$B$11)</f>
        <v/>
      </c>
      <c r="I1867" s="20" t="str">
        <f aca="false">IF($A1867="","",IF(N(H1867)=0,"",RANK(H1867,$H$5:$H$2004)))</f>
        <v/>
      </c>
      <c r="J1867" s="21" t="str">
        <f aca="false">IF($A1867="","",IF(B1867=0,"No COD orders",IF(B1867&lt;Settings!$B$8,"Too few orders",IF(D1867&gt;=Settings!$B$9,"Restrict COD or verify","Keep COD"))))</f>
        <v/>
      </c>
    </row>
    <row r="1868" customFormat="false" ht="15" hidden="false" customHeight="false" outlineLevel="0" collapsed="false">
      <c r="A1868" s="27"/>
      <c r="B1868" s="17" t="str">
        <f aca="false">IF($A1868="","",COUNTIFS(Orders!$C$2:$C$20001,$A1868,Orders!$E$2:$E$20001,"COD",Orders!$F$2:$F$20001,"Delivered")+COUNTIFS(Orders!$C$2:$C$20001,$A1868,Orders!$E$2:$E$20001,"COD",Orders!$F$2:$F$20001,"RTO"))</f>
        <v/>
      </c>
      <c r="C1868" s="17" t="str">
        <f aca="false">IF($A1868="","",COUNTIFS(Orders!$C$2:$C$20001,$A1868,Orders!$E$2:$E$20001,"COD",Orders!$F$2:$F$20001,"RTO"))</f>
        <v/>
      </c>
      <c r="D1868" s="18" t="str">
        <f aca="false">IF($A1868="","",IFERROR(C1868/B1868,0))</f>
        <v/>
      </c>
      <c r="E1868" s="17" t="str">
        <f aca="false">IF($A1868="","",COUNTIFS(Orders!$C$2:$C$20001,$A1868,Orders!$E$2:$E$20001,"Prepaid",Orders!$F$2:$F$20001,"Delivered")+COUNTIFS(Orders!$C$2:$C$20001,$A1868,Orders!$E$2:$E$20001,"Prepaid",Orders!$F$2:$F$20001,"RTO"))</f>
        <v/>
      </c>
      <c r="F1868" s="17" t="str">
        <f aca="false">IF($A1868="","",COUNTIFS(Orders!$C$2:$C$20001,$A1868,Orders!$E$2:$E$20001,"Prepaid",Orders!$F$2:$F$20001,"RTO"))</f>
        <v/>
      </c>
      <c r="G1868" s="18" t="str">
        <f aca="false">IF($A1868="","",IFERROR(F1868/E1868,0))</f>
        <v/>
      </c>
      <c r="H1868" s="19" t="str">
        <f aca="false">IF($A1868="","",C1868*Settings!$B$11)</f>
        <v/>
      </c>
      <c r="I1868" s="20" t="str">
        <f aca="false">IF($A1868="","",IF(N(H1868)=0,"",RANK(H1868,$H$5:$H$2004)))</f>
        <v/>
      </c>
      <c r="J1868" s="21" t="str">
        <f aca="false">IF($A1868="","",IF(B1868=0,"No COD orders",IF(B1868&lt;Settings!$B$8,"Too few orders",IF(D1868&gt;=Settings!$B$9,"Restrict COD or verify","Keep COD"))))</f>
        <v/>
      </c>
    </row>
    <row r="1869" customFormat="false" ht="15" hidden="false" customHeight="false" outlineLevel="0" collapsed="false">
      <c r="A1869" s="27"/>
      <c r="B1869" s="17" t="str">
        <f aca="false">IF($A1869="","",COUNTIFS(Orders!$C$2:$C$20001,$A1869,Orders!$E$2:$E$20001,"COD",Orders!$F$2:$F$20001,"Delivered")+COUNTIFS(Orders!$C$2:$C$20001,$A1869,Orders!$E$2:$E$20001,"COD",Orders!$F$2:$F$20001,"RTO"))</f>
        <v/>
      </c>
      <c r="C1869" s="17" t="str">
        <f aca="false">IF($A1869="","",COUNTIFS(Orders!$C$2:$C$20001,$A1869,Orders!$E$2:$E$20001,"COD",Orders!$F$2:$F$20001,"RTO"))</f>
        <v/>
      </c>
      <c r="D1869" s="18" t="str">
        <f aca="false">IF($A1869="","",IFERROR(C1869/B1869,0))</f>
        <v/>
      </c>
      <c r="E1869" s="17" t="str">
        <f aca="false">IF($A1869="","",COUNTIFS(Orders!$C$2:$C$20001,$A1869,Orders!$E$2:$E$20001,"Prepaid",Orders!$F$2:$F$20001,"Delivered")+COUNTIFS(Orders!$C$2:$C$20001,$A1869,Orders!$E$2:$E$20001,"Prepaid",Orders!$F$2:$F$20001,"RTO"))</f>
        <v/>
      </c>
      <c r="F1869" s="17" t="str">
        <f aca="false">IF($A1869="","",COUNTIFS(Orders!$C$2:$C$20001,$A1869,Orders!$E$2:$E$20001,"Prepaid",Orders!$F$2:$F$20001,"RTO"))</f>
        <v/>
      </c>
      <c r="G1869" s="18" t="str">
        <f aca="false">IF($A1869="","",IFERROR(F1869/E1869,0))</f>
        <v/>
      </c>
      <c r="H1869" s="19" t="str">
        <f aca="false">IF($A1869="","",C1869*Settings!$B$11)</f>
        <v/>
      </c>
      <c r="I1869" s="20" t="str">
        <f aca="false">IF($A1869="","",IF(N(H1869)=0,"",RANK(H1869,$H$5:$H$2004)))</f>
        <v/>
      </c>
      <c r="J1869" s="21" t="str">
        <f aca="false">IF($A1869="","",IF(B1869=0,"No COD orders",IF(B1869&lt;Settings!$B$8,"Too few orders",IF(D1869&gt;=Settings!$B$9,"Restrict COD or verify","Keep COD"))))</f>
        <v/>
      </c>
    </row>
    <row r="1870" customFormat="false" ht="15" hidden="false" customHeight="false" outlineLevel="0" collapsed="false">
      <c r="A1870" s="27"/>
      <c r="B1870" s="17" t="str">
        <f aca="false">IF($A1870="","",COUNTIFS(Orders!$C$2:$C$20001,$A1870,Orders!$E$2:$E$20001,"COD",Orders!$F$2:$F$20001,"Delivered")+COUNTIFS(Orders!$C$2:$C$20001,$A1870,Orders!$E$2:$E$20001,"COD",Orders!$F$2:$F$20001,"RTO"))</f>
        <v/>
      </c>
      <c r="C1870" s="17" t="str">
        <f aca="false">IF($A1870="","",COUNTIFS(Orders!$C$2:$C$20001,$A1870,Orders!$E$2:$E$20001,"COD",Orders!$F$2:$F$20001,"RTO"))</f>
        <v/>
      </c>
      <c r="D1870" s="18" t="str">
        <f aca="false">IF($A1870="","",IFERROR(C1870/B1870,0))</f>
        <v/>
      </c>
      <c r="E1870" s="17" t="str">
        <f aca="false">IF($A1870="","",COUNTIFS(Orders!$C$2:$C$20001,$A1870,Orders!$E$2:$E$20001,"Prepaid",Orders!$F$2:$F$20001,"Delivered")+COUNTIFS(Orders!$C$2:$C$20001,$A1870,Orders!$E$2:$E$20001,"Prepaid",Orders!$F$2:$F$20001,"RTO"))</f>
        <v/>
      </c>
      <c r="F1870" s="17" t="str">
        <f aca="false">IF($A1870="","",COUNTIFS(Orders!$C$2:$C$20001,$A1870,Orders!$E$2:$E$20001,"Prepaid",Orders!$F$2:$F$20001,"RTO"))</f>
        <v/>
      </c>
      <c r="G1870" s="18" t="str">
        <f aca="false">IF($A1870="","",IFERROR(F1870/E1870,0))</f>
        <v/>
      </c>
      <c r="H1870" s="19" t="str">
        <f aca="false">IF($A1870="","",C1870*Settings!$B$11)</f>
        <v/>
      </c>
      <c r="I1870" s="20" t="str">
        <f aca="false">IF($A1870="","",IF(N(H1870)=0,"",RANK(H1870,$H$5:$H$2004)))</f>
        <v/>
      </c>
      <c r="J1870" s="21" t="str">
        <f aca="false">IF($A1870="","",IF(B1870=0,"No COD orders",IF(B1870&lt;Settings!$B$8,"Too few orders",IF(D1870&gt;=Settings!$B$9,"Restrict COD or verify","Keep COD"))))</f>
        <v/>
      </c>
    </row>
    <row r="1871" customFormat="false" ht="15" hidden="false" customHeight="false" outlineLevel="0" collapsed="false">
      <c r="A1871" s="27"/>
      <c r="B1871" s="17" t="str">
        <f aca="false">IF($A1871="","",COUNTIFS(Orders!$C$2:$C$20001,$A1871,Orders!$E$2:$E$20001,"COD",Orders!$F$2:$F$20001,"Delivered")+COUNTIFS(Orders!$C$2:$C$20001,$A1871,Orders!$E$2:$E$20001,"COD",Orders!$F$2:$F$20001,"RTO"))</f>
        <v/>
      </c>
      <c r="C1871" s="17" t="str">
        <f aca="false">IF($A1871="","",COUNTIFS(Orders!$C$2:$C$20001,$A1871,Orders!$E$2:$E$20001,"COD",Orders!$F$2:$F$20001,"RTO"))</f>
        <v/>
      </c>
      <c r="D1871" s="18" t="str">
        <f aca="false">IF($A1871="","",IFERROR(C1871/B1871,0))</f>
        <v/>
      </c>
      <c r="E1871" s="17" t="str">
        <f aca="false">IF($A1871="","",COUNTIFS(Orders!$C$2:$C$20001,$A1871,Orders!$E$2:$E$20001,"Prepaid",Orders!$F$2:$F$20001,"Delivered")+COUNTIFS(Orders!$C$2:$C$20001,$A1871,Orders!$E$2:$E$20001,"Prepaid",Orders!$F$2:$F$20001,"RTO"))</f>
        <v/>
      </c>
      <c r="F1871" s="17" t="str">
        <f aca="false">IF($A1871="","",COUNTIFS(Orders!$C$2:$C$20001,$A1871,Orders!$E$2:$E$20001,"Prepaid",Orders!$F$2:$F$20001,"RTO"))</f>
        <v/>
      </c>
      <c r="G1871" s="18" t="str">
        <f aca="false">IF($A1871="","",IFERROR(F1871/E1871,0))</f>
        <v/>
      </c>
      <c r="H1871" s="19" t="str">
        <f aca="false">IF($A1871="","",C1871*Settings!$B$11)</f>
        <v/>
      </c>
      <c r="I1871" s="20" t="str">
        <f aca="false">IF($A1871="","",IF(N(H1871)=0,"",RANK(H1871,$H$5:$H$2004)))</f>
        <v/>
      </c>
      <c r="J1871" s="21" t="str">
        <f aca="false">IF($A1871="","",IF(B1871=0,"No COD orders",IF(B1871&lt;Settings!$B$8,"Too few orders",IF(D1871&gt;=Settings!$B$9,"Restrict COD or verify","Keep COD"))))</f>
        <v/>
      </c>
    </row>
    <row r="1872" customFormat="false" ht="15" hidden="false" customHeight="false" outlineLevel="0" collapsed="false">
      <c r="A1872" s="27"/>
      <c r="B1872" s="17" t="str">
        <f aca="false">IF($A1872="","",COUNTIFS(Orders!$C$2:$C$20001,$A1872,Orders!$E$2:$E$20001,"COD",Orders!$F$2:$F$20001,"Delivered")+COUNTIFS(Orders!$C$2:$C$20001,$A1872,Orders!$E$2:$E$20001,"COD",Orders!$F$2:$F$20001,"RTO"))</f>
        <v/>
      </c>
      <c r="C1872" s="17" t="str">
        <f aca="false">IF($A1872="","",COUNTIFS(Orders!$C$2:$C$20001,$A1872,Orders!$E$2:$E$20001,"COD",Orders!$F$2:$F$20001,"RTO"))</f>
        <v/>
      </c>
      <c r="D1872" s="18" t="str">
        <f aca="false">IF($A1872="","",IFERROR(C1872/B1872,0))</f>
        <v/>
      </c>
      <c r="E1872" s="17" t="str">
        <f aca="false">IF($A1872="","",COUNTIFS(Orders!$C$2:$C$20001,$A1872,Orders!$E$2:$E$20001,"Prepaid",Orders!$F$2:$F$20001,"Delivered")+COUNTIFS(Orders!$C$2:$C$20001,$A1872,Orders!$E$2:$E$20001,"Prepaid",Orders!$F$2:$F$20001,"RTO"))</f>
        <v/>
      </c>
      <c r="F1872" s="17" t="str">
        <f aca="false">IF($A1872="","",COUNTIFS(Orders!$C$2:$C$20001,$A1872,Orders!$E$2:$E$20001,"Prepaid",Orders!$F$2:$F$20001,"RTO"))</f>
        <v/>
      </c>
      <c r="G1872" s="18" t="str">
        <f aca="false">IF($A1872="","",IFERROR(F1872/E1872,0))</f>
        <v/>
      </c>
      <c r="H1872" s="19" t="str">
        <f aca="false">IF($A1872="","",C1872*Settings!$B$11)</f>
        <v/>
      </c>
      <c r="I1872" s="20" t="str">
        <f aca="false">IF($A1872="","",IF(N(H1872)=0,"",RANK(H1872,$H$5:$H$2004)))</f>
        <v/>
      </c>
      <c r="J1872" s="21" t="str">
        <f aca="false">IF($A1872="","",IF(B1872=0,"No COD orders",IF(B1872&lt;Settings!$B$8,"Too few orders",IF(D1872&gt;=Settings!$B$9,"Restrict COD or verify","Keep COD"))))</f>
        <v/>
      </c>
    </row>
    <row r="1873" customFormat="false" ht="15" hidden="false" customHeight="false" outlineLevel="0" collapsed="false">
      <c r="A1873" s="27"/>
      <c r="B1873" s="17" t="str">
        <f aca="false">IF($A1873="","",COUNTIFS(Orders!$C$2:$C$20001,$A1873,Orders!$E$2:$E$20001,"COD",Orders!$F$2:$F$20001,"Delivered")+COUNTIFS(Orders!$C$2:$C$20001,$A1873,Orders!$E$2:$E$20001,"COD",Orders!$F$2:$F$20001,"RTO"))</f>
        <v/>
      </c>
      <c r="C1873" s="17" t="str">
        <f aca="false">IF($A1873="","",COUNTIFS(Orders!$C$2:$C$20001,$A1873,Orders!$E$2:$E$20001,"COD",Orders!$F$2:$F$20001,"RTO"))</f>
        <v/>
      </c>
      <c r="D1873" s="18" t="str">
        <f aca="false">IF($A1873="","",IFERROR(C1873/B1873,0))</f>
        <v/>
      </c>
      <c r="E1873" s="17" t="str">
        <f aca="false">IF($A1873="","",COUNTIFS(Orders!$C$2:$C$20001,$A1873,Orders!$E$2:$E$20001,"Prepaid",Orders!$F$2:$F$20001,"Delivered")+COUNTIFS(Orders!$C$2:$C$20001,$A1873,Orders!$E$2:$E$20001,"Prepaid",Orders!$F$2:$F$20001,"RTO"))</f>
        <v/>
      </c>
      <c r="F1873" s="17" t="str">
        <f aca="false">IF($A1873="","",COUNTIFS(Orders!$C$2:$C$20001,$A1873,Orders!$E$2:$E$20001,"Prepaid",Orders!$F$2:$F$20001,"RTO"))</f>
        <v/>
      </c>
      <c r="G1873" s="18" t="str">
        <f aca="false">IF($A1873="","",IFERROR(F1873/E1873,0))</f>
        <v/>
      </c>
      <c r="H1873" s="19" t="str">
        <f aca="false">IF($A1873="","",C1873*Settings!$B$11)</f>
        <v/>
      </c>
      <c r="I1873" s="20" t="str">
        <f aca="false">IF($A1873="","",IF(N(H1873)=0,"",RANK(H1873,$H$5:$H$2004)))</f>
        <v/>
      </c>
      <c r="J1873" s="21" t="str">
        <f aca="false">IF($A1873="","",IF(B1873=0,"No COD orders",IF(B1873&lt;Settings!$B$8,"Too few orders",IF(D1873&gt;=Settings!$B$9,"Restrict COD or verify","Keep COD"))))</f>
        <v/>
      </c>
    </row>
    <row r="1874" customFormat="false" ht="15" hidden="false" customHeight="false" outlineLevel="0" collapsed="false">
      <c r="A1874" s="27"/>
      <c r="B1874" s="17" t="str">
        <f aca="false">IF($A1874="","",COUNTIFS(Orders!$C$2:$C$20001,$A1874,Orders!$E$2:$E$20001,"COD",Orders!$F$2:$F$20001,"Delivered")+COUNTIFS(Orders!$C$2:$C$20001,$A1874,Orders!$E$2:$E$20001,"COD",Orders!$F$2:$F$20001,"RTO"))</f>
        <v/>
      </c>
      <c r="C1874" s="17" t="str">
        <f aca="false">IF($A1874="","",COUNTIFS(Orders!$C$2:$C$20001,$A1874,Orders!$E$2:$E$20001,"COD",Orders!$F$2:$F$20001,"RTO"))</f>
        <v/>
      </c>
      <c r="D1874" s="18" t="str">
        <f aca="false">IF($A1874="","",IFERROR(C1874/B1874,0))</f>
        <v/>
      </c>
      <c r="E1874" s="17" t="str">
        <f aca="false">IF($A1874="","",COUNTIFS(Orders!$C$2:$C$20001,$A1874,Orders!$E$2:$E$20001,"Prepaid",Orders!$F$2:$F$20001,"Delivered")+COUNTIFS(Orders!$C$2:$C$20001,$A1874,Orders!$E$2:$E$20001,"Prepaid",Orders!$F$2:$F$20001,"RTO"))</f>
        <v/>
      </c>
      <c r="F1874" s="17" t="str">
        <f aca="false">IF($A1874="","",COUNTIFS(Orders!$C$2:$C$20001,$A1874,Orders!$E$2:$E$20001,"Prepaid",Orders!$F$2:$F$20001,"RTO"))</f>
        <v/>
      </c>
      <c r="G1874" s="18" t="str">
        <f aca="false">IF($A1874="","",IFERROR(F1874/E1874,0))</f>
        <v/>
      </c>
      <c r="H1874" s="19" t="str">
        <f aca="false">IF($A1874="","",C1874*Settings!$B$11)</f>
        <v/>
      </c>
      <c r="I1874" s="20" t="str">
        <f aca="false">IF($A1874="","",IF(N(H1874)=0,"",RANK(H1874,$H$5:$H$2004)))</f>
        <v/>
      </c>
      <c r="J1874" s="21" t="str">
        <f aca="false">IF($A1874="","",IF(B1874=0,"No COD orders",IF(B1874&lt;Settings!$B$8,"Too few orders",IF(D1874&gt;=Settings!$B$9,"Restrict COD or verify","Keep COD"))))</f>
        <v/>
      </c>
    </row>
    <row r="1875" customFormat="false" ht="15" hidden="false" customHeight="false" outlineLevel="0" collapsed="false">
      <c r="A1875" s="27"/>
      <c r="B1875" s="17" t="str">
        <f aca="false">IF($A1875="","",COUNTIFS(Orders!$C$2:$C$20001,$A1875,Orders!$E$2:$E$20001,"COD",Orders!$F$2:$F$20001,"Delivered")+COUNTIFS(Orders!$C$2:$C$20001,$A1875,Orders!$E$2:$E$20001,"COD",Orders!$F$2:$F$20001,"RTO"))</f>
        <v/>
      </c>
      <c r="C1875" s="17" t="str">
        <f aca="false">IF($A1875="","",COUNTIFS(Orders!$C$2:$C$20001,$A1875,Orders!$E$2:$E$20001,"COD",Orders!$F$2:$F$20001,"RTO"))</f>
        <v/>
      </c>
      <c r="D1875" s="18" t="str">
        <f aca="false">IF($A1875="","",IFERROR(C1875/B1875,0))</f>
        <v/>
      </c>
      <c r="E1875" s="17" t="str">
        <f aca="false">IF($A1875="","",COUNTIFS(Orders!$C$2:$C$20001,$A1875,Orders!$E$2:$E$20001,"Prepaid",Orders!$F$2:$F$20001,"Delivered")+COUNTIFS(Orders!$C$2:$C$20001,$A1875,Orders!$E$2:$E$20001,"Prepaid",Orders!$F$2:$F$20001,"RTO"))</f>
        <v/>
      </c>
      <c r="F1875" s="17" t="str">
        <f aca="false">IF($A1875="","",COUNTIFS(Orders!$C$2:$C$20001,$A1875,Orders!$E$2:$E$20001,"Prepaid",Orders!$F$2:$F$20001,"RTO"))</f>
        <v/>
      </c>
      <c r="G1875" s="18" t="str">
        <f aca="false">IF($A1875="","",IFERROR(F1875/E1875,0))</f>
        <v/>
      </c>
      <c r="H1875" s="19" t="str">
        <f aca="false">IF($A1875="","",C1875*Settings!$B$11)</f>
        <v/>
      </c>
      <c r="I1875" s="20" t="str">
        <f aca="false">IF($A1875="","",IF(N(H1875)=0,"",RANK(H1875,$H$5:$H$2004)))</f>
        <v/>
      </c>
      <c r="J1875" s="21" t="str">
        <f aca="false">IF($A1875="","",IF(B1875=0,"No COD orders",IF(B1875&lt;Settings!$B$8,"Too few orders",IF(D1875&gt;=Settings!$B$9,"Restrict COD or verify","Keep COD"))))</f>
        <v/>
      </c>
    </row>
    <row r="1876" customFormat="false" ht="15" hidden="false" customHeight="false" outlineLevel="0" collapsed="false">
      <c r="A1876" s="27"/>
      <c r="B1876" s="17" t="str">
        <f aca="false">IF($A1876="","",COUNTIFS(Orders!$C$2:$C$20001,$A1876,Orders!$E$2:$E$20001,"COD",Orders!$F$2:$F$20001,"Delivered")+COUNTIFS(Orders!$C$2:$C$20001,$A1876,Orders!$E$2:$E$20001,"COD",Orders!$F$2:$F$20001,"RTO"))</f>
        <v/>
      </c>
      <c r="C1876" s="17" t="str">
        <f aca="false">IF($A1876="","",COUNTIFS(Orders!$C$2:$C$20001,$A1876,Orders!$E$2:$E$20001,"COD",Orders!$F$2:$F$20001,"RTO"))</f>
        <v/>
      </c>
      <c r="D1876" s="18" t="str">
        <f aca="false">IF($A1876="","",IFERROR(C1876/B1876,0))</f>
        <v/>
      </c>
      <c r="E1876" s="17" t="str">
        <f aca="false">IF($A1876="","",COUNTIFS(Orders!$C$2:$C$20001,$A1876,Orders!$E$2:$E$20001,"Prepaid",Orders!$F$2:$F$20001,"Delivered")+COUNTIFS(Orders!$C$2:$C$20001,$A1876,Orders!$E$2:$E$20001,"Prepaid",Orders!$F$2:$F$20001,"RTO"))</f>
        <v/>
      </c>
      <c r="F1876" s="17" t="str">
        <f aca="false">IF($A1876="","",COUNTIFS(Orders!$C$2:$C$20001,$A1876,Orders!$E$2:$E$20001,"Prepaid",Orders!$F$2:$F$20001,"RTO"))</f>
        <v/>
      </c>
      <c r="G1876" s="18" t="str">
        <f aca="false">IF($A1876="","",IFERROR(F1876/E1876,0))</f>
        <v/>
      </c>
      <c r="H1876" s="19" t="str">
        <f aca="false">IF($A1876="","",C1876*Settings!$B$11)</f>
        <v/>
      </c>
      <c r="I1876" s="20" t="str">
        <f aca="false">IF($A1876="","",IF(N(H1876)=0,"",RANK(H1876,$H$5:$H$2004)))</f>
        <v/>
      </c>
      <c r="J1876" s="21" t="str">
        <f aca="false">IF($A1876="","",IF(B1876=0,"No COD orders",IF(B1876&lt;Settings!$B$8,"Too few orders",IF(D1876&gt;=Settings!$B$9,"Restrict COD or verify","Keep COD"))))</f>
        <v/>
      </c>
    </row>
    <row r="1877" customFormat="false" ht="15" hidden="false" customHeight="false" outlineLevel="0" collapsed="false">
      <c r="A1877" s="27"/>
      <c r="B1877" s="17" t="str">
        <f aca="false">IF($A1877="","",COUNTIFS(Orders!$C$2:$C$20001,$A1877,Orders!$E$2:$E$20001,"COD",Orders!$F$2:$F$20001,"Delivered")+COUNTIFS(Orders!$C$2:$C$20001,$A1877,Orders!$E$2:$E$20001,"COD",Orders!$F$2:$F$20001,"RTO"))</f>
        <v/>
      </c>
      <c r="C1877" s="17" t="str">
        <f aca="false">IF($A1877="","",COUNTIFS(Orders!$C$2:$C$20001,$A1877,Orders!$E$2:$E$20001,"COD",Orders!$F$2:$F$20001,"RTO"))</f>
        <v/>
      </c>
      <c r="D1877" s="18" t="str">
        <f aca="false">IF($A1877="","",IFERROR(C1877/B1877,0))</f>
        <v/>
      </c>
      <c r="E1877" s="17" t="str">
        <f aca="false">IF($A1877="","",COUNTIFS(Orders!$C$2:$C$20001,$A1877,Orders!$E$2:$E$20001,"Prepaid",Orders!$F$2:$F$20001,"Delivered")+COUNTIFS(Orders!$C$2:$C$20001,$A1877,Orders!$E$2:$E$20001,"Prepaid",Orders!$F$2:$F$20001,"RTO"))</f>
        <v/>
      </c>
      <c r="F1877" s="17" t="str">
        <f aca="false">IF($A1877="","",COUNTIFS(Orders!$C$2:$C$20001,$A1877,Orders!$E$2:$E$20001,"Prepaid",Orders!$F$2:$F$20001,"RTO"))</f>
        <v/>
      </c>
      <c r="G1877" s="18" t="str">
        <f aca="false">IF($A1877="","",IFERROR(F1877/E1877,0))</f>
        <v/>
      </c>
      <c r="H1877" s="19" t="str">
        <f aca="false">IF($A1877="","",C1877*Settings!$B$11)</f>
        <v/>
      </c>
      <c r="I1877" s="20" t="str">
        <f aca="false">IF($A1877="","",IF(N(H1877)=0,"",RANK(H1877,$H$5:$H$2004)))</f>
        <v/>
      </c>
      <c r="J1877" s="21" t="str">
        <f aca="false">IF($A1877="","",IF(B1877=0,"No COD orders",IF(B1877&lt;Settings!$B$8,"Too few orders",IF(D1877&gt;=Settings!$B$9,"Restrict COD or verify","Keep COD"))))</f>
        <v/>
      </c>
    </row>
    <row r="1878" customFormat="false" ht="15" hidden="false" customHeight="false" outlineLevel="0" collapsed="false">
      <c r="A1878" s="27"/>
      <c r="B1878" s="17" t="str">
        <f aca="false">IF($A1878="","",COUNTIFS(Orders!$C$2:$C$20001,$A1878,Orders!$E$2:$E$20001,"COD",Orders!$F$2:$F$20001,"Delivered")+COUNTIFS(Orders!$C$2:$C$20001,$A1878,Orders!$E$2:$E$20001,"COD",Orders!$F$2:$F$20001,"RTO"))</f>
        <v/>
      </c>
      <c r="C1878" s="17" t="str">
        <f aca="false">IF($A1878="","",COUNTIFS(Orders!$C$2:$C$20001,$A1878,Orders!$E$2:$E$20001,"COD",Orders!$F$2:$F$20001,"RTO"))</f>
        <v/>
      </c>
      <c r="D1878" s="18" t="str">
        <f aca="false">IF($A1878="","",IFERROR(C1878/B1878,0))</f>
        <v/>
      </c>
      <c r="E1878" s="17" t="str">
        <f aca="false">IF($A1878="","",COUNTIFS(Orders!$C$2:$C$20001,$A1878,Orders!$E$2:$E$20001,"Prepaid",Orders!$F$2:$F$20001,"Delivered")+COUNTIFS(Orders!$C$2:$C$20001,$A1878,Orders!$E$2:$E$20001,"Prepaid",Orders!$F$2:$F$20001,"RTO"))</f>
        <v/>
      </c>
      <c r="F1878" s="17" t="str">
        <f aca="false">IF($A1878="","",COUNTIFS(Orders!$C$2:$C$20001,$A1878,Orders!$E$2:$E$20001,"Prepaid",Orders!$F$2:$F$20001,"RTO"))</f>
        <v/>
      </c>
      <c r="G1878" s="18" t="str">
        <f aca="false">IF($A1878="","",IFERROR(F1878/E1878,0))</f>
        <v/>
      </c>
      <c r="H1878" s="19" t="str">
        <f aca="false">IF($A1878="","",C1878*Settings!$B$11)</f>
        <v/>
      </c>
      <c r="I1878" s="20" t="str">
        <f aca="false">IF($A1878="","",IF(N(H1878)=0,"",RANK(H1878,$H$5:$H$2004)))</f>
        <v/>
      </c>
      <c r="J1878" s="21" t="str">
        <f aca="false">IF($A1878="","",IF(B1878=0,"No COD orders",IF(B1878&lt;Settings!$B$8,"Too few orders",IF(D1878&gt;=Settings!$B$9,"Restrict COD or verify","Keep COD"))))</f>
        <v/>
      </c>
    </row>
    <row r="1879" customFormat="false" ht="15" hidden="false" customHeight="false" outlineLevel="0" collapsed="false">
      <c r="A1879" s="27"/>
      <c r="B1879" s="17" t="str">
        <f aca="false">IF($A1879="","",COUNTIFS(Orders!$C$2:$C$20001,$A1879,Orders!$E$2:$E$20001,"COD",Orders!$F$2:$F$20001,"Delivered")+COUNTIFS(Orders!$C$2:$C$20001,$A1879,Orders!$E$2:$E$20001,"COD",Orders!$F$2:$F$20001,"RTO"))</f>
        <v/>
      </c>
      <c r="C1879" s="17" t="str">
        <f aca="false">IF($A1879="","",COUNTIFS(Orders!$C$2:$C$20001,$A1879,Orders!$E$2:$E$20001,"COD",Orders!$F$2:$F$20001,"RTO"))</f>
        <v/>
      </c>
      <c r="D1879" s="18" t="str">
        <f aca="false">IF($A1879="","",IFERROR(C1879/B1879,0))</f>
        <v/>
      </c>
      <c r="E1879" s="17" t="str">
        <f aca="false">IF($A1879="","",COUNTIFS(Orders!$C$2:$C$20001,$A1879,Orders!$E$2:$E$20001,"Prepaid",Orders!$F$2:$F$20001,"Delivered")+COUNTIFS(Orders!$C$2:$C$20001,$A1879,Orders!$E$2:$E$20001,"Prepaid",Orders!$F$2:$F$20001,"RTO"))</f>
        <v/>
      </c>
      <c r="F1879" s="17" t="str">
        <f aca="false">IF($A1879="","",COUNTIFS(Orders!$C$2:$C$20001,$A1879,Orders!$E$2:$E$20001,"Prepaid",Orders!$F$2:$F$20001,"RTO"))</f>
        <v/>
      </c>
      <c r="G1879" s="18" t="str">
        <f aca="false">IF($A1879="","",IFERROR(F1879/E1879,0))</f>
        <v/>
      </c>
      <c r="H1879" s="19" t="str">
        <f aca="false">IF($A1879="","",C1879*Settings!$B$11)</f>
        <v/>
      </c>
      <c r="I1879" s="20" t="str">
        <f aca="false">IF($A1879="","",IF(N(H1879)=0,"",RANK(H1879,$H$5:$H$2004)))</f>
        <v/>
      </c>
      <c r="J1879" s="21" t="str">
        <f aca="false">IF($A1879="","",IF(B1879=0,"No COD orders",IF(B1879&lt;Settings!$B$8,"Too few orders",IF(D1879&gt;=Settings!$B$9,"Restrict COD or verify","Keep COD"))))</f>
        <v/>
      </c>
    </row>
    <row r="1880" customFormat="false" ht="15" hidden="false" customHeight="false" outlineLevel="0" collapsed="false">
      <c r="A1880" s="27"/>
      <c r="B1880" s="17" t="str">
        <f aca="false">IF($A1880="","",COUNTIFS(Orders!$C$2:$C$20001,$A1880,Orders!$E$2:$E$20001,"COD",Orders!$F$2:$F$20001,"Delivered")+COUNTIFS(Orders!$C$2:$C$20001,$A1880,Orders!$E$2:$E$20001,"COD",Orders!$F$2:$F$20001,"RTO"))</f>
        <v/>
      </c>
      <c r="C1880" s="17" t="str">
        <f aca="false">IF($A1880="","",COUNTIFS(Orders!$C$2:$C$20001,$A1880,Orders!$E$2:$E$20001,"COD",Orders!$F$2:$F$20001,"RTO"))</f>
        <v/>
      </c>
      <c r="D1880" s="18" t="str">
        <f aca="false">IF($A1880="","",IFERROR(C1880/B1880,0))</f>
        <v/>
      </c>
      <c r="E1880" s="17" t="str">
        <f aca="false">IF($A1880="","",COUNTIFS(Orders!$C$2:$C$20001,$A1880,Orders!$E$2:$E$20001,"Prepaid",Orders!$F$2:$F$20001,"Delivered")+COUNTIFS(Orders!$C$2:$C$20001,$A1880,Orders!$E$2:$E$20001,"Prepaid",Orders!$F$2:$F$20001,"RTO"))</f>
        <v/>
      </c>
      <c r="F1880" s="17" t="str">
        <f aca="false">IF($A1880="","",COUNTIFS(Orders!$C$2:$C$20001,$A1880,Orders!$E$2:$E$20001,"Prepaid",Orders!$F$2:$F$20001,"RTO"))</f>
        <v/>
      </c>
      <c r="G1880" s="18" t="str">
        <f aca="false">IF($A1880="","",IFERROR(F1880/E1880,0))</f>
        <v/>
      </c>
      <c r="H1880" s="19" t="str">
        <f aca="false">IF($A1880="","",C1880*Settings!$B$11)</f>
        <v/>
      </c>
      <c r="I1880" s="20" t="str">
        <f aca="false">IF($A1880="","",IF(N(H1880)=0,"",RANK(H1880,$H$5:$H$2004)))</f>
        <v/>
      </c>
      <c r="J1880" s="21" t="str">
        <f aca="false">IF($A1880="","",IF(B1880=0,"No COD orders",IF(B1880&lt;Settings!$B$8,"Too few orders",IF(D1880&gt;=Settings!$B$9,"Restrict COD or verify","Keep COD"))))</f>
        <v/>
      </c>
    </row>
    <row r="1881" customFormat="false" ht="15" hidden="false" customHeight="false" outlineLevel="0" collapsed="false">
      <c r="A1881" s="27"/>
      <c r="B1881" s="17" t="str">
        <f aca="false">IF($A1881="","",COUNTIFS(Orders!$C$2:$C$20001,$A1881,Orders!$E$2:$E$20001,"COD",Orders!$F$2:$F$20001,"Delivered")+COUNTIFS(Orders!$C$2:$C$20001,$A1881,Orders!$E$2:$E$20001,"COD",Orders!$F$2:$F$20001,"RTO"))</f>
        <v/>
      </c>
      <c r="C1881" s="17" t="str">
        <f aca="false">IF($A1881="","",COUNTIFS(Orders!$C$2:$C$20001,$A1881,Orders!$E$2:$E$20001,"COD",Orders!$F$2:$F$20001,"RTO"))</f>
        <v/>
      </c>
      <c r="D1881" s="18" t="str">
        <f aca="false">IF($A1881="","",IFERROR(C1881/B1881,0))</f>
        <v/>
      </c>
      <c r="E1881" s="17" t="str">
        <f aca="false">IF($A1881="","",COUNTIFS(Orders!$C$2:$C$20001,$A1881,Orders!$E$2:$E$20001,"Prepaid",Orders!$F$2:$F$20001,"Delivered")+COUNTIFS(Orders!$C$2:$C$20001,$A1881,Orders!$E$2:$E$20001,"Prepaid",Orders!$F$2:$F$20001,"RTO"))</f>
        <v/>
      </c>
      <c r="F1881" s="17" t="str">
        <f aca="false">IF($A1881="","",COUNTIFS(Orders!$C$2:$C$20001,$A1881,Orders!$E$2:$E$20001,"Prepaid",Orders!$F$2:$F$20001,"RTO"))</f>
        <v/>
      </c>
      <c r="G1881" s="18" t="str">
        <f aca="false">IF($A1881="","",IFERROR(F1881/E1881,0))</f>
        <v/>
      </c>
      <c r="H1881" s="19" t="str">
        <f aca="false">IF($A1881="","",C1881*Settings!$B$11)</f>
        <v/>
      </c>
      <c r="I1881" s="20" t="str">
        <f aca="false">IF($A1881="","",IF(N(H1881)=0,"",RANK(H1881,$H$5:$H$2004)))</f>
        <v/>
      </c>
      <c r="J1881" s="21" t="str">
        <f aca="false">IF($A1881="","",IF(B1881=0,"No COD orders",IF(B1881&lt;Settings!$B$8,"Too few orders",IF(D1881&gt;=Settings!$B$9,"Restrict COD or verify","Keep COD"))))</f>
        <v/>
      </c>
    </row>
    <row r="1882" customFormat="false" ht="15" hidden="false" customHeight="false" outlineLevel="0" collapsed="false">
      <c r="A1882" s="27"/>
      <c r="B1882" s="17" t="str">
        <f aca="false">IF($A1882="","",COUNTIFS(Orders!$C$2:$C$20001,$A1882,Orders!$E$2:$E$20001,"COD",Orders!$F$2:$F$20001,"Delivered")+COUNTIFS(Orders!$C$2:$C$20001,$A1882,Orders!$E$2:$E$20001,"COD",Orders!$F$2:$F$20001,"RTO"))</f>
        <v/>
      </c>
      <c r="C1882" s="17" t="str">
        <f aca="false">IF($A1882="","",COUNTIFS(Orders!$C$2:$C$20001,$A1882,Orders!$E$2:$E$20001,"COD",Orders!$F$2:$F$20001,"RTO"))</f>
        <v/>
      </c>
      <c r="D1882" s="18" t="str">
        <f aca="false">IF($A1882="","",IFERROR(C1882/B1882,0))</f>
        <v/>
      </c>
      <c r="E1882" s="17" t="str">
        <f aca="false">IF($A1882="","",COUNTIFS(Orders!$C$2:$C$20001,$A1882,Orders!$E$2:$E$20001,"Prepaid",Orders!$F$2:$F$20001,"Delivered")+COUNTIFS(Orders!$C$2:$C$20001,$A1882,Orders!$E$2:$E$20001,"Prepaid",Orders!$F$2:$F$20001,"RTO"))</f>
        <v/>
      </c>
      <c r="F1882" s="17" t="str">
        <f aca="false">IF($A1882="","",COUNTIFS(Orders!$C$2:$C$20001,$A1882,Orders!$E$2:$E$20001,"Prepaid",Orders!$F$2:$F$20001,"RTO"))</f>
        <v/>
      </c>
      <c r="G1882" s="18" t="str">
        <f aca="false">IF($A1882="","",IFERROR(F1882/E1882,0))</f>
        <v/>
      </c>
      <c r="H1882" s="19" t="str">
        <f aca="false">IF($A1882="","",C1882*Settings!$B$11)</f>
        <v/>
      </c>
      <c r="I1882" s="20" t="str">
        <f aca="false">IF($A1882="","",IF(N(H1882)=0,"",RANK(H1882,$H$5:$H$2004)))</f>
        <v/>
      </c>
      <c r="J1882" s="21" t="str">
        <f aca="false">IF($A1882="","",IF(B1882=0,"No COD orders",IF(B1882&lt;Settings!$B$8,"Too few orders",IF(D1882&gt;=Settings!$B$9,"Restrict COD or verify","Keep COD"))))</f>
        <v/>
      </c>
    </row>
    <row r="1883" customFormat="false" ht="15" hidden="false" customHeight="false" outlineLevel="0" collapsed="false">
      <c r="A1883" s="27"/>
      <c r="B1883" s="17" t="str">
        <f aca="false">IF($A1883="","",COUNTIFS(Orders!$C$2:$C$20001,$A1883,Orders!$E$2:$E$20001,"COD",Orders!$F$2:$F$20001,"Delivered")+COUNTIFS(Orders!$C$2:$C$20001,$A1883,Orders!$E$2:$E$20001,"COD",Orders!$F$2:$F$20001,"RTO"))</f>
        <v/>
      </c>
      <c r="C1883" s="17" t="str">
        <f aca="false">IF($A1883="","",COUNTIFS(Orders!$C$2:$C$20001,$A1883,Orders!$E$2:$E$20001,"COD",Orders!$F$2:$F$20001,"RTO"))</f>
        <v/>
      </c>
      <c r="D1883" s="18" t="str">
        <f aca="false">IF($A1883="","",IFERROR(C1883/B1883,0))</f>
        <v/>
      </c>
      <c r="E1883" s="17" t="str">
        <f aca="false">IF($A1883="","",COUNTIFS(Orders!$C$2:$C$20001,$A1883,Orders!$E$2:$E$20001,"Prepaid",Orders!$F$2:$F$20001,"Delivered")+COUNTIFS(Orders!$C$2:$C$20001,$A1883,Orders!$E$2:$E$20001,"Prepaid",Orders!$F$2:$F$20001,"RTO"))</f>
        <v/>
      </c>
      <c r="F1883" s="17" t="str">
        <f aca="false">IF($A1883="","",COUNTIFS(Orders!$C$2:$C$20001,$A1883,Orders!$E$2:$E$20001,"Prepaid",Orders!$F$2:$F$20001,"RTO"))</f>
        <v/>
      </c>
      <c r="G1883" s="18" t="str">
        <f aca="false">IF($A1883="","",IFERROR(F1883/E1883,0))</f>
        <v/>
      </c>
      <c r="H1883" s="19" t="str">
        <f aca="false">IF($A1883="","",C1883*Settings!$B$11)</f>
        <v/>
      </c>
      <c r="I1883" s="20" t="str">
        <f aca="false">IF($A1883="","",IF(N(H1883)=0,"",RANK(H1883,$H$5:$H$2004)))</f>
        <v/>
      </c>
      <c r="J1883" s="21" t="str">
        <f aca="false">IF($A1883="","",IF(B1883=0,"No COD orders",IF(B1883&lt;Settings!$B$8,"Too few orders",IF(D1883&gt;=Settings!$B$9,"Restrict COD or verify","Keep COD"))))</f>
        <v/>
      </c>
    </row>
    <row r="1884" customFormat="false" ht="15" hidden="false" customHeight="false" outlineLevel="0" collapsed="false">
      <c r="A1884" s="27"/>
      <c r="B1884" s="17" t="str">
        <f aca="false">IF($A1884="","",COUNTIFS(Orders!$C$2:$C$20001,$A1884,Orders!$E$2:$E$20001,"COD",Orders!$F$2:$F$20001,"Delivered")+COUNTIFS(Orders!$C$2:$C$20001,$A1884,Orders!$E$2:$E$20001,"COD",Orders!$F$2:$F$20001,"RTO"))</f>
        <v/>
      </c>
      <c r="C1884" s="17" t="str">
        <f aca="false">IF($A1884="","",COUNTIFS(Orders!$C$2:$C$20001,$A1884,Orders!$E$2:$E$20001,"COD",Orders!$F$2:$F$20001,"RTO"))</f>
        <v/>
      </c>
      <c r="D1884" s="18" t="str">
        <f aca="false">IF($A1884="","",IFERROR(C1884/B1884,0))</f>
        <v/>
      </c>
      <c r="E1884" s="17" t="str">
        <f aca="false">IF($A1884="","",COUNTIFS(Orders!$C$2:$C$20001,$A1884,Orders!$E$2:$E$20001,"Prepaid",Orders!$F$2:$F$20001,"Delivered")+COUNTIFS(Orders!$C$2:$C$20001,$A1884,Orders!$E$2:$E$20001,"Prepaid",Orders!$F$2:$F$20001,"RTO"))</f>
        <v/>
      </c>
      <c r="F1884" s="17" t="str">
        <f aca="false">IF($A1884="","",COUNTIFS(Orders!$C$2:$C$20001,$A1884,Orders!$E$2:$E$20001,"Prepaid",Orders!$F$2:$F$20001,"RTO"))</f>
        <v/>
      </c>
      <c r="G1884" s="18" t="str">
        <f aca="false">IF($A1884="","",IFERROR(F1884/E1884,0))</f>
        <v/>
      </c>
      <c r="H1884" s="19" t="str">
        <f aca="false">IF($A1884="","",C1884*Settings!$B$11)</f>
        <v/>
      </c>
      <c r="I1884" s="20" t="str">
        <f aca="false">IF($A1884="","",IF(N(H1884)=0,"",RANK(H1884,$H$5:$H$2004)))</f>
        <v/>
      </c>
      <c r="J1884" s="21" t="str">
        <f aca="false">IF($A1884="","",IF(B1884=0,"No COD orders",IF(B1884&lt;Settings!$B$8,"Too few orders",IF(D1884&gt;=Settings!$B$9,"Restrict COD or verify","Keep COD"))))</f>
        <v/>
      </c>
    </row>
    <row r="1885" customFormat="false" ht="15" hidden="false" customHeight="false" outlineLevel="0" collapsed="false">
      <c r="A1885" s="27"/>
      <c r="B1885" s="17" t="str">
        <f aca="false">IF($A1885="","",COUNTIFS(Orders!$C$2:$C$20001,$A1885,Orders!$E$2:$E$20001,"COD",Orders!$F$2:$F$20001,"Delivered")+COUNTIFS(Orders!$C$2:$C$20001,$A1885,Orders!$E$2:$E$20001,"COD",Orders!$F$2:$F$20001,"RTO"))</f>
        <v/>
      </c>
      <c r="C1885" s="17" t="str">
        <f aca="false">IF($A1885="","",COUNTIFS(Orders!$C$2:$C$20001,$A1885,Orders!$E$2:$E$20001,"COD",Orders!$F$2:$F$20001,"RTO"))</f>
        <v/>
      </c>
      <c r="D1885" s="18" t="str">
        <f aca="false">IF($A1885="","",IFERROR(C1885/B1885,0))</f>
        <v/>
      </c>
      <c r="E1885" s="17" t="str">
        <f aca="false">IF($A1885="","",COUNTIFS(Orders!$C$2:$C$20001,$A1885,Orders!$E$2:$E$20001,"Prepaid",Orders!$F$2:$F$20001,"Delivered")+COUNTIFS(Orders!$C$2:$C$20001,$A1885,Orders!$E$2:$E$20001,"Prepaid",Orders!$F$2:$F$20001,"RTO"))</f>
        <v/>
      </c>
      <c r="F1885" s="17" t="str">
        <f aca="false">IF($A1885="","",COUNTIFS(Orders!$C$2:$C$20001,$A1885,Orders!$E$2:$E$20001,"Prepaid",Orders!$F$2:$F$20001,"RTO"))</f>
        <v/>
      </c>
      <c r="G1885" s="18" t="str">
        <f aca="false">IF($A1885="","",IFERROR(F1885/E1885,0))</f>
        <v/>
      </c>
      <c r="H1885" s="19" t="str">
        <f aca="false">IF($A1885="","",C1885*Settings!$B$11)</f>
        <v/>
      </c>
      <c r="I1885" s="20" t="str">
        <f aca="false">IF($A1885="","",IF(N(H1885)=0,"",RANK(H1885,$H$5:$H$2004)))</f>
        <v/>
      </c>
      <c r="J1885" s="21" t="str">
        <f aca="false">IF($A1885="","",IF(B1885=0,"No COD orders",IF(B1885&lt;Settings!$B$8,"Too few orders",IF(D1885&gt;=Settings!$B$9,"Restrict COD or verify","Keep COD"))))</f>
        <v/>
      </c>
    </row>
    <row r="1886" customFormat="false" ht="15" hidden="false" customHeight="false" outlineLevel="0" collapsed="false">
      <c r="A1886" s="27"/>
      <c r="B1886" s="17" t="str">
        <f aca="false">IF($A1886="","",COUNTIFS(Orders!$C$2:$C$20001,$A1886,Orders!$E$2:$E$20001,"COD",Orders!$F$2:$F$20001,"Delivered")+COUNTIFS(Orders!$C$2:$C$20001,$A1886,Orders!$E$2:$E$20001,"COD",Orders!$F$2:$F$20001,"RTO"))</f>
        <v/>
      </c>
      <c r="C1886" s="17" t="str">
        <f aca="false">IF($A1886="","",COUNTIFS(Orders!$C$2:$C$20001,$A1886,Orders!$E$2:$E$20001,"COD",Orders!$F$2:$F$20001,"RTO"))</f>
        <v/>
      </c>
      <c r="D1886" s="18" t="str">
        <f aca="false">IF($A1886="","",IFERROR(C1886/B1886,0))</f>
        <v/>
      </c>
      <c r="E1886" s="17" t="str">
        <f aca="false">IF($A1886="","",COUNTIFS(Orders!$C$2:$C$20001,$A1886,Orders!$E$2:$E$20001,"Prepaid",Orders!$F$2:$F$20001,"Delivered")+COUNTIFS(Orders!$C$2:$C$20001,$A1886,Orders!$E$2:$E$20001,"Prepaid",Orders!$F$2:$F$20001,"RTO"))</f>
        <v/>
      </c>
      <c r="F1886" s="17" t="str">
        <f aca="false">IF($A1886="","",COUNTIFS(Orders!$C$2:$C$20001,$A1886,Orders!$E$2:$E$20001,"Prepaid",Orders!$F$2:$F$20001,"RTO"))</f>
        <v/>
      </c>
      <c r="G1886" s="18" t="str">
        <f aca="false">IF($A1886="","",IFERROR(F1886/E1886,0))</f>
        <v/>
      </c>
      <c r="H1886" s="19" t="str">
        <f aca="false">IF($A1886="","",C1886*Settings!$B$11)</f>
        <v/>
      </c>
      <c r="I1886" s="20" t="str">
        <f aca="false">IF($A1886="","",IF(N(H1886)=0,"",RANK(H1886,$H$5:$H$2004)))</f>
        <v/>
      </c>
      <c r="J1886" s="21" t="str">
        <f aca="false">IF($A1886="","",IF(B1886=0,"No COD orders",IF(B1886&lt;Settings!$B$8,"Too few orders",IF(D1886&gt;=Settings!$B$9,"Restrict COD or verify","Keep COD"))))</f>
        <v/>
      </c>
    </row>
    <row r="1887" customFormat="false" ht="15" hidden="false" customHeight="false" outlineLevel="0" collapsed="false">
      <c r="A1887" s="27"/>
      <c r="B1887" s="17" t="str">
        <f aca="false">IF($A1887="","",COUNTIFS(Orders!$C$2:$C$20001,$A1887,Orders!$E$2:$E$20001,"COD",Orders!$F$2:$F$20001,"Delivered")+COUNTIFS(Orders!$C$2:$C$20001,$A1887,Orders!$E$2:$E$20001,"COD",Orders!$F$2:$F$20001,"RTO"))</f>
        <v/>
      </c>
      <c r="C1887" s="17" t="str">
        <f aca="false">IF($A1887="","",COUNTIFS(Orders!$C$2:$C$20001,$A1887,Orders!$E$2:$E$20001,"COD",Orders!$F$2:$F$20001,"RTO"))</f>
        <v/>
      </c>
      <c r="D1887" s="18" t="str">
        <f aca="false">IF($A1887="","",IFERROR(C1887/B1887,0))</f>
        <v/>
      </c>
      <c r="E1887" s="17" t="str">
        <f aca="false">IF($A1887="","",COUNTIFS(Orders!$C$2:$C$20001,$A1887,Orders!$E$2:$E$20001,"Prepaid",Orders!$F$2:$F$20001,"Delivered")+COUNTIFS(Orders!$C$2:$C$20001,$A1887,Orders!$E$2:$E$20001,"Prepaid",Orders!$F$2:$F$20001,"RTO"))</f>
        <v/>
      </c>
      <c r="F1887" s="17" t="str">
        <f aca="false">IF($A1887="","",COUNTIFS(Orders!$C$2:$C$20001,$A1887,Orders!$E$2:$E$20001,"Prepaid",Orders!$F$2:$F$20001,"RTO"))</f>
        <v/>
      </c>
      <c r="G1887" s="18" t="str">
        <f aca="false">IF($A1887="","",IFERROR(F1887/E1887,0))</f>
        <v/>
      </c>
      <c r="H1887" s="19" t="str">
        <f aca="false">IF($A1887="","",C1887*Settings!$B$11)</f>
        <v/>
      </c>
      <c r="I1887" s="20" t="str">
        <f aca="false">IF($A1887="","",IF(N(H1887)=0,"",RANK(H1887,$H$5:$H$2004)))</f>
        <v/>
      </c>
      <c r="J1887" s="21" t="str">
        <f aca="false">IF($A1887="","",IF(B1887=0,"No COD orders",IF(B1887&lt;Settings!$B$8,"Too few orders",IF(D1887&gt;=Settings!$B$9,"Restrict COD or verify","Keep COD"))))</f>
        <v/>
      </c>
    </row>
    <row r="1888" customFormat="false" ht="15" hidden="false" customHeight="false" outlineLevel="0" collapsed="false">
      <c r="A1888" s="27"/>
      <c r="B1888" s="17" t="str">
        <f aca="false">IF($A1888="","",COUNTIFS(Orders!$C$2:$C$20001,$A1888,Orders!$E$2:$E$20001,"COD",Orders!$F$2:$F$20001,"Delivered")+COUNTIFS(Orders!$C$2:$C$20001,$A1888,Orders!$E$2:$E$20001,"COD",Orders!$F$2:$F$20001,"RTO"))</f>
        <v/>
      </c>
      <c r="C1888" s="17" t="str">
        <f aca="false">IF($A1888="","",COUNTIFS(Orders!$C$2:$C$20001,$A1888,Orders!$E$2:$E$20001,"COD",Orders!$F$2:$F$20001,"RTO"))</f>
        <v/>
      </c>
      <c r="D1888" s="18" t="str">
        <f aca="false">IF($A1888="","",IFERROR(C1888/B1888,0))</f>
        <v/>
      </c>
      <c r="E1888" s="17" t="str">
        <f aca="false">IF($A1888="","",COUNTIFS(Orders!$C$2:$C$20001,$A1888,Orders!$E$2:$E$20001,"Prepaid",Orders!$F$2:$F$20001,"Delivered")+COUNTIFS(Orders!$C$2:$C$20001,$A1888,Orders!$E$2:$E$20001,"Prepaid",Orders!$F$2:$F$20001,"RTO"))</f>
        <v/>
      </c>
      <c r="F1888" s="17" t="str">
        <f aca="false">IF($A1888="","",COUNTIFS(Orders!$C$2:$C$20001,$A1888,Orders!$E$2:$E$20001,"Prepaid",Orders!$F$2:$F$20001,"RTO"))</f>
        <v/>
      </c>
      <c r="G1888" s="18" t="str">
        <f aca="false">IF($A1888="","",IFERROR(F1888/E1888,0))</f>
        <v/>
      </c>
      <c r="H1888" s="19" t="str">
        <f aca="false">IF($A1888="","",C1888*Settings!$B$11)</f>
        <v/>
      </c>
      <c r="I1888" s="20" t="str">
        <f aca="false">IF($A1888="","",IF(N(H1888)=0,"",RANK(H1888,$H$5:$H$2004)))</f>
        <v/>
      </c>
      <c r="J1888" s="21" t="str">
        <f aca="false">IF($A1888="","",IF(B1888=0,"No COD orders",IF(B1888&lt;Settings!$B$8,"Too few orders",IF(D1888&gt;=Settings!$B$9,"Restrict COD or verify","Keep COD"))))</f>
        <v/>
      </c>
    </row>
    <row r="1889" customFormat="false" ht="15" hidden="false" customHeight="false" outlineLevel="0" collapsed="false">
      <c r="A1889" s="27"/>
      <c r="B1889" s="17" t="str">
        <f aca="false">IF($A1889="","",COUNTIFS(Orders!$C$2:$C$20001,$A1889,Orders!$E$2:$E$20001,"COD",Orders!$F$2:$F$20001,"Delivered")+COUNTIFS(Orders!$C$2:$C$20001,$A1889,Orders!$E$2:$E$20001,"COD",Orders!$F$2:$F$20001,"RTO"))</f>
        <v/>
      </c>
      <c r="C1889" s="17" t="str">
        <f aca="false">IF($A1889="","",COUNTIFS(Orders!$C$2:$C$20001,$A1889,Orders!$E$2:$E$20001,"COD",Orders!$F$2:$F$20001,"RTO"))</f>
        <v/>
      </c>
      <c r="D1889" s="18" t="str">
        <f aca="false">IF($A1889="","",IFERROR(C1889/B1889,0))</f>
        <v/>
      </c>
      <c r="E1889" s="17" t="str">
        <f aca="false">IF($A1889="","",COUNTIFS(Orders!$C$2:$C$20001,$A1889,Orders!$E$2:$E$20001,"Prepaid",Orders!$F$2:$F$20001,"Delivered")+COUNTIFS(Orders!$C$2:$C$20001,$A1889,Orders!$E$2:$E$20001,"Prepaid",Orders!$F$2:$F$20001,"RTO"))</f>
        <v/>
      </c>
      <c r="F1889" s="17" t="str">
        <f aca="false">IF($A1889="","",COUNTIFS(Orders!$C$2:$C$20001,$A1889,Orders!$E$2:$E$20001,"Prepaid",Orders!$F$2:$F$20001,"RTO"))</f>
        <v/>
      </c>
      <c r="G1889" s="18" t="str">
        <f aca="false">IF($A1889="","",IFERROR(F1889/E1889,0))</f>
        <v/>
      </c>
      <c r="H1889" s="19" t="str">
        <f aca="false">IF($A1889="","",C1889*Settings!$B$11)</f>
        <v/>
      </c>
      <c r="I1889" s="20" t="str">
        <f aca="false">IF($A1889="","",IF(N(H1889)=0,"",RANK(H1889,$H$5:$H$2004)))</f>
        <v/>
      </c>
      <c r="J1889" s="21" t="str">
        <f aca="false">IF($A1889="","",IF(B1889=0,"No COD orders",IF(B1889&lt;Settings!$B$8,"Too few orders",IF(D1889&gt;=Settings!$B$9,"Restrict COD or verify","Keep COD"))))</f>
        <v/>
      </c>
    </row>
    <row r="1890" customFormat="false" ht="15" hidden="false" customHeight="false" outlineLevel="0" collapsed="false">
      <c r="A1890" s="27"/>
      <c r="B1890" s="17" t="str">
        <f aca="false">IF($A1890="","",COUNTIFS(Orders!$C$2:$C$20001,$A1890,Orders!$E$2:$E$20001,"COD",Orders!$F$2:$F$20001,"Delivered")+COUNTIFS(Orders!$C$2:$C$20001,$A1890,Orders!$E$2:$E$20001,"COD",Orders!$F$2:$F$20001,"RTO"))</f>
        <v/>
      </c>
      <c r="C1890" s="17" t="str">
        <f aca="false">IF($A1890="","",COUNTIFS(Orders!$C$2:$C$20001,$A1890,Orders!$E$2:$E$20001,"COD",Orders!$F$2:$F$20001,"RTO"))</f>
        <v/>
      </c>
      <c r="D1890" s="18" t="str">
        <f aca="false">IF($A1890="","",IFERROR(C1890/B1890,0))</f>
        <v/>
      </c>
      <c r="E1890" s="17" t="str">
        <f aca="false">IF($A1890="","",COUNTIFS(Orders!$C$2:$C$20001,$A1890,Orders!$E$2:$E$20001,"Prepaid",Orders!$F$2:$F$20001,"Delivered")+COUNTIFS(Orders!$C$2:$C$20001,$A1890,Orders!$E$2:$E$20001,"Prepaid",Orders!$F$2:$F$20001,"RTO"))</f>
        <v/>
      </c>
      <c r="F1890" s="17" t="str">
        <f aca="false">IF($A1890="","",COUNTIFS(Orders!$C$2:$C$20001,$A1890,Orders!$E$2:$E$20001,"Prepaid",Orders!$F$2:$F$20001,"RTO"))</f>
        <v/>
      </c>
      <c r="G1890" s="18" t="str">
        <f aca="false">IF($A1890="","",IFERROR(F1890/E1890,0))</f>
        <v/>
      </c>
      <c r="H1890" s="19" t="str">
        <f aca="false">IF($A1890="","",C1890*Settings!$B$11)</f>
        <v/>
      </c>
      <c r="I1890" s="20" t="str">
        <f aca="false">IF($A1890="","",IF(N(H1890)=0,"",RANK(H1890,$H$5:$H$2004)))</f>
        <v/>
      </c>
      <c r="J1890" s="21" t="str">
        <f aca="false">IF($A1890="","",IF(B1890=0,"No COD orders",IF(B1890&lt;Settings!$B$8,"Too few orders",IF(D1890&gt;=Settings!$B$9,"Restrict COD or verify","Keep COD"))))</f>
        <v/>
      </c>
    </row>
    <row r="1891" customFormat="false" ht="15" hidden="false" customHeight="false" outlineLevel="0" collapsed="false">
      <c r="A1891" s="27"/>
      <c r="B1891" s="17" t="str">
        <f aca="false">IF($A1891="","",COUNTIFS(Orders!$C$2:$C$20001,$A1891,Orders!$E$2:$E$20001,"COD",Orders!$F$2:$F$20001,"Delivered")+COUNTIFS(Orders!$C$2:$C$20001,$A1891,Orders!$E$2:$E$20001,"COD",Orders!$F$2:$F$20001,"RTO"))</f>
        <v/>
      </c>
      <c r="C1891" s="17" t="str">
        <f aca="false">IF($A1891="","",COUNTIFS(Orders!$C$2:$C$20001,$A1891,Orders!$E$2:$E$20001,"COD",Orders!$F$2:$F$20001,"RTO"))</f>
        <v/>
      </c>
      <c r="D1891" s="18" t="str">
        <f aca="false">IF($A1891="","",IFERROR(C1891/B1891,0))</f>
        <v/>
      </c>
      <c r="E1891" s="17" t="str">
        <f aca="false">IF($A1891="","",COUNTIFS(Orders!$C$2:$C$20001,$A1891,Orders!$E$2:$E$20001,"Prepaid",Orders!$F$2:$F$20001,"Delivered")+COUNTIFS(Orders!$C$2:$C$20001,$A1891,Orders!$E$2:$E$20001,"Prepaid",Orders!$F$2:$F$20001,"RTO"))</f>
        <v/>
      </c>
      <c r="F1891" s="17" t="str">
        <f aca="false">IF($A1891="","",COUNTIFS(Orders!$C$2:$C$20001,$A1891,Orders!$E$2:$E$20001,"Prepaid",Orders!$F$2:$F$20001,"RTO"))</f>
        <v/>
      </c>
      <c r="G1891" s="18" t="str">
        <f aca="false">IF($A1891="","",IFERROR(F1891/E1891,0))</f>
        <v/>
      </c>
      <c r="H1891" s="19" t="str">
        <f aca="false">IF($A1891="","",C1891*Settings!$B$11)</f>
        <v/>
      </c>
      <c r="I1891" s="20" t="str">
        <f aca="false">IF($A1891="","",IF(N(H1891)=0,"",RANK(H1891,$H$5:$H$2004)))</f>
        <v/>
      </c>
      <c r="J1891" s="21" t="str">
        <f aca="false">IF($A1891="","",IF(B1891=0,"No COD orders",IF(B1891&lt;Settings!$B$8,"Too few orders",IF(D1891&gt;=Settings!$B$9,"Restrict COD or verify","Keep COD"))))</f>
        <v/>
      </c>
    </row>
    <row r="1892" customFormat="false" ht="15" hidden="false" customHeight="false" outlineLevel="0" collapsed="false">
      <c r="A1892" s="27"/>
      <c r="B1892" s="17" t="str">
        <f aca="false">IF($A1892="","",COUNTIFS(Orders!$C$2:$C$20001,$A1892,Orders!$E$2:$E$20001,"COD",Orders!$F$2:$F$20001,"Delivered")+COUNTIFS(Orders!$C$2:$C$20001,$A1892,Orders!$E$2:$E$20001,"COD",Orders!$F$2:$F$20001,"RTO"))</f>
        <v/>
      </c>
      <c r="C1892" s="17" t="str">
        <f aca="false">IF($A1892="","",COUNTIFS(Orders!$C$2:$C$20001,$A1892,Orders!$E$2:$E$20001,"COD",Orders!$F$2:$F$20001,"RTO"))</f>
        <v/>
      </c>
      <c r="D1892" s="18" t="str">
        <f aca="false">IF($A1892="","",IFERROR(C1892/B1892,0))</f>
        <v/>
      </c>
      <c r="E1892" s="17" t="str">
        <f aca="false">IF($A1892="","",COUNTIFS(Orders!$C$2:$C$20001,$A1892,Orders!$E$2:$E$20001,"Prepaid",Orders!$F$2:$F$20001,"Delivered")+COUNTIFS(Orders!$C$2:$C$20001,$A1892,Orders!$E$2:$E$20001,"Prepaid",Orders!$F$2:$F$20001,"RTO"))</f>
        <v/>
      </c>
      <c r="F1892" s="17" t="str">
        <f aca="false">IF($A1892="","",COUNTIFS(Orders!$C$2:$C$20001,$A1892,Orders!$E$2:$E$20001,"Prepaid",Orders!$F$2:$F$20001,"RTO"))</f>
        <v/>
      </c>
      <c r="G1892" s="18" t="str">
        <f aca="false">IF($A1892="","",IFERROR(F1892/E1892,0))</f>
        <v/>
      </c>
      <c r="H1892" s="19" t="str">
        <f aca="false">IF($A1892="","",C1892*Settings!$B$11)</f>
        <v/>
      </c>
      <c r="I1892" s="20" t="str">
        <f aca="false">IF($A1892="","",IF(N(H1892)=0,"",RANK(H1892,$H$5:$H$2004)))</f>
        <v/>
      </c>
      <c r="J1892" s="21" t="str">
        <f aca="false">IF($A1892="","",IF(B1892=0,"No COD orders",IF(B1892&lt;Settings!$B$8,"Too few orders",IF(D1892&gt;=Settings!$B$9,"Restrict COD or verify","Keep COD"))))</f>
        <v/>
      </c>
    </row>
    <row r="1893" customFormat="false" ht="15" hidden="false" customHeight="false" outlineLevel="0" collapsed="false">
      <c r="A1893" s="27"/>
      <c r="B1893" s="17" t="str">
        <f aca="false">IF($A1893="","",COUNTIFS(Orders!$C$2:$C$20001,$A1893,Orders!$E$2:$E$20001,"COD",Orders!$F$2:$F$20001,"Delivered")+COUNTIFS(Orders!$C$2:$C$20001,$A1893,Orders!$E$2:$E$20001,"COD",Orders!$F$2:$F$20001,"RTO"))</f>
        <v/>
      </c>
      <c r="C1893" s="17" t="str">
        <f aca="false">IF($A1893="","",COUNTIFS(Orders!$C$2:$C$20001,$A1893,Orders!$E$2:$E$20001,"COD",Orders!$F$2:$F$20001,"RTO"))</f>
        <v/>
      </c>
      <c r="D1893" s="18" t="str">
        <f aca="false">IF($A1893="","",IFERROR(C1893/B1893,0))</f>
        <v/>
      </c>
      <c r="E1893" s="17" t="str">
        <f aca="false">IF($A1893="","",COUNTIFS(Orders!$C$2:$C$20001,$A1893,Orders!$E$2:$E$20001,"Prepaid",Orders!$F$2:$F$20001,"Delivered")+COUNTIFS(Orders!$C$2:$C$20001,$A1893,Orders!$E$2:$E$20001,"Prepaid",Orders!$F$2:$F$20001,"RTO"))</f>
        <v/>
      </c>
      <c r="F1893" s="17" t="str">
        <f aca="false">IF($A1893="","",COUNTIFS(Orders!$C$2:$C$20001,$A1893,Orders!$E$2:$E$20001,"Prepaid",Orders!$F$2:$F$20001,"RTO"))</f>
        <v/>
      </c>
      <c r="G1893" s="18" t="str">
        <f aca="false">IF($A1893="","",IFERROR(F1893/E1893,0))</f>
        <v/>
      </c>
      <c r="H1893" s="19" t="str">
        <f aca="false">IF($A1893="","",C1893*Settings!$B$11)</f>
        <v/>
      </c>
      <c r="I1893" s="20" t="str">
        <f aca="false">IF($A1893="","",IF(N(H1893)=0,"",RANK(H1893,$H$5:$H$2004)))</f>
        <v/>
      </c>
      <c r="J1893" s="21" t="str">
        <f aca="false">IF($A1893="","",IF(B1893=0,"No COD orders",IF(B1893&lt;Settings!$B$8,"Too few orders",IF(D1893&gt;=Settings!$B$9,"Restrict COD or verify","Keep COD"))))</f>
        <v/>
      </c>
    </row>
    <row r="1894" customFormat="false" ht="15" hidden="false" customHeight="false" outlineLevel="0" collapsed="false">
      <c r="A1894" s="27"/>
      <c r="B1894" s="17" t="str">
        <f aca="false">IF($A1894="","",COUNTIFS(Orders!$C$2:$C$20001,$A1894,Orders!$E$2:$E$20001,"COD",Orders!$F$2:$F$20001,"Delivered")+COUNTIFS(Orders!$C$2:$C$20001,$A1894,Orders!$E$2:$E$20001,"COD",Orders!$F$2:$F$20001,"RTO"))</f>
        <v/>
      </c>
      <c r="C1894" s="17" t="str">
        <f aca="false">IF($A1894="","",COUNTIFS(Orders!$C$2:$C$20001,$A1894,Orders!$E$2:$E$20001,"COD",Orders!$F$2:$F$20001,"RTO"))</f>
        <v/>
      </c>
      <c r="D1894" s="18" t="str">
        <f aca="false">IF($A1894="","",IFERROR(C1894/B1894,0))</f>
        <v/>
      </c>
      <c r="E1894" s="17" t="str">
        <f aca="false">IF($A1894="","",COUNTIFS(Orders!$C$2:$C$20001,$A1894,Orders!$E$2:$E$20001,"Prepaid",Orders!$F$2:$F$20001,"Delivered")+COUNTIFS(Orders!$C$2:$C$20001,$A1894,Orders!$E$2:$E$20001,"Prepaid",Orders!$F$2:$F$20001,"RTO"))</f>
        <v/>
      </c>
      <c r="F1894" s="17" t="str">
        <f aca="false">IF($A1894="","",COUNTIFS(Orders!$C$2:$C$20001,$A1894,Orders!$E$2:$E$20001,"Prepaid",Orders!$F$2:$F$20001,"RTO"))</f>
        <v/>
      </c>
      <c r="G1894" s="18" t="str">
        <f aca="false">IF($A1894="","",IFERROR(F1894/E1894,0))</f>
        <v/>
      </c>
      <c r="H1894" s="19" t="str">
        <f aca="false">IF($A1894="","",C1894*Settings!$B$11)</f>
        <v/>
      </c>
      <c r="I1894" s="20" t="str">
        <f aca="false">IF($A1894="","",IF(N(H1894)=0,"",RANK(H1894,$H$5:$H$2004)))</f>
        <v/>
      </c>
      <c r="J1894" s="21" t="str">
        <f aca="false">IF($A1894="","",IF(B1894=0,"No COD orders",IF(B1894&lt;Settings!$B$8,"Too few orders",IF(D1894&gt;=Settings!$B$9,"Restrict COD or verify","Keep COD"))))</f>
        <v/>
      </c>
    </row>
    <row r="1895" customFormat="false" ht="15" hidden="false" customHeight="false" outlineLevel="0" collapsed="false">
      <c r="A1895" s="27"/>
      <c r="B1895" s="17" t="str">
        <f aca="false">IF($A1895="","",COUNTIFS(Orders!$C$2:$C$20001,$A1895,Orders!$E$2:$E$20001,"COD",Orders!$F$2:$F$20001,"Delivered")+COUNTIFS(Orders!$C$2:$C$20001,$A1895,Orders!$E$2:$E$20001,"COD",Orders!$F$2:$F$20001,"RTO"))</f>
        <v/>
      </c>
      <c r="C1895" s="17" t="str">
        <f aca="false">IF($A1895="","",COUNTIFS(Orders!$C$2:$C$20001,$A1895,Orders!$E$2:$E$20001,"COD",Orders!$F$2:$F$20001,"RTO"))</f>
        <v/>
      </c>
      <c r="D1895" s="18" t="str">
        <f aca="false">IF($A1895="","",IFERROR(C1895/B1895,0))</f>
        <v/>
      </c>
      <c r="E1895" s="17" t="str">
        <f aca="false">IF($A1895="","",COUNTIFS(Orders!$C$2:$C$20001,$A1895,Orders!$E$2:$E$20001,"Prepaid",Orders!$F$2:$F$20001,"Delivered")+COUNTIFS(Orders!$C$2:$C$20001,$A1895,Orders!$E$2:$E$20001,"Prepaid",Orders!$F$2:$F$20001,"RTO"))</f>
        <v/>
      </c>
      <c r="F1895" s="17" t="str">
        <f aca="false">IF($A1895="","",COUNTIFS(Orders!$C$2:$C$20001,$A1895,Orders!$E$2:$E$20001,"Prepaid",Orders!$F$2:$F$20001,"RTO"))</f>
        <v/>
      </c>
      <c r="G1895" s="18" t="str">
        <f aca="false">IF($A1895="","",IFERROR(F1895/E1895,0))</f>
        <v/>
      </c>
      <c r="H1895" s="19" t="str">
        <f aca="false">IF($A1895="","",C1895*Settings!$B$11)</f>
        <v/>
      </c>
      <c r="I1895" s="20" t="str">
        <f aca="false">IF($A1895="","",IF(N(H1895)=0,"",RANK(H1895,$H$5:$H$2004)))</f>
        <v/>
      </c>
      <c r="J1895" s="21" t="str">
        <f aca="false">IF($A1895="","",IF(B1895=0,"No COD orders",IF(B1895&lt;Settings!$B$8,"Too few orders",IF(D1895&gt;=Settings!$B$9,"Restrict COD or verify","Keep COD"))))</f>
        <v/>
      </c>
    </row>
    <row r="1896" customFormat="false" ht="15" hidden="false" customHeight="false" outlineLevel="0" collapsed="false">
      <c r="A1896" s="27"/>
      <c r="B1896" s="17" t="str">
        <f aca="false">IF($A1896="","",COUNTIFS(Orders!$C$2:$C$20001,$A1896,Orders!$E$2:$E$20001,"COD",Orders!$F$2:$F$20001,"Delivered")+COUNTIFS(Orders!$C$2:$C$20001,$A1896,Orders!$E$2:$E$20001,"COD",Orders!$F$2:$F$20001,"RTO"))</f>
        <v/>
      </c>
      <c r="C1896" s="17" t="str">
        <f aca="false">IF($A1896="","",COUNTIFS(Orders!$C$2:$C$20001,$A1896,Orders!$E$2:$E$20001,"COD",Orders!$F$2:$F$20001,"RTO"))</f>
        <v/>
      </c>
      <c r="D1896" s="18" t="str">
        <f aca="false">IF($A1896="","",IFERROR(C1896/B1896,0))</f>
        <v/>
      </c>
      <c r="E1896" s="17" t="str">
        <f aca="false">IF($A1896="","",COUNTIFS(Orders!$C$2:$C$20001,$A1896,Orders!$E$2:$E$20001,"Prepaid",Orders!$F$2:$F$20001,"Delivered")+COUNTIFS(Orders!$C$2:$C$20001,$A1896,Orders!$E$2:$E$20001,"Prepaid",Orders!$F$2:$F$20001,"RTO"))</f>
        <v/>
      </c>
      <c r="F1896" s="17" t="str">
        <f aca="false">IF($A1896="","",COUNTIFS(Orders!$C$2:$C$20001,$A1896,Orders!$E$2:$E$20001,"Prepaid",Orders!$F$2:$F$20001,"RTO"))</f>
        <v/>
      </c>
      <c r="G1896" s="18" t="str">
        <f aca="false">IF($A1896="","",IFERROR(F1896/E1896,0))</f>
        <v/>
      </c>
      <c r="H1896" s="19" t="str">
        <f aca="false">IF($A1896="","",C1896*Settings!$B$11)</f>
        <v/>
      </c>
      <c r="I1896" s="20" t="str">
        <f aca="false">IF($A1896="","",IF(N(H1896)=0,"",RANK(H1896,$H$5:$H$2004)))</f>
        <v/>
      </c>
      <c r="J1896" s="21" t="str">
        <f aca="false">IF($A1896="","",IF(B1896=0,"No COD orders",IF(B1896&lt;Settings!$B$8,"Too few orders",IF(D1896&gt;=Settings!$B$9,"Restrict COD or verify","Keep COD"))))</f>
        <v/>
      </c>
    </row>
    <row r="1897" customFormat="false" ht="15" hidden="false" customHeight="false" outlineLevel="0" collapsed="false">
      <c r="A1897" s="27"/>
      <c r="B1897" s="17" t="str">
        <f aca="false">IF($A1897="","",COUNTIFS(Orders!$C$2:$C$20001,$A1897,Orders!$E$2:$E$20001,"COD",Orders!$F$2:$F$20001,"Delivered")+COUNTIFS(Orders!$C$2:$C$20001,$A1897,Orders!$E$2:$E$20001,"COD",Orders!$F$2:$F$20001,"RTO"))</f>
        <v/>
      </c>
      <c r="C1897" s="17" t="str">
        <f aca="false">IF($A1897="","",COUNTIFS(Orders!$C$2:$C$20001,$A1897,Orders!$E$2:$E$20001,"COD",Orders!$F$2:$F$20001,"RTO"))</f>
        <v/>
      </c>
      <c r="D1897" s="18" t="str">
        <f aca="false">IF($A1897="","",IFERROR(C1897/B1897,0))</f>
        <v/>
      </c>
      <c r="E1897" s="17" t="str">
        <f aca="false">IF($A1897="","",COUNTIFS(Orders!$C$2:$C$20001,$A1897,Orders!$E$2:$E$20001,"Prepaid",Orders!$F$2:$F$20001,"Delivered")+COUNTIFS(Orders!$C$2:$C$20001,$A1897,Orders!$E$2:$E$20001,"Prepaid",Orders!$F$2:$F$20001,"RTO"))</f>
        <v/>
      </c>
      <c r="F1897" s="17" t="str">
        <f aca="false">IF($A1897="","",COUNTIFS(Orders!$C$2:$C$20001,$A1897,Orders!$E$2:$E$20001,"Prepaid",Orders!$F$2:$F$20001,"RTO"))</f>
        <v/>
      </c>
      <c r="G1897" s="18" t="str">
        <f aca="false">IF($A1897="","",IFERROR(F1897/E1897,0))</f>
        <v/>
      </c>
      <c r="H1897" s="19" t="str">
        <f aca="false">IF($A1897="","",C1897*Settings!$B$11)</f>
        <v/>
      </c>
      <c r="I1897" s="20" t="str">
        <f aca="false">IF($A1897="","",IF(N(H1897)=0,"",RANK(H1897,$H$5:$H$2004)))</f>
        <v/>
      </c>
      <c r="J1897" s="21" t="str">
        <f aca="false">IF($A1897="","",IF(B1897=0,"No COD orders",IF(B1897&lt;Settings!$B$8,"Too few orders",IF(D1897&gt;=Settings!$B$9,"Restrict COD or verify","Keep COD"))))</f>
        <v/>
      </c>
    </row>
    <row r="1898" customFormat="false" ht="15" hidden="false" customHeight="false" outlineLevel="0" collapsed="false">
      <c r="A1898" s="27"/>
      <c r="B1898" s="17" t="str">
        <f aca="false">IF($A1898="","",COUNTIFS(Orders!$C$2:$C$20001,$A1898,Orders!$E$2:$E$20001,"COD",Orders!$F$2:$F$20001,"Delivered")+COUNTIFS(Orders!$C$2:$C$20001,$A1898,Orders!$E$2:$E$20001,"COD",Orders!$F$2:$F$20001,"RTO"))</f>
        <v/>
      </c>
      <c r="C1898" s="17" t="str">
        <f aca="false">IF($A1898="","",COUNTIFS(Orders!$C$2:$C$20001,$A1898,Orders!$E$2:$E$20001,"COD",Orders!$F$2:$F$20001,"RTO"))</f>
        <v/>
      </c>
      <c r="D1898" s="18" t="str">
        <f aca="false">IF($A1898="","",IFERROR(C1898/B1898,0))</f>
        <v/>
      </c>
      <c r="E1898" s="17" t="str">
        <f aca="false">IF($A1898="","",COUNTIFS(Orders!$C$2:$C$20001,$A1898,Orders!$E$2:$E$20001,"Prepaid",Orders!$F$2:$F$20001,"Delivered")+COUNTIFS(Orders!$C$2:$C$20001,$A1898,Orders!$E$2:$E$20001,"Prepaid",Orders!$F$2:$F$20001,"RTO"))</f>
        <v/>
      </c>
      <c r="F1898" s="17" t="str">
        <f aca="false">IF($A1898="","",COUNTIFS(Orders!$C$2:$C$20001,$A1898,Orders!$E$2:$E$20001,"Prepaid",Orders!$F$2:$F$20001,"RTO"))</f>
        <v/>
      </c>
      <c r="G1898" s="18" t="str">
        <f aca="false">IF($A1898="","",IFERROR(F1898/E1898,0))</f>
        <v/>
      </c>
      <c r="H1898" s="19" t="str">
        <f aca="false">IF($A1898="","",C1898*Settings!$B$11)</f>
        <v/>
      </c>
      <c r="I1898" s="20" t="str">
        <f aca="false">IF($A1898="","",IF(N(H1898)=0,"",RANK(H1898,$H$5:$H$2004)))</f>
        <v/>
      </c>
      <c r="J1898" s="21" t="str">
        <f aca="false">IF($A1898="","",IF(B1898=0,"No COD orders",IF(B1898&lt;Settings!$B$8,"Too few orders",IF(D1898&gt;=Settings!$B$9,"Restrict COD or verify","Keep COD"))))</f>
        <v/>
      </c>
    </row>
    <row r="1899" customFormat="false" ht="15" hidden="false" customHeight="false" outlineLevel="0" collapsed="false">
      <c r="A1899" s="27"/>
      <c r="B1899" s="17" t="str">
        <f aca="false">IF($A1899="","",COUNTIFS(Orders!$C$2:$C$20001,$A1899,Orders!$E$2:$E$20001,"COD",Orders!$F$2:$F$20001,"Delivered")+COUNTIFS(Orders!$C$2:$C$20001,$A1899,Orders!$E$2:$E$20001,"COD",Orders!$F$2:$F$20001,"RTO"))</f>
        <v/>
      </c>
      <c r="C1899" s="17" t="str">
        <f aca="false">IF($A1899="","",COUNTIFS(Orders!$C$2:$C$20001,$A1899,Orders!$E$2:$E$20001,"COD",Orders!$F$2:$F$20001,"RTO"))</f>
        <v/>
      </c>
      <c r="D1899" s="18" t="str">
        <f aca="false">IF($A1899="","",IFERROR(C1899/B1899,0))</f>
        <v/>
      </c>
      <c r="E1899" s="17" t="str">
        <f aca="false">IF($A1899="","",COUNTIFS(Orders!$C$2:$C$20001,$A1899,Orders!$E$2:$E$20001,"Prepaid",Orders!$F$2:$F$20001,"Delivered")+COUNTIFS(Orders!$C$2:$C$20001,$A1899,Orders!$E$2:$E$20001,"Prepaid",Orders!$F$2:$F$20001,"RTO"))</f>
        <v/>
      </c>
      <c r="F1899" s="17" t="str">
        <f aca="false">IF($A1899="","",COUNTIFS(Orders!$C$2:$C$20001,$A1899,Orders!$E$2:$E$20001,"Prepaid",Orders!$F$2:$F$20001,"RTO"))</f>
        <v/>
      </c>
      <c r="G1899" s="18" t="str">
        <f aca="false">IF($A1899="","",IFERROR(F1899/E1899,0))</f>
        <v/>
      </c>
      <c r="H1899" s="19" t="str">
        <f aca="false">IF($A1899="","",C1899*Settings!$B$11)</f>
        <v/>
      </c>
      <c r="I1899" s="20" t="str">
        <f aca="false">IF($A1899="","",IF(N(H1899)=0,"",RANK(H1899,$H$5:$H$2004)))</f>
        <v/>
      </c>
      <c r="J1899" s="21" t="str">
        <f aca="false">IF($A1899="","",IF(B1899=0,"No COD orders",IF(B1899&lt;Settings!$B$8,"Too few orders",IF(D1899&gt;=Settings!$B$9,"Restrict COD or verify","Keep COD"))))</f>
        <v/>
      </c>
    </row>
    <row r="1900" customFormat="false" ht="15" hidden="false" customHeight="false" outlineLevel="0" collapsed="false">
      <c r="A1900" s="27"/>
      <c r="B1900" s="17" t="str">
        <f aca="false">IF($A1900="","",COUNTIFS(Orders!$C$2:$C$20001,$A1900,Orders!$E$2:$E$20001,"COD",Orders!$F$2:$F$20001,"Delivered")+COUNTIFS(Orders!$C$2:$C$20001,$A1900,Orders!$E$2:$E$20001,"COD",Orders!$F$2:$F$20001,"RTO"))</f>
        <v/>
      </c>
      <c r="C1900" s="17" t="str">
        <f aca="false">IF($A1900="","",COUNTIFS(Orders!$C$2:$C$20001,$A1900,Orders!$E$2:$E$20001,"COD",Orders!$F$2:$F$20001,"RTO"))</f>
        <v/>
      </c>
      <c r="D1900" s="18" t="str">
        <f aca="false">IF($A1900="","",IFERROR(C1900/B1900,0))</f>
        <v/>
      </c>
      <c r="E1900" s="17" t="str">
        <f aca="false">IF($A1900="","",COUNTIFS(Orders!$C$2:$C$20001,$A1900,Orders!$E$2:$E$20001,"Prepaid",Orders!$F$2:$F$20001,"Delivered")+COUNTIFS(Orders!$C$2:$C$20001,$A1900,Orders!$E$2:$E$20001,"Prepaid",Orders!$F$2:$F$20001,"RTO"))</f>
        <v/>
      </c>
      <c r="F1900" s="17" t="str">
        <f aca="false">IF($A1900="","",COUNTIFS(Orders!$C$2:$C$20001,$A1900,Orders!$E$2:$E$20001,"Prepaid",Orders!$F$2:$F$20001,"RTO"))</f>
        <v/>
      </c>
      <c r="G1900" s="18" t="str">
        <f aca="false">IF($A1900="","",IFERROR(F1900/E1900,0))</f>
        <v/>
      </c>
      <c r="H1900" s="19" t="str">
        <f aca="false">IF($A1900="","",C1900*Settings!$B$11)</f>
        <v/>
      </c>
      <c r="I1900" s="20" t="str">
        <f aca="false">IF($A1900="","",IF(N(H1900)=0,"",RANK(H1900,$H$5:$H$2004)))</f>
        <v/>
      </c>
      <c r="J1900" s="21" t="str">
        <f aca="false">IF($A1900="","",IF(B1900=0,"No COD orders",IF(B1900&lt;Settings!$B$8,"Too few orders",IF(D1900&gt;=Settings!$B$9,"Restrict COD or verify","Keep COD"))))</f>
        <v/>
      </c>
    </row>
    <row r="1901" customFormat="false" ht="15" hidden="false" customHeight="false" outlineLevel="0" collapsed="false">
      <c r="A1901" s="27"/>
      <c r="B1901" s="17" t="str">
        <f aca="false">IF($A1901="","",COUNTIFS(Orders!$C$2:$C$20001,$A1901,Orders!$E$2:$E$20001,"COD",Orders!$F$2:$F$20001,"Delivered")+COUNTIFS(Orders!$C$2:$C$20001,$A1901,Orders!$E$2:$E$20001,"COD",Orders!$F$2:$F$20001,"RTO"))</f>
        <v/>
      </c>
      <c r="C1901" s="17" t="str">
        <f aca="false">IF($A1901="","",COUNTIFS(Orders!$C$2:$C$20001,$A1901,Orders!$E$2:$E$20001,"COD",Orders!$F$2:$F$20001,"RTO"))</f>
        <v/>
      </c>
      <c r="D1901" s="18" t="str">
        <f aca="false">IF($A1901="","",IFERROR(C1901/B1901,0))</f>
        <v/>
      </c>
      <c r="E1901" s="17" t="str">
        <f aca="false">IF($A1901="","",COUNTIFS(Orders!$C$2:$C$20001,$A1901,Orders!$E$2:$E$20001,"Prepaid",Orders!$F$2:$F$20001,"Delivered")+COUNTIFS(Orders!$C$2:$C$20001,$A1901,Orders!$E$2:$E$20001,"Prepaid",Orders!$F$2:$F$20001,"RTO"))</f>
        <v/>
      </c>
      <c r="F1901" s="17" t="str">
        <f aca="false">IF($A1901="","",COUNTIFS(Orders!$C$2:$C$20001,$A1901,Orders!$E$2:$E$20001,"Prepaid",Orders!$F$2:$F$20001,"RTO"))</f>
        <v/>
      </c>
      <c r="G1901" s="18" t="str">
        <f aca="false">IF($A1901="","",IFERROR(F1901/E1901,0))</f>
        <v/>
      </c>
      <c r="H1901" s="19" t="str">
        <f aca="false">IF($A1901="","",C1901*Settings!$B$11)</f>
        <v/>
      </c>
      <c r="I1901" s="20" t="str">
        <f aca="false">IF($A1901="","",IF(N(H1901)=0,"",RANK(H1901,$H$5:$H$2004)))</f>
        <v/>
      </c>
      <c r="J1901" s="21" t="str">
        <f aca="false">IF($A1901="","",IF(B1901=0,"No COD orders",IF(B1901&lt;Settings!$B$8,"Too few orders",IF(D1901&gt;=Settings!$B$9,"Restrict COD or verify","Keep COD"))))</f>
        <v/>
      </c>
    </row>
    <row r="1902" customFormat="false" ht="15" hidden="false" customHeight="false" outlineLevel="0" collapsed="false">
      <c r="A1902" s="27"/>
      <c r="B1902" s="17" t="str">
        <f aca="false">IF($A1902="","",COUNTIFS(Orders!$C$2:$C$20001,$A1902,Orders!$E$2:$E$20001,"COD",Orders!$F$2:$F$20001,"Delivered")+COUNTIFS(Orders!$C$2:$C$20001,$A1902,Orders!$E$2:$E$20001,"COD",Orders!$F$2:$F$20001,"RTO"))</f>
        <v/>
      </c>
      <c r="C1902" s="17" t="str">
        <f aca="false">IF($A1902="","",COUNTIFS(Orders!$C$2:$C$20001,$A1902,Orders!$E$2:$E$20001,"COD",Orders!$F$2:$F$20001,"RTO"))</f>
        <v/>
      </c>
      <c r="D1902" s="18" t="str">
        <f aca="false">IF($A1902="","",IFERROR(C1902/B1902,0))</f>
        <v/>
      </c>
      <c r="E1902" s="17" t="str">
        <f aca="false">IF($A1902="","",COUNTIFS(Orders!$C$2:$C$20001,$A1902,Orders!$E$2:$E$20001,"Prepaid",Orders!$F$2:$F$20001,"Delivered")+COUNTIFS(Orders!$C$2:$C$20001,$A1902,Orders!$E$2:$E$20001,"Prepaid",Orders!$F$2:$F$20001,"RTO"))</f>
        <v/>
      </c>
      <c r="F1902" s="17" t="str">
        <f aca="false">IF($A1902="","",COUNTIFS(Orders!$C$2:$C$20001,$A1902,Orders!$E$2:$E$20001,"Prepaid",Orders!$F$2:$F$20001,"RTO"))</f>
        <v/>
      </c>
      <c r="G1902" s="18" t="str">
        <f aca="false">IF($A1902="","",IFERROR(F1902/E1902,0))</f>
        <v/>
      </c>
      <c r="H1902" s="19" t="str">
        <f aca="false">IF($A1902="","",C1902*Settings!$B$11)</f>
        <v/>
      </c>
      <c r="I1902" s="20" t="str">
        <f aca="false">IF($A1902="","",IF(N(H1902)=0,"",RANK(H1902,$H$5:$H$2004)))</f>
        <v/>
      </c>
      <c r="J1902" s="21" t="str">
        <f aca="false">IF($A1902="","",IF(B1902=0,"No COD orders",IF(B1902&lt;Settings!$B$8,"Too few orders",IF(D1902&gt;=Settings!$B$9,"Restrict COD or verify","Keep COD"))))</f>
        <v/>
      </c>
    </row>
    <row r="1903" customFormat="false" ht="15" hidden="false" customHeight="false" outlineLevel="0" collapsed="false">
      <c r="A1903" s="27"/>
      <c r="B1903" s="17" t="str">
        <f aca="false">IF($A1903="","",COUNTIFS(Orders!$C$2:$C$20001,$A1903,Orders!$E$2:$E$20001,"COD",Orders!$F$2:$F$20001,"Delivered")+COUNTIFS(Orders!$C$2:$C$20001,$A1903,Orders!$E$2:$E$20001,"COD",Orders!$F$2:$F$20001,"RTO"))</f>
        <v/>
      </c>
      <c r="C1903" s="17" t="str">
        <f aca="false">IF($A1903="","",COUNTIFS(Orders!$C$2:$C$20001,$A1903,Orders!$E$2:$E$20001,"COD",Orders!$F$2:$F$20001,"RTO"))</f>
        <v/>
      </c>
      <c r="D1903" s="18" t="str">
        <f aca="false">IF($A1903="","",IFERROR(C1903/B1903,0))</f>
        <v/>
      </c>
      <c r="E1903" s="17" t="str">
        <f aca="false">IF($A1903="","",COUNTIFS(Orders!$C$2:$C$20001,$A1903,Orders!$E$2:$E$20001,"Prepaid",Orders!$F$2:$F$20001,"Delivered")+COUNTIFS(Orders!$C$2:$C$20001,$A1903,Orders!$E$2:$E$20001,"Prepaid",Orders!$F$2:$F$20001,"RTO"))</f>
        <v/>
      </c>
      <c r="F1903" s="17" t="str">
        <f aca="false">IF($A1903="","",COUNTIFS(Orders!$C$2:$C$20001,$A1903,Orders!$E$2:$E$20001,"Prepaid",Orders!$F$2:$F$20001,"RTO"))</f>
        <v/>
      </c>
      <c r="G1903" s="18" t="str">
        <f aca="false">IF($A1903="","",IFERROR(F1903/E1903,0))</f>
        <v/>
      </c>
      <c r="H1903" s="19" t="str">
        <f aca="false">IF($A1903="","",C1903*Settings!$B$11)</f>
        <v/>
      </c>
      <c r="I1903" s="20" t="str">
        <f aca="false">IF($A1903="","",IF(N(H1903)=0,"",RANK(H1903,$H$5:$H$2004)))</f>
        <v/>
      </c>
      <c r="J1903" s="21" t="str">
        <f aca="false">IF($A1903="","",IF(B1903=0,"No COD orders",IF(B1903&lt;Settings!$B$8,"Too few orders",IF(D1903&gt;=Settings!$B$9,"Restrict COD or verify","Keep COD"))))</f>
        <v/>
      </c>
    </row>
    <row r="1904" customFormat="false" ht="15" hidden="false" customHeight="false" outlineLevel="0" collapsed="false">
      <c r="A1904" s="27"/>
      <c r="B1904" s="17" t="str">
        <f aca="false">IF($A1904="","",COUNTIFS(Orders!$C$2:$C$20001,$A1904,Orders!$E$2:$E$20001,"COD",Orders!$F$2:$F$20001,"Delivered")+COUNTIFS(Orders!$C$2:$C$20001,$A1904,Orders!$E$2:$E$20001,"COD",Orders!$F$2:$F$20001,"RTO"))</f>
        <v/>
      </c>
      <c r="C1904" s="17" t="str">
        <f aca="false">IF($A1904="","",COUNTIFS(Orders!$C$2:$C$20001,$A1904,Orders!$E$2:$E$20001,"COD",Orders!$F$2:$F$20001,"RTO"))</f>
        <v/>
      </c>
      <c r="D1904" s="18" t="str">
        <f aca="false">IF($A1904="","",IFERROR(C1904/B1904,0))</f>
        <v/>
      </c>
      <c r="E1904" s="17" t="str">
        <f aca="false">IF($A1904="","",COUNTIFS(Orders!$C$2:$C$20001,$A1904,Orders!$E$2:$E$20001,"Prepaid",Orders!$F$2:$F$20001,"Delivered")+COUNTIFS(Orders!$C$2:$C$20001,$A1904,Orders!$E$2:$E$20001,"Prepaid",Orders!$F$2:$F$20001,"RTO"))</f>
        <v/>
      </c>
      <c r="F1904" s="17" t="str">
        <f aca="false">IF($A1904="","",COUNTIFS(Orders!$C$2:$C$20001,$A1904,Orders!$E$2:$E$20001,"Prepaid",Orders!$F$2:$F$20001,"RTO"))</f>
        <v/>
      </c>
      <c r="G1904" s="18" t="str">
        <f aca="false">IF($A1904="","",IFERROR(F1904/E1904,0))</f>
        <v/>
      </c>
      <c r="H1904" s="19" t="str">
        <f aca="false">IF($A1904="","",C1904*Settings!$B$11)</f>
        <v/>
      </c>
      <c r="I1904" s="20" t="str">
        <f aca="false">IF($A1904="","",IF(N(H1904)=0,"",RANK(H1904,$H$5:$H$2004)))</f>
        <v/>
      </c>
      <c r="J1904" s="21" t="str">
        <f aca="false">IF($A1904="","",IF(B1904=0,"No COD orders",IF(B1904&lt;Settings!$B$8,"Too few orders",IF(D1904&gt;=Settings!$B$9,"Restrict COD or verify","Keep COD"))))</f>
        <v/>
      </c>
    </row>
    <row r="1905" customFormat="false" ht="15" hidden="false" customHeight="false" outlineLevel="0" collapsed="false">
      <c r="A1905" s="27"/>
      <c r="B1905" s="17" t="str">
        <f aca="false">IF($A1905="","",COUNTIFS(Orders!$C$2:$C$20001,$A1905,Orders!$E$2:$E$20001,"COD",Orders!$F$2:$F$20001,"Delivered")+COUNTIFS(Orders!$C$2:$C$20001,$A1905,Orders!$E$2:$E$20001,"COD",Orders!$F$2:$F$20001,"RTO"))</f>
        <v/>
      </c>
      <c r="C1905" s="17" t="str">
        <f aca="false">IF($A1905="","",COUNTIFS(Orders!$C$2:$C$20001,$A1905,Orders!$E$2:$E$20001,"COD",Orders!$F$2:$F$20001,"RTO"))</f>
        <v/>
      </c>
      <c r="D1905" s="18" t="str">
        <f aca="false">IF($A1905="","",IFERROR(C1905/B1905,0))</f>
        <v/>
      </c>
      <c r="E1905" s="17" t="str">
        <f aca="false">IF($A1905="","",COUNTIFS(Orders!$C$2:$C$20001,$A1905,Orders!$E$2:$E$20001,"Prepaid",Orders!$F$2:$F$20001,"Delivered")+COUNTIFS(Orders!$C$2:$C$20001,$A1905,Orders!$E$2:$E$20001,"Prepaid",Orders!$F$2:$F$20001,"RTO"))</f>
        <v/>
      </c>
      <c r="F1905" s="17" t="str">
        <f aca="false">IF($A1905="","",COUNTIFS(Orders!$C$2:$C$20001,$A1905,Orders!$E$2:$E$20001,"Prepaid",Orders!$F$2:$F$20001,"RTO"))</f>
        <v/>
      </c>
      <c r="G1905" s="18" t="str">
        <f aca="false">IF($A1905="","",IFERROR(F1905/E1905,0))</f>
        <v/>
      </c>
      <c r="H1905" s="19" t="str">
        <f aca="false">IF($A1905="","",C1905*Settings!$B$11)</f>
        <v/>
      </c>
      <c r="I1905" s="20" t="str">
        <f aca="false">IF($A1905="","",IF(N(H1905)=0,"",RANK(H1905,$H$5:$H$2004)))</f>
        <v/>
      </c>
      <c r="J1905" s="21" t="str">
        <f aca="false">IF($A1905="","",IF(B1905=0,"No COD orders",IF(B1905&lt;Settings!$B$8,"Too few orders",IF(D1905&gt;=Settings!$B$9,"Restrict COD or verify","Keep COD"))))</f>
        <v/>
      </c>
    </row>
    <row r="1906" customFormat="false" ht="15" hidden="false" customHeight="false" outlineLevel="0" collapsed="false">
      <c r="A1906" s="27"/>
      <c r="B1906" s="17" t="str">
        <f aca="false">IF($A1906="","",COUNTIFS(Orders!$C$2:$C$20001,$A1906,Orders!$E$2:$E$20001,"COD",Orders!$F$2:$F$20001,"Delivered")+COUNTIFS(Orders!$C$2:$C$20001,$A1906,Orders!$E$2:$E$20001,"COD",Orders!$F$2:$F$20001,"RTO"))</f>
        <v/>
      </c>
      <c r="C1906" s="17" t="str">
        <f aca="false">IF($A1906="","",COUNTIFS(Orders!$C$2:$C$20001,$A1906,Orders!$E$2:$E$20001,"COD",Orders!$F$2:$F$20001,"RTO"))</f>
        <v/>
      </c>
      <c r="D1906" s="18" t="str">
        <f aca="false">IF($A1906="","",IFERROR(C1906/B1906,0))</f>
        <v/>
      </c>
      <c r="E1906" s="17" t="str">
        <f aca="false">IF($A1906="","",COUNTIFS(Orders!$C$2:$C$20001,$A1906,Orders!$E$2:$E$20001,"Prepaid",Orders!$F$2:$F$20001,"Delivered")+COUNTIFS(Orders!$C$2:$C$20001,$A1906,Orders!$E$2:$E$20001,"Prepaid",Orders!$F$2:$F$20001,"RTO"))</f>
        <v/>
      </c>
      <c r="F1906" s="17" t="str">
        <f aca="false">IF($A1906="","",COUNTIFS(Orders!$C$2:$C$20001,$A1906,Orders!$E$2:$E$20001,"Prepaid",Orders!$F$2:$F$20001,"RTO"))</f>
        <v/>
      </c>
      <c r="G1906" s="18" t="str">
        <f aca="false">IF($A1906="","",IFERROR(F1906/E1906,0))</f>
        <v/>
      </c>
      <c r="H1906" s="19" t="str">
        <f aca="false">IF($A1906="","",C1906*Settings!$B$11)</f>
        <v/>
      </c>
      <c r="I1906" s="20" t="str">
        <f aca="false">IF($A1906="","",IF(N(H1906)=0,"",RANK(H1906,$H$5:$H$2004)))</f>
        <v/>
      </c>
      <c r="J1906" s="21" t="str">
        <f aca="false">IF($A1906="","",IF(B1906=0,"No COD orders",IF(B1906&lt;Settings!$B$8,"Too few orders",IF(D1906&gt;=Settings!$B$9,"Restrict COD or verify","Keep COD"))))</f>
        <v/>
      </c>
    </row>
    <row r="1907" customFormat="false" ht="15" hidden="false" customHeight="false" outlineLevel="0" collapsed="false">
      <c r="A1907" s="27"/>
      <c r="B1907" s="17" t="str">
        <f aca="false">IF($A1907="","",COUNTIFS(Orders!$C$2:$C$20001,$A1907,Orders!$E$2:$E$20001,"COD",Orders!$F$2:$F$20001,"Delivered")+COUNTIFS(Orders!$C$2:$C$20001,$A1907,Orders!$E$2:$E$20001,"COD",Orders!$F$2:$F$20001,"RTO"))</f>
        <v/>
      </c>
      <c r="C1907" s="17" t="str">
        <f aca="false">IF($A1907="","",COUNTIFS(Orders!$C$2:$C$20001,$A1907,Orders!$E$2:$E$20001,"COD",Orders!$F$2:$F$20001,"RTO"))</f>
        <v/>
      </c>
      <c r="D1907" s="18" t="str">
        <f aca="false">IF($A1907="","",IFERROR(C1907/B1907,0))</f>
        <v/>
      </c>
      <c r="E1907" s="17" t="str">
        <f aca="false">IF($A1907="","",COUNTIFS(Orders!$C$2:$C$20001,$A1907,Orders!$E$2:$E$20001,"Prepaid",Orders!$F$2:$F$20001,"Delivered")+COUNTIFS(Orders!$C$2:$C$20001,$A1907,Orders!$E$2:$E$20001,"Prepaid",Orders!$F$2:$F$20001,"RTO"))</f>
        <v/>
      </c>
      <c r="F1907" s="17" t="str">
        <f aca="false">IF($A1907="","",COUNTIFS(Orders!$C$2:$C$20001,$A1907,Orders!$E$2:$E$20001,"Prepaid",Orders!$F$2:$F$20001,"RTO"))</f>
        <v/>
      </c>
      <c r="G1907" s="18" t="str">
        <f aca="false">IF($A1907="","",IFERROR(F1907/E1907,0))</f>
        <v/>
      </c>
      <c r="H1907" s="19" t="str">
        <f aca="false">IF($A1907="","",C1907*Settings!$B$11)</f>
        <v/>
      </c>
      <c r="I1907" s="20" t="str">
        <f aca="false">IF($A1907="","",IF(N(H1907)=0,"",RANK(H1907,$H$5:$H$2004)))</f>
        <v/>
      </c>
      <c r="J1907" s="21" t="str">
        <f aca="false">IF($A1907="","",IF(B1907=0,"No COD orders",IF(B1907&lt;Settings!$B$8,"Too few orders",IF(D1907&gt;=Settings!$B$9,"Restrict COD or verify","Keep COD"))))</f>
        <v/>
      </c>
    </row>
    <row r="1908" customFormat="false" ht="15" hidden="false" customHeight="false" outlineLevel="0" collapsed="false">
      <c r="A1908" s="27"/>
      <c r="B1908" s="17" t="str">
        <f aca="false">IF($A1908="","",COUNTIFS(Orders!$C$2:$C$20001,$A1908,Orders!$E$2:$E$20001,"COD",Orders!$F$2:$F$20001,"Delivered")+COUNTIFS(Orders!$C$2:$C$20001,$A1908,Orders!$E$2:$E$20001,"COD",Orders!$F$2:$F$20001,"RTO"))</f>
        <v/>
      </c>
      <c r="C1908" s="17" t="str">
        <f aca="false">IF($A1908="","",COUNTIFS(Orders!$C$2:$C$20001,$A1908,Orders!$E$2:$E$20001,"COD",Orders!$F$2:$F$20001,"RTO"))</f>
        <v/>
      </c>
      <c r="D1908" s="18" t="str">
        <f aca="false">IF($A1908="","",IFERROR(C1908/B1908,0))</f>
        <v/>
      </c>
      <c r="E1908" s="17" t="str">
        <f aca="false">IF($A1908="","",COUNTIFS(Orders!$C$2:$C$20001,$A1908,Orders!$E$2:$E$20001,"Prepaid",Orders!$F$2:$F$20001,"Delivered")+COUNTIFS(Orders!$C$2:$C$20001,$A1908,Orders!$E$2:$E$20001,"Prepaid",Orders!$F$2:$F$20001,"RTO"))</f>
        <v/>
      </c>
      <c r="F1908" s="17" t="str">
        <f aca="false">IF($A1908="","",COUNTIFS(Orders!$C$2:$C$20001,$A1908,Orders!$E$2:$E$20001,"Prepaid",Orders!$F$2:$F$20001,"RTO"))</f>
        <v/>
      </c>
      <c r="G1908" s="18" t="str">
        <f aca="false">IF($A1908="","",IFERROR(F1908/E1908,0))</f>
        <v/>
      </c>
      <c r="H1908" s="19" t="str">
        <f aca="false">IF($A1908="","",C1908*Settings!$B$11)</f>
        <v/>
      </c>
      <c r="I1908" s="20" t="str">
        <f aca="false">IF($A1908="","",IF(N(H1908)=0,"",RANK(H1908,$H$5:$H$2004)))</f>
        <v/>
      </c>
      <c r="J1908" s="21" t="str">
        <f aca="false">IF($A1908="","",IF(B1908=0,"No COD orders",IF(B1908&lt;Settings!$B$8,"Too few orders",IF(D1908&gt;=Settings!$B$9,"Restrict COD or verify","Keep COD"))))</f>
        <v/>
      </c>
    </row>
    <row r="1909" customFormat="false" ht="15" hidden="false" customHeight="false" outlineLevel="0" collapsed="false">
      <c r="A1909" s="27"/>
      <c r="B1909" s="17" t="str">
        <f aca="false">IF($A1909="","",COUNTIFS(Orders!$C$2:$C$20001,$A1909,Orders!$E$2:$E$20001,"COD",Orders!$F$2:$F$20001,"Delivered")+COUNTIFS(Orders!$C$2:$C$20001,$A1909,Orders!$E$2:$E$20001,"COD",Orders!$F$2:$F$20001,"RTO"))</f>
        <v/>
      </c>
      <c r="C1909" s="17" t="str">
        <f aca="false">IF($A1909="","",COUNTIFS(Orders!$C$2:$C$20001,$A1909,Orders!$E$2:$E$20001,"COD",Orders!$F$2:$F$20001,"RTO"))</f>
        <v/>
      </c>
      <c r="D1909" s="18" t="str">
        <f aca="false">IF($A1909="","",IFERROR(C1909/B1909,0))</f>
        <v/>
      </c>
      <c r="E1909" s="17" t="str">
        <f aca="false">IF($A1909="","",COUNTIFS(Orders!$C$2:$C$20001,$A1909,Orders!$E$2:$E$20001,"Prepaid",Orders!$F$2:$F$20001,"Delivered")+COUNTIFS(Orders!$C$2:$C$20001,$A1909,Orders!$E$2:$E$20001,"Prepaid",Orders!$F$2:$F$20001,"RTO"))</f>
        <v/>
      </c>
      <c r="F1909" s="17" t="str">
        <f aca="false">IF($A1909="","",COUNTIFS(Orders!$C$2:$C$20001,$A1909,Orders!$E$2:$E$20001,"Prepaid",Orders!$F$2:$F$20001,"RTO"))</f>
        <v/>
      </c>
      <c r="G1909" s="18" t="str">
        <f aca="false">IF($A1909="","",IFERROR(F1909/E1909,0))</f>
        <v/>
      </c>
      <c r="H1909" s="19" t="str">
        <f aca="false">IF($A1909="","",C1909*Settings!$B$11)</f>
        <v/>
      </c>
      <c r="I1909" s="20" t="str">
        <f aca="false">IF($A1909="","",IF(N(H1909)=0,"",RANK(H1909,$H$5:$H$2004)))</f>
        <v/>
      </c>
      <c r="J1909" s="21" t="str">
        <f aca="false">IF($A1909="","",IF(B1909=0,"No COD orders",IF(B1909&lt;Settings!$B$8,"Too few orders",IF(D1909&gt;=Settings!$B$9,"Restrict COD or verify","Keep COD"))))</f>
        <v/>
      </c>
    </row>
    <row r="1910" customFormat="false" ht="15" hidden="false" customHeight="false" outlineLevel="0" collapsed="false">
      <c r="A1910" s="27"/>
      <c r="B1910" s="17" t="str">
        <f aca="false">IF($A1910="","",COUNTIFS(Orders!$C$2:$C$20001,$A1910,Orders!$E$2:$E$20001,"COD",Orders!$F$2:$F$20001,"Delivered")+COUNTIFS(Orders!$C$2:$C$20001,$A1910,Orders!$E$2:$E$20001,"COD",Orders!$F$2:$F$20001,"RTO"))</f>
        <v/>
      </c>
      <c r="C1910" s="17" t="str">
        <f aca="false">IF($A1910="","",COUNTIFS(Orders!$C$2:$C$20001,$A1910,Orders!$E$2:$E$20001,"COD",Orders!$F$2:$F$20001,"RTO"))</f>
        <v/>
      </c>
      <c r="D1910" s="18" t="str">
        <f aca="false">IF($A1910="","",IFERROR(C1910/B1910,0))</f>
        <v/>
      </c>
      <c r="E1910" s="17" t="str">
        <f aca="false">IF($A1910="","",COUNTIFS(Orders!$C$2:$C$20001,$A1910,Orders!$E$2:$E$20001,"Prepaid",Orders!$F$2:$F$20001,"Delivered")+COUNTIFS(Orders!$C$2:$C$20001,$A1910,Orders!$E$2:$E$20001,"Prepaid",Orders!$F$2:$F$20001,"RTO"))</f>
        <v/>
      </c>
      <c r="F1910" s="17" t="str">
        <f aca="false">IF($A1910="","",COUNTIFS(Orders!$C$2:$C$20001,$A1910,Orders!$E$2:$E$20001,"Prepaid",Orders!$F$2:$F$20001,"RTO"))</f>
        <v/>
      </c>
      <c r="G1910" s="18" t="str">
        <f aca="false">IF($A1910="","",IFERROR(F1910/E1910,0))</f>
        <v/>
      </c>
      <c r="H1910" s="19" t="str">
        <f aca="false">IF($A1910="","",C1910*Settings!$B$11)</f>
        <v/>
      </c>
      <c r="I1910" s="20" t="str">
        <f aca="false">IF($A1910="","",IF(N(H1910)=0,"",RANK(H1910,$H$5:$H$2004)))</f>
        <v/>
      </c>
      <c r="J1910" s="21" t="str">
        <f aca="false">IF($A1910="","",IF(B1910=0,"No COD orders",IF(B1910&lt;Settings!$B$8,"Too few orders",IF(D1910&gt;=Settings!$B$9,"Restrict COD or verify","Keep COD"))))</f>
        <v/>
      </c>
    </row>
    <row r="1911" customFormat="false" ht="15" hidden="false" customHeight="false" outlineLevel="0" collapsed="false">
      <c r="A1911" s="27"/>
      <c r="B1911" s="17" t="str">
        <f aca="false">IF($A1911="","",COUNTIFS(Orders!$C$2:$C$20001,$A1911,Orders!$E$2:$E$20001,"COD",Orders!$F$2:$F$20001,"Delivered")+COUNTIFS(Orders!$C$2:$C$20001,$A1911,Orders!$E$2:$E$20001,"COD",Orders!$F$2:$F$20001,"RTO"))</f>
        <v/>
      </c>
      <c r="C1911" s="17" t="str">
        <f aca="false">IF($A1911="","",COUNTIFS(Orders!$C$2:$C$20001,$A1911,Orders!$E$2:$E$20001,"COD",Orders!$F$2:$F$20001,"RTO"))</f>
        <v/>
      </c>
      <c r="D1911" s="18" t="str">
        <f aca="false">IF($A1911="","",IFERROR(C1911/B1911,0))</f>
        <v/>
      </c>
      <c r="E1911" s="17" t="str">
        <f aca="false">IF($A1911="","",COUNTIFS(Orders!$C$2:$C$20001,$A1911,Orders!$E$2:$E$20001,"Prepaid",Orders!$F$2:$F$20001,"Delivered")+COUNTIFS(Orders!$C$2:$C$20001,$A1911,Orders!$E$2:$E$20001,"Prepaid",Orders!$F$2:$F$20001,"RTO"))</f>
        <v/>
      </c>
      <c r="F1911" s="17" t="str">
        <f aca="false">IF($A1911="","",COUNTIFS(Orders!$C$2:$C$20001,$A1911,Orders!$E$2:$E$20001,"Prepaid",Orders!$F$2:$F$20001,"RTO"))</f>
        <v/>
      </c>
      <c r="G1911" s="18" t="str">
        <f aca="false">IF($A1911="","",IFERROR(F1911/E1911,0))</f>
        <v/>
      </c>
      <c r="H1911" s="19" t="str">
        <f aca="false">IF($A1911="","",C1911*Settings!$B$11)</f>
        <v/>
      </c>
      <c r="I1911" s="20" t="str">
        <f aca="false">IF($A1911="","",IF(N(H1911)=0,"",RANK(H1911,$H$5:$H$2004)))</f>
        <v/>
      </c>
      <c r="J1911" s="21" t="str">
        <f aca="false">IF($A1911="","",IF(B1911=0,"No COD orders",IF(B1911&lt;Settings!$B$8,"Too few orders",IF(D1911&gt;=Settings!$B$9,"Restrict COD or verify","Keep COD"))))</f>
        <v/>
      </c>
    </row>
    <row r="1912" customFormat="false" ht="15" hidden="false" customHeight="false" outlineLevel="0" collapsed="false">
      <c r="A1912" s="27"/>
      <c r="B1912" s="17" t="str">
        <f aca="false">IF($A1912="","",COUNTIFS(Orders!$C$2:$C$20001,$A1912,Orders!$E$2:$E$20001,"COD",Orders!$F$2:$F$20001,"Delivered")+COUNTIFS(Orders!$C$2:$C$20001,$A1912,Orders!$E$2:$E$20001,"COD",Orders!$F$2:$F$20001,"RTO"))</f>
        <v/>
      </c>
      <c r="C1912" s="17" t="str">
        <f aca="false">IF($A1912="","",COUNTIFS(Orders!$C$2:$C$20001,$A1912,Orders!$E$2:$E$20001,"COD",Orders!$F$2:$F$20001,"RTO"))</f>
        <v/>
      </c>
      <c r="D1912" s="18" t="str">
        <f aca="false">IF($A1912="","",IFERROR(C1912/B1912,0))</f>
        <v/>
      </c>
      <c r="E1912" s="17" t="str">
        <f aca="false">IF($A1912="","",COUNTIFS(Orders!$C$2:$C$20001,$A1912,Orders!$E$2:$E$20001,"Prepaid",Orders!$F$2:$F$20001,"Delivered")+COUNTIFS(Orders!$C$2:$C$20001,$A1912,Orders!$E$2:$E$20001,"Prepaid",Orders!$F$2:$F$20001,"RTO"))</f>
        <v/>
      </c>
      <c r="F1912" s="17" t="str">
        <f aca="false">IF($A1912="","",COUNTIFS(Orders!$C$2:$C$20001,$A1912,Orders!$E$2:$E$20001,"Prepaid",Orders!$F$2:$F$20001,"RTO"))</f>
        <v/>
      </c>
      <c r="G1912" s="18" t="str">
        <f aca="false">IF($A1912="","",IFERROR(F1912/E1912,0))</f>
        <v/>
      </c>
      <c r="H1912" s="19" t="str">
        <f aca="false">IF($A1912="","",C1912*Settings!$B$11)</f>
        <v/>
      </c>
      <c r="I1912" s="20" t="str">
        <f aca="false">IF($A1912="","",IF(N(H1912)=0,"",RANK(H1912,$H$5:$H$2004)))</f>
        <v/>
      </c>
      <c r="J1912" s="21" t="str">
        <f aca="false">IF($A1912="","",IF(B1912=0,"No COD orders",IF(B1912&lt;Settings!$B$8,"Too few orders",IF(D1912&gt;=Settings!$B$9,"Restrict COD or verify","Keep COD"))))</f>
        <v/>
      </c>
    </row>
    <row r="1913" customFormat="false" ht="15" hidden="false" customHeight="false" outlineLevel="0" collapsed="false">
      <c r="A1913" s="27"/>
      <c r="B1913" s="17" t="str">
        <f aca="false">IF($A1913="","",COUNTIFS(Orders!$C$2:$C$20001,$A1913,Orders!$E$2:$E$20001,"COD",Orders!$F$2:$F$20001,"Delivered")+COUNTIFS(Orders!$C$2:$C$20001,$A1913,Orders!$E$2:$E$20001,"COD",Orders!$F$2:$F$20001,"RTO"))</f>
        <v/>
      </c>
      <c r="C1913" s="17" t="str">
        <f aca="false">IF($A1913="","",COUNTIFS(Orders!$C$2:$C$20001,$A1913,Orders!$E$2:$E$20001,"COD",Orders!$F$2:$F$20001,"RTO"))</f>
        <v/>
      </c>
      <c r="D1913" s="18" t="str">
        <f aca="false">IF($A1913="","",IFERROR(C1913/B1913,0))</f>
        <v/>
      </c>
      <c r="E1913" s="17" t="str">
        <f aca="false">IF($A1913="","",COUNTIFS(Orders!$C$2:$C$20001,$A1913,Orders!$E$2:$E$20001,"Prepaid",Orders!$F$2:$F$20001,"Delivered")+COUNTIFS(Orders!$C$2:$C$20001,$A1913,Orders!$E$2:$E$20001,"Prepaid",Orders!$F$2:$F$20001,"RTO"))</f>
        <v/>
      </c>
      <c r="F1913" s="17" t="str">
        <f aca="false">IF($A1913="","",COUNTIFS(Orders!$C$2:$C$20001,$A1913,Orders!$E$2:$E$20001,"Prepaid",Orders!$F$2:$F$20001,"RTO"))</f>
        <v/>
      </c>
      <c r="G1913" s="18" t="str">
        <f aca="false">IF($A1913="","",IFERROR(F1913/E1913,0))</f>
        <v/>
      </c>
      <c r="H1913" s="19" t="str">
        <f aca="false">IF($A1913="","",C1913*Settings!$B$11)</f>
        <v/>
      </c>
      <c r="I1913" s="20" t="str">
        <f aca="false">IF($A1913="","",IF(N(H1913)=0,"",RANK(H1913,$H$5:$H$2004)))</f>
        <v/>
      </c>
      <c r="J1913" s="21" t="str">
        <f aca="false">IF($A1913="","",IF(B1913=0,"No COD orders",IF(B1913&lt;Settings!$B$8,"Too few orders",IF(D1913&gt;=Settings!$B$9,"Restrict COD or verify","Keep COD"))))</f>
        <v/>
      </c>
    </row>
    <row r="1914" customFormat="false" ht="15" hidden="false" customHeight="false" outlineLevel="0" collapsed="false">
      <c r="A1914" s="27"/>
      <c r="B1914" s="17" t="str">
        <f aca="false">IF($A1914="","",COUNTIFS(Orders!$C$2:$C$20001,$A1914,Orders!$E$2:$E$20001,"COD",Orders!$F$2:$F$20001,"Delivered")+COUNTIFS(Orders!$C$2:$C$20001,$A1914,Orders!$E$2:$E$20001,"COD",Orders!$F$2:$F$20001,"RTO"))</f>
        <v/>
      </c>
      <c r="C1914" s="17" t="str">
        <f aca="false">IF($A1914="","",COUNTIFS(Orders!$C$2:$C$20001,$A1914,Orders!$E$2:$E$20001,"COD",Orders!$F$2:$F$20001,"RTO"))</f>
        <v/>
      </c>
      <c r="D1914" s="18" t="str">
        <f aca="false">IF($A1914="","",IFERROR(C1914/B1914,0))</f>
        <v/>
      </c>
      <c r="E1914" s="17" t="str">
        <f aca="false">IF($A1914="","",COUNTIFS(Orders!$C$2:$C$20001,$A1914,Orders!$E$2:$E$20001,"Prepaid",Orders!$F$2:$F$20001,"Delivered")+COUNTIFS(Orders!$C$2:$C$20001,$A1914,Orders!$E$2:$E$20001,"Prepaid",Orders!$F$2:$F$20001,"RTO"))</f>
        <v/>
      </c>
      <c r="F1914" s="17" t="str">
        <f aca="false">IF($A1914="","",COUNTIFS(Orders!$C$2:$C$20001,$A1914,Orders!$E$2:$E$20001,"Prepaid",Orders!$F$2:$F$20001,"RTO"))</f>
        <v/>
      </c>
      <c r="G1914" s="18" t="str">
        <f aca="false">IF($A1914="","",IFERROR(F1914/E1914,0))</f>
        <v/>
      </c>
      <c r="H1914" s="19" t="str">
        <f aca="false">IF($A1914="","",C1914*Settings!$B$11)</f>
        <v/>
      </c>
      <c r="I1914" s="20" t="str">
        <f aca="false">IF($A1914="","",IF(N(H1914)=0,"",RANK(H1914,$H$5:$H$2004)))</f>
        <v/>
      </c>
      <c r="J1914" s="21" t="str">
        <f aca="false">IF($A1914="","",IF(B1914=0,"No COD orders",IF(B1914&lt;Settings!$B$8,"Too few orders",IF(D1914&gt;=Settings!$B$9,"Restrict COD or verify","Keep COD"))))</f>
        <v/>
      </c>
    </row>
    <row r="1915" customFormat="false" ht="15" hidden="false" customHeight="false" outlineLevel="0" collapsed="false">
      <c r="A1915" s="27"/>
      <c r="B1915" s="17" t="str">
        <f aca="false">IF($A1915="","",COUNTIFS(Orders!$C$2:$C$20001,$A1915,Orders!$E$2:$E$20001,"COD",Orders!$F$2:$F$20001,"Delivered")+COUNTIFS(Orders!$C$2:$C$20001,$A1915,Orders!$E$2:$E$20001,"COD",Orders!$F$2:$F$20001,"RTO"))</f>
        <v/>
      </c>
      <c r="C1915" s="17" t="str">
        <f aca="false">IF($A1915="","",COUNTIFS(Orders!$C$2:$C$20001,$A1915,Orders!$E$2:$E$20001,"COD",Orders!$F$2:$F$20001,"RTO"))</f>
        <v/>
      </c>
      <c r="D1915" s="18" t="str">
        <f aca="false">IF($A1915="","",IFERROR(C1915/B1915,0))</f>
        <v/>
      </c>
      <c r="E1915" s="17" t="str">
        <f aca="false">IF($A1915="","",COUNTIFS(Orders!$C$2:$C$20001,$A1915,Orders!$E$2:$E$20001,"Prepaid",Orders!$F$2:$F$20001,"Delivered")+COUNTIFS(Orders!$C$2:$C$20001,$A1915,Orders!$E$2:$E$20001,"Prepaid",Orders!$F$2:$F$20001,"RTO"))</f>
        <v/>
      </c>
      <c r="F1915" s="17" t="str">
        <f aca="false">IF($A1915="","",COUNTIFS(Orders!$C$2:$C$20001,$A1915,Orders!$E$2:$E$20001,"Prepaid",Orders!$F$2:$F$20001,"RTO"))</f>
        <v/>
      </c>
      <c r="G1915" s="18" t="str">
        <f aca="false">IF($A1915="","",IFERROR(F1915/E1915,0))</f>
        <v/>
      </c>
      <c r="H1915" s="19" t="str">
        <f aca="false">IF($A1915="","",C1915*Settings!$B$11)</f>
        <v/>
      </c>
      <c r="I1915" s="20" t="str">
        <f aca="false">IF($A1915="","",IF(N(H1915)=0,"",RANK(H1915,$H$5:$H$2004)))</f>
        <v/>
      </c>
      <c r="J1915" s="21" t="str">
        <f aca="false">IF($A1915="","",IF(B1915=0,"No COD orders",IF(B1915&lt;Settings!$B$8,"Too few orders",IF(D1915&gt;=Settings!$B$9,"Restrict COD or verify","Keep COD"))))</f>
        <v/>
      </c>
    </row>
    <row r="1916" customFormat="false" ht="15" hidden="false" customHeight="false" outlineLevel="0" collapsed="false">
      <c r="A1916" s="27"/>
      <c r="B1916" s="17" t="str">
        <f aca="false">IF($A1916="","",COUNTIFS(Orders!$C$2:$C$20001,$A1916,Orders!$E$2:$E$20001,"COD",Orders!$F$2:$F$20001,"Delivered")+COUNTIFS(Orders!$C$2:$C$20001,$A1916,Orders!$E$2:$E$20001,"COD",Orders!$F$2:$F$20001,"RTO"))</f>
        <v/>
      </c>
      <c r="C1916" s="17" t="str">
        <f aca="false">IF($A1916="","",COUNTIFS(Orders!$C$2:$C$20001,$A1916,Orders!$E$2:$E$20001,"COD",Orders!$F$2:$F$20001,"RTO"))</f>
        <v/>
      </c>
      <c r="D1916" s="18" t="str">
        <f aca="false">IF($A1916="","",IFERROR(C1916/B1916,0))</f>
        <v/>
      </c>
      <c r="E1916" s="17" t="str">
        <f aca="false">IF($A1916="","",COUNTIFS(Orders!$C$2:$C$20001,$A1916,Orders!$E$2:$E$20001,"Prepaid",Orders!$F$2:$F$20001,"Delivered")+COUNTIFS(Orders!$C$2:$C$20001,$A1916,Orders!$E$2:$E$20001,"Prepaid",Orders!$F$2:$F$20001,"RTO"))</f>
        <v/>
      </c>
      <c r="F1916" s="17" t="str">
        <f aca="false">IF($A1916="","",COUNTIFS(Orders!$C$2:$C$20001,$A1916,Orders!$E$2:$E$20001,"Prepaid",Orders!$F$2:$F$20001,"RTO"))</f>
        <v/>
      </c>
      <c r="G1916" s="18" t="str">
        <f aca="false">IF($A1916="","",IFERROR(F1916/E1916,0))</f>
        <v/>
      </c>
      <c r="H1916" s="19" t="str">
        <f aca="false">IF($A1916="","",C1916*Settings!$B$11)</f>
        <v/>
      </c>
      <c r="I1916" s="20" t="str">
        <f aca="false">IF($A1916="","",IF(N(H1916)=0,"",RANK(H1916,$H$5:$H$2004)))</f>
        <v/>
      </c>
      <c r="J1916" s="21" t="str">
        <f aca="false">IF($A1916="","",IF(B1916=0,"No COD orders",IF(B1916&lt;Settings!$B$8,"Too few orders",IF(D1916&gt;=Settings!$B$9,"Restrict COD or verify","Keep COD"))))</f>
        <v/>
      </c>
    </row>
    <row r="1917" customFormat="false" ht="15" hidden="false" customHeight="false" outlineLevel="0" collapsed="false">
      <c r="A1917" s="27"/>
      <c r="B1917" s="17" t="str">
        <f aca="false">IF($A1917="","",COUNTIFS(Orders!$C$2:$C$20001,$A1917,Orders!$E$2:$E$20001,"COD",Orders!$F$2:$F$20001,"Delivered")+COUNTIFS(Orders!$C$2:$C$20001,$A1917,Orders!$E$2:$E$20001,"COD",Orders!$F$2:$F$20001,"RTO"))</f>
        <v/>
      </c>
      <c r="C1917" s="17" t="str">
        <f aca="false">IF($A1917="","",COUNTIFS(Orders!$C$2:$C$20001,$A1917,Orders!$E$2:$E$20001,"COD",Orders!$F$2:$F$20001,"RTO"))</f>
        <v/>
      </c>
      <c r="D1917" s="18" t="str">
        <f aca="false">IF($A1917="","",IFERROR(C1917/B1917,0))</f>
        <v/>
      </c>
      <c r="E1917" s="17" t="str">
        <f aca="false">IF($A1917="","",COUNTIFS(Orders!$C$2:$C$20001,$A1917,Orders!$E$2:$E$20001,"Prepaid",Orders!$F$2:$F$20001,"Delivered")+COUNTIFS(Orders!$C$2:$C$20001,$A1917,Orders!$E$2:$E$20001,"Prepaid",Orders!$F$2:$F$20001,"RTO"))</f>
        <v/>
      </c>
      <c r="F1917" s="17" t="str">
        <f aca="false">IF($A1917="","",COUNTIFS(Orders!$C$2:$C$20001,$A1917,Orders!$E$2:$E$20001,"Prepaid",Orders!$F$2:$F$20001,"RTO"))</f>
        <v/>
      </c>
      <c r="G1917" s="18" t="str">
        <f aca="false">IF($A1917="","",IFERROR(F1917/E1917,0))</f>
        <v/>
      </c>
      <c r="H1917" s="19" t="str">
        <f aca="false">IF($A1917="","",C1917*Settings!$B$11)</f>
        <v/>
      </c>
      <c r="I1917" s="20" t="str">
        <f aca="false">IF($A1917="","",IF(N(H1917)=0,"",RANK(H1917,$H$5:$H$2004)))</f>
        <v/>
      </c>
      <c r="J1917" s="21" t="str">
        <f aca="false">IF($A1917="","",IF(B1917=0,"No COD orders",IF(B1917&lt;Settings!$B$8,"Too few orders",IF(D1917&gt;=Settings!$B$9,"Restrict COD or verify","Keep COD"))))</f>
        <v/>
      </c>
    </row>
    <row r="1918" customFormat="false" ht="15" hidden="false" customHeight="false" outlineLevel="0" collapsed="false">
      <c r="A1918" s="27"/>
      <c r="B1918" s="17" t="str">
        <f aca="false">IF($A1918="","",COUNTIFS(Orders!$C$2:$C$20001,$A1918,Orders!$E$2:$E$20001,"COD",Orders!$F$2:$F$20001,"Delivered")+COUNTIFS(Orders!$C$2:$C$20001,$A1918,Orders!$E$2:$E$20001,"COD",Orders!$F$2:$F$20001,"RTO"))</f>
        <v/>
      </c>
      <c r="C1918" s="17" t="str">
        <f aca="false">IF($A1918="","",COUNTIFS(Orders!$C$2:$C$20001,$A1918,Orders!$E$2:$E$20001,"COD",Orders!$F$2:$F$20001,"RTO"))</f>
        <v/>
      </c>
      <c r="D1918" s="18" t="str">
        <f aca="false">IF($A1918="","",IFERROR(C1918/B1918,0))</f>
        <v/>
      </c>
      <c r="E1918" s="17" t="str">
        <f aca="false">IF($A1918="","",COUNTIFS(Orders!$C$2:$C$20001,$A1918,Orders!$E$2:$E$20001,"Prepaid",Orders!$F$2:$F$20001,"Delivered")+COUNTIFS(Orders!$C$2:$C$20001,$A1918,Orders!$E$2:$E$20001,"Prepaid",Orders!$F$2:$F$20001,"RTO"))</f>
        <v/>
      </c>
      <c r="F1918" s="17" t="str">
        <f aca="false">IF($A1918="","",COUNTIFS(Orders!$C$2:$C$20001,$A1918,Orders!$E$2:$E$20001,"Prepaid",Orders!$F$2:$F$20001,"RTO"))</f>
        <v/>
      </c>
      <c r="G1918" s="18" t="str">
        <f aca="false">IF($A1918="","",IFERROR(F1918/E1918,0))</f>
        <v/>
      </c>
      <c r="H1918" s="19" t="str">
        <f aca="false">IF($A1918="","",C1918*Settings!$B$11)</f>
        <v/>
      </c>
      <c r="I1918" s="20" t="str">
        <f aca="false">IF($A1918="","",IF(N(H1918)=0,"",RANK(H1918,$H$5:$H$2004)))</f>
        <v/>
      </c>
      <c r="J1918" s="21" t="str">
        <f aca="false">IF($A1918="","",IF(B1918=0,"No COD orders",IF(B1918&lt;Settings!$B$8,"Too few orders",IF(D1918&gt;=Settings!$B$9,"Restrict COD or verify","Keep COD"))))</f>
        <v/>
      </c>
    </row>
    <row r="1919" customFormat="false" ht="15" hidden="false" customHeight="false" outlineLevel="0" collapsed="false">
      <c r="A1919" s="27"/>
      <c r="B1919" s="17" t="str">
        <f aca="false">IF($A1919="","",COUNTIFS(Orders!$C$2:$C$20001,$A1919,Orders!$E$2:$E$20001,"COD",Orders!$F$2:$F$20001,"Delivered")+COUNTIFS(Orders!$C$2:$C$20001,$A1919,Orders!$E$2:$E$20001,"COD",Orders!$F$2:$F$20001,"RTO"))</f>
        <v/>
      </c>
      <c r="C1919" s="17" t="str">
        <f aca="false">IF($A1919="","",COUNTIFS(Orders!$C$2:$C$20001,$A1919,Orders!$E$2:$E$20001,"COD",Orders!$F$2:$F$20001,"RTO"))</f>
        <v/>
      </c>
      <c r="D1919" s="18" t="str">
        <f aca="false">IF($A1919="","",IFERROR(C1919/B1919,0))</f>
        <v/>
      </c>
      <c r="E1919" s="17" t="str">
        <f aca="false">IF($A1919="","",COUNTIFS(Orders!$C$2:$C$20001,$A1919,Orders!$E$2:$E$20001,"Prepaid",Orders!$F$2:$F$20001,"Delivered")+COUNTIFS(Orders!$C$2:$C$20001,$A1919,Orders!$E$2:$E$20001,"Prepaid",Orders!$F$2:$F$20001,"RTO"))</f>
        <v/>
      </c>
      <c r="F1919" s="17" t="str">
        <f aca="false">IF($A1919="","",COUNTIFS(Orders!$C$2:$C$20001,$A1919,Orders!$E$2:$E$20001,"Prepaid",Orders!$F$2:$F$20001,"RTO"))</f>
        <v/>
      </c>
      <c r="G1919" s="18" t="str">
        <f aca="false">IF($A1919="","",IFERROR(F1919/E1919,0))</f>
        <v/>
      </c>
      <c r="H1919" s="19" t="str">
        <f aca="false">IF($A1919="","",C1919*Settings!$B$11)</f>
        <v/>
      </c>
      <c r="I1919" s="20" t="str">
        <f aca="false">IF($A1919="","",IF(N(H1919)=0,"",RANK(H1919,$H$5:$H$2004)))</f>
        <v/>
      </c>
      <c r="J1919" s="21" t="str">
        <f aca="false">IF($A1919="","",IF(B1919=0,"No COD orders",IF(B1919&lt;Settings!$B$8,"Too few orders",IF(D1919&gt;=Settings!$B$9,"Restrict COD or verify","Keep COD"))))</f>
        <v/>
      </c>
    </row>
    <row r="1920" customFormat="false" ht="15" hidden="false" customHeight="false" outlineLevel="0" collapsed="false">
      <c r="A1920" s="27"/>
      <c r="B1920" s="17" t="str">
        <f aca="false">IF($A1920="","",COUNTIFS(Orders!$C$2:$C$20001,$A1920,Orders!$E$2:$E$20001,"COD",Orders!$F$2:$F$20001,"Delivered")+COUNTIFS(Orders!$C$2:$C$20001,$A1920,Orders!$E$2:$E$20001,"COD",Orders!$F$2:$F$20001,"RTO"))</f>
        <v/>
      </c>
      <c r="C1920" s="17" t="str">
        <f aca="false">IF($A1920="","",COUNTIFS(Orders!$C$2:$C$20001,$A1920,Orders!$E$2:$E$20001,"COD",Orders!$F$2:$F$20001,"RTO"))</f>
        <v/>
      </c>
      <c r="D1920" s="18" t="str">
        <f aca="false">IF($A1920="","",IFERROR(C1920/B1920,0))</f>
        <v/>
      </c>
      <c r="E1920" s="17" t="str">
        <f aca="false">IF($A1920="","",COUNTIFS(Orders!$C$2:$C$20001,$A1920,Orders!$E$2:$E$20001,"Prepaid",Orders!$F$2:$F$20001,"Delivered")+COUNTIFS(Orders!$C$2:$C$20001,$A1920,Orders!$E$2:$E$20001,"Prepaid",Orders!$F$2:$F$20001,"RTO"))</f>
        <v/>
      </c>
      <c r="F1920" s="17" t="str">
        <f aca="false">IF($A1920="","",COUNTIFS(Orders!$C$2:$C$20001,$A1920,Orders!$E$2:$E$20001,"Prepaid",Orders!$F$2:$F$20001,"RTO"))</f>
        <v/>
      </c>
      <c r="G1920" s="18" t="str">
        <f aca="false">IF($A1920="","",IFERROR(F1920/E1920,0))</f>
        <v/>
      </c>
      <c r="H1920" s="19" t="str">
        <f aca="false">IF($A1920="","",C1920*Settings!$B$11)</f>
        <v/>
      </c>
      <c r="I1920" s="20" t="str">
        <f aca="false">IF($A1920="","",IF(N(H1920)=0,"",RANK(H1920,$H$5:$H$2004)))</f>
        <v/>
      </c>
      <c r="J1920" s="21" t="str">
        <f aca="false">IF($A1920="","",IF(B1920=0,"No COD orders",IF(B1920&lt;Settings!$B$8,"Too few orders",IF(D1920&gt;=Settings!$B$9,"Restrict COD or verify","Keep COD"))))</f>
        <v/>
      </c>
    </row>
    <row r="1921" customFormat="false" ht="15" hidden="false" customHeight="false" outlineLevel="0" collapsed="false">
      <c r="A1921" s="27"/>
      <c r="B1921" s="17" t="str">
        <f aca="false">IF($A1921="","",COUNTIFS(Orders!$C$2:$C$20001,$A1921,Orders!$E$2:$E$20001,"COD",Orders!$F$2:$F$20001,"Delivered")+COUNTIFS(Orders!$C$2:$C$20001,$A1921,Orders!$E$2:$E$20001,"COD",Orders!$F$2:$F$20001,"RTO"))</f>
        <v/>
      </c>
      <c r="C1921" s="17" t="str">
        <f aca="false">IF($A1921="","",COUNTIFS(Orders!$C$2:$C$20001,$A1921,Orders!$E$2:$E$20001,"COD",Orders!$F$2:$F$20001,"RTO"))</f>
        <v/>
      </c>
      <c r="D1921" s="18" t="str">
        <f aca="false">IF($A1921="","",IFERROR(C1921/B1921,0))</f>
        <v/>
      </c>
      <c r="E1921" s="17" t="str">
        <f aca="false">IF($A1921="","",COUNTIFS(Orders!$C$2:$C$20001,$A1921,Orders!$E$2:$E$20001,"Prepaid",Orders!$F$2:$F$20001,"Delivered")+COUNTIFS(Orders!$C$2:$C$20001,$A1921,Orders!$E$2:$E$20001,"Prepaid",Orders!$F$2:$F$20001,"RTO"))</f>
        <v/>
      </c>
      <c r="F1921" s="17" t="str">
        <f aca="false">IF($A1921="","",COUNTIFS(Orders!$C$2:$C$20001,$A1921,Orders!$E$2:$E$20001,"Prepaid",Orders!$F$2:$F$20001,"RTO"))</f>
        <v/>
      </c>
      <c r="G1921" s="18" t="str">
        <f aca="false">IF($A1921="","",IFERROR(F1921/E1921,0))</f>
        <v/>
      </c>
      <c r="H1921" s="19" t="str">
        <f aca="false">IF($A1921="","",C1921*Settings!$B$11)</f>
        <v/>
      </c>
      <c r="I1921" s="20" t="str">
        <f aca="false">IF($A1921="","",IF(N(H1921)=0,"",RANK(H1921,$H$5:$H$2004)))</f>
        <v/>
      </c>
      <c r="J1921" s="21" t="str">
        <f aca="false">IF($A1921="","",IF(B1921=0,"No COD orders",IF(B1921&lt;Settings!$B$8,"Too few orders",IF(D1921&gt;=Settings!$B$9,"Restrict COD or verify","Keep COD"))))</f>
        <v/>
      </c>
    </row>
    <row r="1922" customFormat="false" ht="15" hidden="false" customHeight="false" outlineLevel="0" collapsed="false">
      <c r="A1922" s="27"/>
      <c r="B1922" s="17" t="str">
        <f aca="false">IF($A1922="","",COUNTIFS(Orders!$C$2:$C$20001,$A1922,Orders!$E$2:$E$20001,"COD",Orders!$F$2:$F$20001,"Delivered")+COUNTIFS(Orders!$C$2:$C$20001,$A1922,Orders!$E$2:$E$20001,"COD",Orders!$F$2:$F$20001,"RTO"))</f>
        <v/>
      </c>
      <c r="C1922" s="17" t="str">
        <f aca="false">IF($A1922="","",COUNTIFS(Orders!$C$2:$C$20001,$A1922,Orders!$E$2:$E$20001,"COD",Orders!$F$2:$F$20001,"RTO"))</f>
        <v/>
      </c>
      <c r="D1922" s="18" t="str">
        <f aca="false">IF($A1922="","",IFERROR(C1922/B1922,0))</f>
        <v/>
      </c>
      <c r="E1922" s="17" t="str">
        <f aca="false">IF($A1922="","",COUNTIFS(Orders!$C$2:$C$20001,$A1922,Orders!$E$2:$E$20001,"Prepaid",Orders!$F$2:$F$20001,"Delivered")+COUNTIFS(Orders!$C$2:$C$20001,$A1922,Orders!$E$2:$E$20001,"Prepaid",Orders!$F$2:$F$20001,"RTO"))</f>
        <v/>
      </c>
      <c r="F1922" s="17" t="str">
        <f aca="false">IF($A1922="","",COUNTIFS(Orders!$C$2:$C$20001,$A1922,Orders!$E$2:$E$20001,"Prepaid",Orders!$F$2:$F$20001,"RTO"))</f>
        <v/>
      </c>
      <c r="G1922" s="18" t="str">
        <f aca="false">IF($A1922="","",IFERROR(F1922/E1922,0))</f>
        <v/>
      </c>
      <c r="H1922" s="19" t="str">
        <f aca="false">IF($A1922="","",C1922*Settings!$B$11)</f>
        <v/>
      </c>
      <c r="I1922" s="20" t="str">
        <f aca="false">IF($A1922="","",IF(N(H1922)=0,"",RANK(H1922,$H$5:$H$2004)))</f>
        <v/>
      </c>
      <c r="J1922" s="21" t="str">
        <f aca="false">IF($A1922="","",IF(B1922=0,"No COD orders",IF(B1922&lt;Settings!$B$8,"Too few orders",IF(D1922&gt;=Settings!$B$9,"Restrict COD or verify","Keep COD"))))</f>
        <v/>
      </c>
    </row>
    <row r="1923" customFormat="false" ht="15" hidden="false" customHeight="false" outlineLevel="0" collapsed="false">
      <c r="A1923" s="27"/>
      <c r="B1923" s="17" t="str">
        <f aca="false">IF($A1923="","",COUNTIFS(Orders!$C$2:$C$20001,$A1923,Orders!$E$2:$E$20001,"COD",Orders!$F$2:$F$20001,"Delivered")+COUNTIFS(Orders!$C$2:$C$20001,$A1923,Orders!$E$2:$E$20001,"COD",Orders!$F$2:$F$20001,"RTO"))</f>
        <v/>
      </c>
      <c r="C1923" s="17" t="str">
        <f aca="false">IF($A1923="","",COUNTIFS(Orders!$C$2:$C$20001,$A1923,Orders!$E$2:$E$20001,"COD",Orders!$F$2:$F$20001,"RTO"))</f>
        <v/>
      </c>
      <c r="D1923" s="18" t="str">
        <f aca="false">IF($A1923="","",IFERROR(C1923/B1923,0))</f>
        <v/>
      </c>
      <c r="E1923" s="17" t="str">
        <f aca="false">IF($A1923="","",COUNTIFS(Orders!$C$2:$C$20001,$A1923,Orders!$E$2:$E$20001,"Prepaid",Orders!$F$2:$F$20001,"Delivered")+COUNTIFS(Orders!$C$2:$C$20001,$A1923,Orders!$E$2:$E$20001,"Prepaid",Orders!$F$2:$F$20001,"RTO"))</f>
        <v/>
      </c>
      <c r="F1923" s="17" t="str">
        <f aca="false">IF($A1923="","",COUNTIFS(Orders!$C$2:$C$20001,$A1923,Orders!$E$2:$E$20001,"Prepaid",Orders!$F$2:$F$20001,"RTO"))</f>
        <v/>
      </c>
      <c r="G1923" s="18" t="str">
        <f aca="false">IF($A1923="","",IFERROR(F1923/E1923,0))</f>
        <v/>
      </c>
      <c r="H1923" s="19" t="str">
        <f aca="false">IF($A1923="","",C1923*Settings!$B$11)</f>
        <v/>
      </c>
      <c r="I1923" s="20" t="str">
        <f aca="false">IF($A1923="","",IF(N(H1923)=0,"",RANK(H1923,$H$5:$H$2004)))</f>
        <v/>
      </c>
      <c r="J1923" s="21" t="str">
        <f aca="false">IF($A1923="","",IF(B1923=0,"No COD orders",IF(B1923&lt;Settings!$B$8,"Too few orders",IF(D1923&gt;=Settings!$B$9,"Restrict COD or verify","Keep COD"))))</f>
        <v/>
      </c>
    </row>
    <row r="1924" customFormat="false" ht="15" hidden="false" customHeight="false" outlineLevel="0" collapsed="false">
      <c r="A1924" s="27"/>
      <c r="B1924" s="17" t="str">
        <f aca="false">IF($A1924="","",COUNTIFS(Orders!$C$2:$C$20001,$A1924,Orders!$E$2:$E$20001,"COD",Orders!$F$2:$F$20001,"Delivered")+COUNTIFS(Orders!$C$2:$C$20001,$A1924,Orders!$E$2:$E$20001,"COD",Orders!$F$2:$F$20001,"RTO"))</f>
        <v/>
      </c>
      <c r="C1924" s="17" t="str">
        <f aca="false">IF($A1924="","",COUNTIFS(Orders!$C$2:$C$20001,$A1924,Orders!$E$2:$E$20001,"COD",Orders!$F$2:$F$20001,"RTO"))</f>
        <v/>
      </c>
      <c r="D1924" s="18" t="str">
        <f aca="false">IF($A1924="","",IFERROR(C1924/B1924,0))</f>
        <v/>
      </c>
      <c r="E1924" s="17" t="str">
        <f aca="false">IF($A1924="","",COUNTIFS(Orders!$C$2:$C$20001,$A1924,Orders!$E$2:$E$20001,"Prepaid",Orders!$F$2:$F$20001,"Delivered")+COUNTIFS(Orders!$C$2:$C$20001,$A1924,Orders!$E$2:$E$20001,"Prepaid",Orders!$F$2:$F$20001,"RTO"))</f>
        <v/>
      </c>
      <c r="F1924" s="17" t="str">
        <f aca="false">IF($A1924="","",COUNTIFS(Orders!$C$2:$C$20001,$A1924,Orders!$E$2:$E$20001,"Prepaid",Orders!$F$2:$F$20001,"RTO"))</f>
        <v/>
      </c>
      <c r="G1924" s="18" t="str">
        <f aca="false">IF($A1924="","",IFERROR(F1924/E1924,0))</f>
        <v/>
      </c>
      <c r="H1924" s="19" t="str">
        <f aca="false">IF($A1924="","",C1924*Settings!$B$11)</f>
        <v/>
      </c>
      <c r="I1924" s="20" t="str">
        <f aca="false">IF($A1924="","",IF(N(H1924)=0,"",RANK(H1924,$H$5:$H$2004)))</f>
        <v/>
      </c>
      <c r="J1924" s="21" t="str">
        <f aca="false">IF($A1924="","",IF(B1924=0,"No COD orders",IF(B1924&lt;Settings!$B$8,"Too few orders",IF(D1924&gt;=Settings!$B$9,"Restrict COD or verify","Keep COD"))))</f>
        <v/>
      </c>
    </row>
    <row r="1925" customFormat="false" ht="15" hidden="false" customHeight="false" outlineLevel="0" collapsed="false">
      <c r="A1925" s="27"/>
      <c r="B1925" s="17" t="str">
        <f aca="false">IF($A1925="","",COUNTIFS(Orders!$C$2:$C$20001,$A1925,Orders!$E$2:$E$20001,"COD",Orders!$F$2:$F$20001,"Delivered")+COUNTIFS(Orders!$C$2:$C$20001,$A1925,Orders!$E$2:$E$20001,"COD",Orders!$F$2:$F$20001,"RTO"))</f>
        <v/>
      </c>
      <c r="C1925" s="17" t="str">
        <f aca="false">IF($A1925="","",COUNTIFS(Orders!$C$2:$C$20001,$A1925,Orders!$E$2:$E$20001,"COD",Orders!$F$2:$F$20001,"RTO"))</f>
        <v/>
      </c>
      <c r="D1925" s="18" t="str">
        <f aca="false">IF($A1925="","",IFERROR(C1925/B1925,0))</f>
        <v/>
      </c>
      <c r="E1925" s="17" t="str">
        <f aca="false">IF($A1925="","",COUNTIFS(Orders!$C$2:$C$20001,$A1925,Orders!$E$2:$E$20001,"Prepaid",Orders!$F$2:$F$20001,"Delivered")+COUNTIFS(Orders!$C$2:$C$20001,$A1925,Orders!$E$2:$E$20001,"Prepaid",Orders!$F$2:$F$20001,"RTO"))</f>
        <v/>
      </c>
      <c r="F1925" s="17" t="str">
        <f aca="false">IF($A1925="","",COUNTIFS(Orders!$C$2:$C$20001,$A1925,Orders!$E$2:$E$20001,"Prepaid",Orders!$F$2:$F$20001,"RTO"))</f>
        <v/>
      </c>
      <c r="G1925" s="18" t="str">
        <f aca="false">IF($A1925="","",IFERROR(F1925/E1925,0))</f>
        <v/>
      </c>
      <c r="H1925" s="19" t="str">
        <f aca="false">IF($A1925="","",C1925*Settings!$B$11)</f>
        <v/>
      </c>
      <c r="I1925" s="20" t="str">
        <f aca="false">IF($A1925="","",IF(N(H1925)=0,"",RANK(H1925,$H$5:$H$2004)))</f>
        <v/>
      </c>
      <c r="J1925" s="21" t="str">
        <f aca="false">IF($A1925="","",IF(B1925=0,"No COD orders",IF(B1925&lt;Settings!$B$8,"Too few orders",IF(D1925&gt;=Settings!$B$9,"Restrict COD or verify","Keep COD"))))</f>
        <v/>
      </c>
    </row>
    <row r="1926" customFormat="false" ht="15" hidden="false" customHeight="false" outlineLevel="0" collapsed="false">
      <c r="A1926" s="27"/>
      <c r="B1926" s="17" t="str">
        <f aca="false">IF($A1926="","",COUNTIFS(Orders!$C$2:$C$20001,$A1926,Orders!$E$2:$E$20001,"COD",Orders!$F$2:$F$20001,"Delivered")+COUNTIFS(Orders!$C$2:$C$20001,$A1926,Orders!$E$2:$E$20001,"COD",Orders!$F$2:$F$20001,"RTO"))</f>
        <v/>
      </c>
      <c r="C1926" s="17" t="str">
        <f aca="false">IF($A1926="","",COUNTIFS(Orders!$C$2:$C$20001,$A1926,Orders!$E$2:$E$20001,"COD",Orders!$F$2:$F$20001,"RTO"))</f>
        <v/>
      </c>
      <c r="D1926" s="18" t="str">
        <f aca="false">IF($A1926="","",IFERROR(C1926/B1926,0))</f>
        <v/>
      </c>
      <c r="E1926" s="17" t="str">
        <f aca="false">IF($A1926="","",COUNTIFS(Orders!$C$2:$C$20001,$A1926,Orders!$E$2:$E$20001,"Prepaid",Orders!$F$2:$F$20001,"Delivered")+COUNTIFS(Orders!$C$2:$C$20001,$A1926,Orders!$E$2:$E$20001,"Prepaid",Orders!$F$2:$F$20001,"RTO"))</f>
        <v/>
      </c>
      <c r="F1926" s="17" t="str">
        <f aca="false">IF($A1926="","",COUNTIFS(Orders!$C$2:$C$20001,$A1926,Orders!$E$2:$E$20001,"Prepaid",Orders!$F$2:$F$20001,"RTO"))</f>
        <v/>
      </c>
      <c r="G1926" s="18" t="str">
        <f aca="false">IF($A1926="","",IFERROR(F1926/E1926,0))</f>
        <v/>
      </c>
      <c r="H1926" s="19" t="str">
        <f aca="false">IF($A1926="","",C1926*Settings!$B$11)</f>
        <v/>
      </c>
      <c r="I1926" s="20" t="str">
        <f aca="false">IF($A1926="","",IF(N(H1926)=0,"",RANK(H1926,$H$5:$H$2004)))</f>
        <v/>
      </c>
      <c r="J1926" s="21" t="str">
        <f aca="false">IF($A1926="","",IF(B1926=0,"No COD orders",IF(B1926&lt;Settings!$B$8,"Too few orders",IF(D1926&gt;=Settings!$B$9,"Restrict COD or verify","Keep COD"))))</f>
        <v/>
      </c>
    </row>
    <row r="1927" customFormat="false" ht="15" hidden="false" customHeight="false" outlineLevel="0" collapsed="false">
      <c r="A1927" s="27"/>
      <c r="B1927" s="17" t="str">
        <f aca="false">IF($A1927="","",COUNTIFS(Orders!$C$2:$C$20001,$A1927,Orders!$E$2:$E$20001,"COD",Orders!$F$2:$F$20001,"Delivered")+COUNTIFS(Orders!$C$2:$C$20001,$A1927,Orders!$E$2:$E$20001,"COD",Orders!$F$2:$F$20001,"RTO"))</f>
        <v/>
      </c>
      <c r="C1927" s="17" t="str">
        <f aca="false">IF($A1927="","",COUNTIFS(Orders!$C$2:$C$20001,$A1927,Orders!$E$2:$E$20001,"COD",Orders!$F$2:$F$20001,"RTO"))</f>
        <v/>
      </c>
      <c r="D1927" s="18" t="str">
        <f aca="false">IF($A1927="","",IFERROR(C1927/B1927,0))</f>
        <v/>
      </c>
      <c r="E1927" s="17" t="str">
        <f aca="false">IF($A1927="","",COUNTIFS(Orders!$C$2:$C$20001,$A1927,Orders!$E$2:$E$20001,"Prepaid",Orders!$F$2:$F$20001,"Delivered")+COUNTIFS(Orders!$C$2:$C$20001,$A1927,Orders!$E$2:$E$20001,"Prepaid",Orders!$F$2:$F$20001,"RTO"))</f>
        <v/>
      </c>
      <c r="F1927" s="17" t="str">
        <f aca="false">IF($A1927="","",COUNTIFS(Orders!$C$2:$C$20001,$A1927,Orders!$E$2:$E$20001,"Prepaid",Orders!$F$2:$F$20001,"RTO"))</f>
        <v/>
      </c>
      <c r="G1927" s="18" t="str">
        <f aca="false">IF($A1927="","",IFERROR(F1927/E1927,0))</f>
        <v/>
      </c>
      <c r="H1927" s="19" t="str">
        <f aca="false">IF($A1927="","",C1927*Settings!$B$11)</f>
        <v/>
      </c>
      <c r="I1927" s="20" t="str">
        <f aca="false">IF($A1927="","",IF(N(H1927)=0,"",RANK(H1927,$H$5:$H$2004)))</f>
        <v/>
      </c>
      <c r="J1927" s="21" t="str">
        <f aca="false">IF($A1927="","",IF(B1927=0,"No COD orders",IF(B1927&lt;Settings!$B$8,"Too few orders",IF(D1927&gt;=Settings!$B$9,"Restrict COD or verify","Keep COD"))))</f>
        <v/>
      </c>
    </row>
    <row r="1928" customFormat="false" ht="15" hidden="false" customHeight="false" outlineLevel="0" collapsed="false">
      <c r="A1928" s="27"/>
      <c r="B1928" s="17" t="str">
        <f aca="false">IF($A1928="","",COUNTIFS(Orders!$C$2:$C$20001,$A1928,Orders!$E$2:$E$20001,"COD",Orders!$F$2:$F$20001,"Delivered")+COUNTIFS(Orders!$C$2:$C$20001,$A1928,Orders!$E$2:$E$20001,"COD",Orders!$F$2:$F$20001,"RTO"))</f>
        <v/>
      </c>
      <c r="C1928" s="17" t="str">
        <f aca="false">IF($A1928="","",COUNTIFS(Orders!$C$2:$C$20001,$A1928,Orders!$E$2:$E$20001,"COD",Orders!$F$2:$F$20001,"RTO"))</f>
        <v/>
      </c>
      <c r="D1928" s="18" t="str">
        <f aca="false">IF($A1928="","",IFERROR(C1928/B1928,0))</f>
        <v/>
      </c>
      <c r="E1928" s="17" t="str">
        <f aca="false">IF($A1928="","",COUNTIFS(Orders!$C$2:$C$20001,$A1928,Orders!$E$2:$E$20001,"Prepaid",Orders!$F$2:$F$20001,"Delivered")+COUNTIFS(Orders!$C$2:$C$20001,$A1928,Orders!$E$2:$E$20001,"Prepaid",Orders!$F$2:$F$20001,"RTO"))</f>
        <v/>
      </c>
      <c r="F1928" s="17" t="str">
        <f aca="false">IF($A1928="","",COUNTIFS(Orders!$C$2:$C$20001,$A1928,Orders!$E$2:$E$20001,"Prepaid",Orders!$F$2:$F$20001,"RTO"))</f>
        <v/>
      </c>
      <c r="G1928" s="18" t="str">
        <f aca="false">IF($A1928="","",IFERROR(F1928/E1928,0))</f>
        <v/>
      </c>
      <c r="H1928" s="19" t="str">
        <f aca="false">IF($A1928="","",C1928*Settings!$B$11)</f>
        <v/>
      </c>
      <c r="I1928" s="20" t="str">
        <f aca="false">IF($A1928="","",IF(N(H1928)=0,"",RANK(H1928,$H$5:$H$2004)))</f>
        <v/>
      </c>
      <c r="J1928" s="21" t="str">
        <f aca="false">IF($A1928="","",IF(B1928=0,"No COD orders",IF(B1928&lt;Settings!$B$8,"Too few orders",IF(D1928&gt;=Settings!$B$9,"Restrict COD or verify","Keep COD"))))</f>
        <v/>
      </c>
    </row>
    <row r="1929" customFormat="false" ht="15" hidden="false" customHeight="false" outlineLevel="0" collapsed="false">
      <c r="A1929" s="27"/>
      <c r="B1929" s="17" t="str">
        <f aca="false">IF($A1929="","",COUNTIFS(Orders!$C$2:$C$20001,$A1929,Orders!$E$2:$E$20001,"COD",Orders!$F$2:$F$20001,"Delivered")+COUNTIFS(Orders!$C$2:$C$20001,$A1929,Orders!$E$2:$E$20001,"COD",Orders!$F$2:$F$20001,"RTO"))</f>
        <v/>
      </c>
      <c r="C1929" s="17" t="str">
        <f aca="false">IF($A1929="","",COUNTIFS(Orders!$C$2:$C$20001,$A1929,Orders!$E$2:$E$20001,"COD",Orders!$F$2:$F$20001,"RTO"))</f>
        <v/>
      </c>
      <c r="D1929" s="18" t="str">
        <f aca="false">IF($A1929="","",IFERROR(C1929/B1929,0))</f>
        <v/>
      </c>
      <c r="E1929" s="17" t="str">
        <f aca="false">IF($A1929="","",COUNTIFS(Orders!$C$2:$C$20001,$A1929,Orders!$E$2:$E$20001,"Prepaid",Orders!$F$2:$F$20001,"Delivered")+COUNTIFS(Orders!$C$2:$C$20001,$A1929,Orders!$E$2:$E$20001,"Prepaid",Orders!$F$2:$F$20001,"RTO"))</f>
        <v/>
      </c>
      <c r="F1929" s="17" t="str">
        <f aca="false">IF($A1929="","",COUNTIFS(Orders!$C$2:$C$20001,$A1929,Orders!$E$2:$E$20001,"Prepaid",Orders!$F$2:$F$20001,"RTO"))</f>
        <v/>
      </c>
      <c r="G1929" s="18" t="str">
        <f aca="false">IF($A1929="","",IFERROR(F1929/E1929,0))</f>
        <v/>
      </c>
      <c r="H1929" s="19" t="str">
        <f aca="false">IF($A1929="","",C1929*Settings!$B$11)</f>
        <v/>
      </c>
      <c r="I1929" s="20" t="str">
        <f aca="false">IF($A1929="","",IF(N(H1929)=0,"",RANK(H1929,$H$5:$H$2004)))</f>
        <v/>
      </c>
      <c r="J1929" s="21" t="str">
        <f aca="false">IF($A1929="","",IF(B1929=0,"No COD orders",IF(B1929&lt;Settings!$B$8,"Too few orders",IF(D1929&gt;=Settings!$B$9,"Restrict COD or verify","Keep COD"))))</f>
        <v/>
      </c>
    </row>
    <row r="1930" customFormat="false" ht="15" hidden="false" customHeight="false" outlineLevel="0" collapsed="false">
      <c r="A1930" s="27"/>
      <c r="B1930" s="17" t="str">
        <f aca="false">IF($A1930="","",COUNTIFS(Orders!$C$2:$C$20001,$A1930,Orders!$E$2:$E$20001,"COD",Orders!$F$2:$F$20001,"Delivered")+COUNTIFS(Orders!$C$2:$C$20001,$A1930,Orders!$E$2:$E$20001,"COD",Orders!$F$2:$F$20001,"RTO"))</f>
        <v/>
      </c>
      <c r="C1930" s="17" t="str">
        <f aca="false">IF($A1930="","",COUNTIFS(Orders!$C$2:$C$20001,$A1930,Orders!$E$2:$E$20001,"COD",Orders!$F$2:$F$20001,"RTO"))</f>
        <v/>
      </c>
      <c r="D1930" s="18" t="str">
        <f aca="false">IF($A1930="","",IFERROR(C1930/B1930,0))</f>
        <v/>
      </c>
      <c r="E1930" s="17" t="str">
        <f aca="false">IF($A1930="","",COUNTIFS(Orders!$C$2:$C$20001,$A1930,Orders!$E$2:$E$20001,"Prepaid",Orders!$F$2:$F$20001,"Delivered")+COUNTIFS(Orders!$C$2:$C$20001,$A1930,Orders!$E$2:$E$20001,"Prepaid",Orders!$F$2:$F$20001,"RTO"))</f>
        <v/>
      </c>
      <c r="F1930" s="17" t="str">
        <f aca="false">IF($A1930="","",COUNTIFS(Orders!$C$2:$C$20001,$A1930,Orders!$E$2:$E$20001,"Prepaid",Orders!$F$2:$F$20001,"RTO"))</f>
        <v/>
      </c>
      <c r="G1930" s="18" t="str">
        <f aca="false">IF($A1930="","",IFERROR(F1930/E1930,0))</f>
        <v/>
      </c>
      <c r="H1930" s="19" t="str">
        <f aca="false">IF($A1930="","",C1930*Settings!$B$11)</f>
        <v/>
      </c>
      <c r="I1930" s="20" t="str">
        <f aca="false">IF($A1930="","",IF(N(H1930)=0,"",RANK(H1930,$H$5:$H$2004)))</f>
        <v/>
      </c>
      <c r="J1930" s="21" t="str">
        <f aca="false">IF($A1930="","",IF(B1930=0,"No COD orders",IF(B1930&lt;Settings!$B$8,"Too few orders",IF(D1930&gt;=Settings!$B$9,"Restrict COD or verify","Keep COD"))))</f>
        <v/>
      </c>
    </row>
    <row r="1931" customFormat="false" ht="15" hidden="false" customHeight="false" outlineLevel="0" collapsed="false">
      <c r="A1931" s="27"/>
      <c r="B1931" s="17" t="str">
        <f aca="false">IF($A1931="","",COUNTIFS(Orders!$C$2:$C$20001,$A1931,Orders!$E$2:$E$20001,"COD",Orders!$F$2:$F$20001,"Delivered")+COUNTIFS(Orders!$C$2:$C$20001,$A1931,Orders!$E$2:$E$20001,"COD",Orders!$F$2:$F$20001,"RTO"))</f>
        <v/>
      </c>
      <c r="C1931" s="17" t="str">
        <f aca="false">IF($A1931="","",COUNTIFS(Orders!$C$2:$C$20001,$A1931,Orders!$E$2:$E$20001,"COD",Orders!$F$2:$F$20001,"RTO"))</f>
        <v/>
      </c>
      <c r="D1931" s="18" t="str">
        <f aca="false">IF($A1931="","",IFERROR(C1931/B1931,0))</f>
        <v/>
      </c>
      <c r="E1931" s="17" t="str">
        <f aca="false">IF($A1931="","",COUNTIFS(Orders!$C$2:$C$20001,$A1931,Orders!$E$2:$E$20001,"Prepaid",Orders!$F$2:$F$20001,"Delivered")+COUNTIFS(Orders!$C$2:$C$20001,$A1931,Orders!$E$2:$E$20001,"Prepaid",Orders!$F$2:$F$20001,"RTO"))</f>
        <v/>
      </c>
      <c r="F1931" s="17" t="str">
        <f aca="false">IF($A1931="","",COUNTIFS(Orders!$C$2:$C$20001,$A1931,Orders!$E$2:$E$20001,"Prepaid",Orders!$F$2:$F$20001,"RTO"))</f>
        <v/>
      </c>
      <c r="G1931" s="18" t="str">
        <f aca="false">IF($A1931="","",IFERROR(F1931/E1931,0))</f>
        <v/>
      </c>
      <c r="H1931" s="19" t="str">
        <f aca="false">IF($A1931="","",C1931*Settings!$B$11)</f>
        <v/>
      </c>
      <c r="I1931" s="20" t="str">
        <f aca="false">IF($A1931="","",IF(N(H1931)=0,"",RANK(H1931,$H$5:$H$2004)))</f>
        <v/>
      </c>
      <c r="J1931" s="21" t="str">
        <f aca="false">IF($A1931="","",IF(B1931=0,"No COD orders",IF(B1931&lt;Settings!$B$8,"Too few orders",IF(D1931&gt;=Settings!$B$9,"Restrict COD or verify","Keep COD"))))</f>
        <v/>
      </c>
    </row>
    <row r="1932" customFormat="false" ht="15" hidden="false" customHeight="false" outlineLevel="0" collapsed="false">
      <c r="A1932" s="27"/>
      <c r="B1932" s="17" t="str">
        <f aca="false">IF($A1932="","",COUNTIFS(Orders!$C$2:$C$20001,$A1932,Orders!$E$2:$E$20001,"COD",Orders!$F$2:$F$20001,"Delivered")+COUNTIFS(Orders!$C$2:$C$20001,$A1932,Orders!$E$2:$E$20001,"COD",Orders!$F$2:$F$20001,"RTO"))</f>
        <v/>
      </c>
      <c r="C1932" s="17" t="str">
        <f aca="false">IF($A1932="","",COUNTIFS(Orders!$C$2:$C$20001,$A1932,Orders!$E$2:$E$20001,"COD",Orders!$F$2:$F$20001,"RTO"))</f>
        <v/>
      </c>
      <c r="D1932" s="18" t="str">
        <f aca="false">IF($A1932="","",IFERROR(C1932/B1932,0))</f>
        <v/>
      </c>
      <c r="E1932" s="17" t="str">
        <f aca="false">IF($A1932="","",COUNTIFS(Orders!$C$2:$C$20001,$A1932,Orders!$E$2:$E$20001,"Prepaid",Orders!$F$2:$F$20001,"Delivered")+COUNTIFS(Orders!$C$2:$C$20001,$A1932,Orders!$E$2:$E$20001,"Prepaid",Orders!$F$2:$F$20001,"RTO"))</f>
        <v/>
      </c>
      <c r="F1932" s="17" t="str">
        <f aca="false">IF($A1932="","",COUNTIFS(Orders!$C$2:$C$20001,$A1932,Orders!$E$2:$E$20001,"Prepaid",Orders!$F$2:$F$20001,"RTO"))</f>
        <v/>
      </c>
      <c r="G1932" s="18" t="str">
        <f aca="false">IF($A1932="","",IFERROR(F1932/E1932,0))</f>
        <v/>
      </c>
      <c r="H1932" s="19" t="str">
        <f aca="false">IF($A1932="","",C1932*Settings!$B$11)</f>
        <v/>
      </c>
      <c r="I1932" s="20" t="str">
        <f aca="false">IF($A1932="","",IF(N(H1932)=0,"",RANK(H1932,$H$5:$H$2004)))</f>
        <v/>
      </c>
      <c r="J1932" s="21" t="str">
        <f aca="false">IF($A1932="","",IF(B1932=0,"No COD orders",IF(B1932&lt;Settings!$B$8,"Too few orders",IF(D1932&gt;=Settings!$B$9,"Restrict COD or verify","Keep COD"))))</f>
        <v/>
      </c>
    </row>
    <row r="1933" customFormat="false" ht="15" hidden="false" customHeight="false" outlineLevel="0" collapsed="false">
      <c r="A1933" s="27"/>
      <c r="B1933" s="17" t="str">
        <f aca="false">IF($A1933="","",COUNTIFS(Orders!$C$2:$C$20001,$A1933,Orders!$E$2:$E$20001,"COD",Orders!$F$2:$F$20001,"Delivered")+COUNTIFS(Orders!$C$2:$C$20001,$A1933,Orders!$E$2:$E$20001,"COD",Orders!$F$2:$F$20001,"RTO"))</f>
        <v/>
      </c>
      <c r="C1933" s="17" t="str">
        <f aca="false">IF($A1933="","",COUNTIFS(Orders!$C$2:$C$20001,$A1933,Orders!$E$2:$E$20001,"COD",Orders!$F$2:$F$20001,"RTO"))</f>
        <v/>
      </c>
      <c r="D1933" s="18" t="str">
        <f aca="false">IF($A1933="","",IFERROR(C1933/B1933,0))</f>
        <v/>
      </c>
      <c r="E1933" s="17" t="str">
        <f aca="false">IF($A1933="","",COUNTIFS(Orders!$C$2:$C$20001,$A1933,Orders!$E$2:$E$20001,"Prepaid",Orders!$F$2:$F$20001,"Delivered")+COUNTIFS(Orders!$C$2:$C$20001,$A1933,Orders!$E$2:$E$20001,"Prepaid",Orders!$F$2:$F$20001,"RTO"))</f>
        <v/>
      </c>
      <c r="F1933" s="17" t="str">
        <f aca="false">IF($A1933="","",COUNTIFS(Orders!$C$2:$C$20001,$A1933,Orders!$E$2:$E$20001,"Prepaid",Orders!$F$2:$F$20001,"RTO"))</f>
        <v/>
      </c>
      <c r="G1933" s="18" t="str">
        <f aca="false">IF($A1933="","",IFERROR(F1933/E1933,0))</f>
        <v/>
      </c>
      <c r="H1933" s="19" t="str">
        <f aca="false">IF($A1933="","",C1933*Settings!$B$11)</f>
        <v/>
      </c>
      <c r="I1933" s="20" t="str">
        <f aca="false">IF($A1933="","",IF(N(H1933)=0,"",RANK(H1933,$H$5:$H$2004)))</f>
        <v/>
      </c>
      <c r="J1933" s="21" t="str">
        <f aca="false">IF($A1933="","",IF(B1933=0,"No COD orders",IF(B1933&lt;Settings!$B$8,"Too few orders",IF(D1933&gt;=Settings!$B$9,"Restrict COD or verify","Keep COD"))))</f>
        <v/>
      </c>
    </row>
    <row r="1934" customFormat="false" ht="15" hidden="false" customHeight="false" outlineLevel="0" collapsed="false">
      <c r="A1934" s="27"/>
      <c r="B1934" s="17" t="str">
        <f aca="false">IF($A1934="","",COUNTIFS(Orders!$C$2:$C$20001,$A1934,Orders!$E$2:$E$20001,"COD",Orders!$F$2:$F$20001,"Delivered")+COUNTIFS(Orders!$C$2:$C$20001,$A1934,Orders!$E$2:$E$20001,"COD",Orders!$F$2:$F$20001,"RTO"))</f>
        <v/>
      </c>
      <c r="C1934" s="17" t="str">
        <f aca="false">IF($A1934="","",COUNTIFS(Orders!$C$2:$C$20001,$A1934,Orders!$E$2:$E$20001,"COD",Orders!$F$2:$F$20001,"RTO"))</f>
        <v/>
      </c>
      <c r="D1934" s="18" t="str">
        <f aca="false">IF($A1934="","",IFERROR(C1934/B1934,0))</f>
        <v/>
      </c>
      <c r="E1934" s="17" t="str">
        <f aca="false">IF($A1934="","",COUNTIFS(Orders!$C$2:$C$20001,$A1934,Orders!$E$2:$E$20001,"Prepaid",Orders!$F$2:$F$20001,"Delivered")+COUNTIFS(Orders!$C$2:$C$20001,$A1934,Orders!$E$2:$E$20001,"Prepaid",Orders!$F$2:$F$20001,"RTO"))</f>
        <v/>
      </c>
      <c r="F1934" s="17" t="str">
        <f aca="false">IF($A1934="","",COUNTIFS(Orders!$C$2:$C$20001,$A1934,Orders!$E$2:$E$20001,"Prepaid",Orders!$F$2:$F$20001,"RTO"))</f>
        <v/>
      </c>
      <c r="G1934" s="18" t="str">
        <f aca="false">IF($A1934="","",IFERROR(F1934/E1934,0))</f>
        <v/>
      </c>
      <c r="H1934" s="19" t="str">
        <f aca="false">IF($A1934="","",C1934*Settings!$B$11)</f>
        <v/>
      </c>
      <c r="I1934" s="20" t="str">
        <f aca="false">IF($A1934="","",IF(N(H1934)=0,"",RANK(H1934,$H$5:$H$2004)))</f>
        <v/>
      </c>
      <c r="J1934" s="21" t="str">
        <f aca="false">IF($A1934="","",IF(B1934=0,"No COD orders",IF(B1934&lt;Settings!$B$8,"Too few orders",IF(D1934&gt;=Settings!$B$9,"Restrict COD or verify","Keep COD"))))</f>
        <v/>
      </c>
    </row>
    <row r="1935" customFormat="false" ht="15" hidden="false" customHeight="false" outlineLevel="0" collapsed="false">
      <c r="A1935" s="27"/>
      <c r="B1935" s="17" t="str">
        <f aca="false">IF($A1935="","",COUNTIFS(Orders!$C$2:$C$20001,$A1935,Orders!$E$2:$E$20001,"COD",Orders!$F$2:$F$20001,"Delivered")+COUNTIFS(Orders!$C$2:$C$20001,$A1935,Orders!$E$2:$E$20001,"COD",Orders!$F$2:$F$20001,"RTO"))</f>
        <v/>
      </c>
      <c r="C1935" s="17" t="str">
        <f aca="false">IF($A1935="","",COUNTIFS(Orders!$C$2:$C$20001,$A1935,Orders!$E$2:$E$20001,"COD",Orders!$F$2:$F$20001,"RTO"))</f>
        <v/>
      </c>
      <c r="D1935" s="18" t="str">
        <f aca="false">IF($A1935="","",IFERROR(C1935/B1935,0))</f>
        <v/>
      </c>
      <c r="E1935" s="17" t="str">
        <f aca="false">IF($A1935="","",COUNTIFS(Orders!$C$2:$C$20001,$A1935,Orders!$E$2:$E$20001,"Prepaid",Orders!$F$2:$F$20001,"Delivered")+COUNTIFS(Orders!$C$2:$C$20001,$A1935,Orders!$E$2:$E$20001,"Prepaid",Orders!$F$2:$F$20001,"RTO"))</f>
        <v/>
      </c>
      <c r="F1935" s="17" t="str">
        <f aca="false">IF($A1935="","",COUNTIFS(Orders!$C$2:$C$20001,$A1935,Orders!$E$2:$E$20001,"Prepaid",Orders!$F$2:$F$20001,"RTO"))</f>
        <v/>
      </c>
      <c r="G1935" s="18" t="str">
        <f aca="false">IF($A1935="","",IFERROR(F1935/E1935,0))</f>
        <v/>
      </c>
      <c r="H1935" s="19" t="str">
        <f aca="false">IF($A1935="","",C1935*Settings!$B$11)</f>
        <v/>
      </c>
      <c r="I1935" s="20" t="str">
        <f aca="false">IF($A1935="","",IF(N(H1935)=0,"",RANK(H1935,$H$5:$H$2004)))</f>
        <v/>
      </c>
      <c r="J1935" s="21" t="str">
        <f aca="false">IF($A1935="","",IF(B1935=0,"No COD orders",IF(B1935&lt;Settings!$B$8,"Too few orders",IF(D1935&gt;=Settings!$B$9,"Restrict COD or verify","Keep COD"))))</f>
        <v/>
      </c>
    </row>
    <row r="1936" customFormat="false" ht="15" hidden="false" customHeight="false" outlineLevel="0" collapsed="false">
      <c r="A1936" s="27"/>
      <c r="B1936" s="17" t="str">
        <f aca="false">IF($A1936="","",COUNTIFS(Orders!$C$2:$C$20001,$A1936,Orders!$E$2:$E$20001,"COD",Orders!$F$2:$F$20001,"Delivered")+COUNTIFS(Orders!$C$2:$C$20001,$A1936,Orders!$E$2:$E$20001,"COD",Orders!$F$2:$F$20001,"RTO"))</f>
        <v/>
      </c>
      <c r="C1936" s="17" t="str">
        <f aca="false">IF($A1936="","",COUNTIFS(Orders!$C$2:$C$20001,$A1936,Orders!$E$2:$E$20001,"COD",Orders!$F$2:$F$20001,"RTO"))</f>
        <v/>
      </c>
      <c r="D1936" s="18" t="str">
        <f aca="false">IF($A1936="","",IFERROR(C1936/B1936,0))</f>
        <v/>
      </c>
      <c r="E1936" s="17" t="str">
        <f aca="false">IF($A1936="","",COUNTIFS(Orders!$C$2:$C$20001,$A1936,Orders!$E$2:$E$20001,"Prepaid",Orders!$F$2:$F$20001,"Delivered")+COUNTIFS(Orders!$C$2:$C$20001,$A1936,Orders!$E$2:$E$20001,"Prepaid",Orders!$F$2:$F$20001,"RTO"))</f>
        <v/>
      </c>
      <c r="F1936" s="17" t="str">
        <f aca="false">IF($A1936="","",COUNTIFS(Orders!$C$2:$C$20001,$A1936,Orders!$E$2:$E$20001,"Prepaid",Orders!$F$2:$F$20001,"RTO"))</f>
        <v/>
      </c>
      <c r="G1936" s="18" t="str">
        <f aca="false">IF($A1936="","",IFERROR(F1936/E1936,0))</f>
        <v/>
      </c>
      <c r="H1936" s="19" t="str">
        <f aca="false">IF($A1936="","",C1936*Settings!$B$11)</f>
        <v/>
      </c>
      <c r="I1936" s="20" t="str">
        <f aca="false">IF($A1936="","",IF(N(H1936)=0,"",RANK(H1936,$H$5:$H$2004)))</f>
        <v/>
      </c>
      <c r="J1936" s="21" t="str">
        <f aca="false">IF($A1936="","",IF(B1936=0,"No COD orders",IF(B1936&lt;Settings!$B$8,"Too few orders",IF(D1936&gt;=Settings!$B$9,"Restrict COD or verify","Keep COD"))))</f>
        <v/>
      </c>
    </row>
    <row r="1937" customFormat="false" ht="15" hidden="false" customHeight="false" outlineLevel="0" collapsed="false">
      <c r="A1937" s="27"/>
      <c r="B1937" s="17" t="str">
        <f aca="false">IF($A1937="","",COUNTIFS(Orders!$C$2:$C$20001,$A1937,Orders!$E$2:$E$20001,"COD",Orders!$F$2:$F$20001,"Delivered")+COUNTIFS(Orders!$C$2:$C$20001,$A1937,Orders!$E$2:$E$20001,"COD",Orders!$F$2:$F$20001,"RTO"))</f>
        <v/>
      </c>
      <c r="C1937" s="17" t="str">
        <f aca="false">IF($A1937="","",COUNTIFS(Orders!$C$2:$C$20001,$A1937,Orders!$E$2:$E$20001,"COD",Orders!$F$2:$F$20001,"RTO"))</f>
        <v/>
      </c>
      <c r="D1937" s="18" t="str">
        <f aca="false">IF($A1937="","",IFERROR(C1937/B1937,0))</f>
        <v/>
      </c>
      <c r="E1937" s="17" t="str">
        <f aca="false">IF($A1937="","",COUNTIFS(Orders!$C$2:$C$20001,$A1937,Orders!$E$2:$E$20001,"Prepaid",Orders!$F$2:$F$20001,"Delivered")+COUNTIFS(Orders!$C$2:$C$20001,$A1937,Orders!$E$2:$E$20001,"Prepaid",Orders!$F$2:$F$20001,"RTO"))</f>
        <v/>
      </c>
      <c r="F1937" s="17" t="str">
        <f aca="false">IF($A1937="","",COUNTIFS(Orders!$C$2:$C$20001,$A1937,Orders!$E$2:$E$20001,"Prepaid",Orders!$F$2:$F$20001,"RTO"))</f>
        <v/>
      </c>
      <c r="G1937" s="18" t="str">
        <f aca="false">IF($A1937="","",IFERROR(F1937/E1937,0))</f>
        <v/>
      </c>
      <c r="H1937" s="19" t="str">
        <f aca="false">IF($A1937="","",C1937*Settings!$B$11)</f>
        <v/>
      </c>
      <c r="I1937" s="20" t="str">
        <f aca="false">IF($A1937="","",IF(N(H1937)=0,"",RANK(H1937,$H$5:$H$2004)))</f>
        <v/>
      </c>
      <c r="J1937" s="21" t="str">
        <f aca="false">IF($A1937="","",IF(B1937=0,"No COD orders",IF(B1937&lt;Settings!$B$8,"Too few orders",IF(D1937&gt;=Settings!$B$9,"Restrict COD or verify","Keep COD"))))</f>
        <v/>
      </c>
    </row>
    <row r="1938" customFormat="false" ht="15" hidden="false" customHeight="false" outlineLevel="0" collapsed="false">
      <c r="A1938" s="27"/>
      <c r="B1938" s="17" t="str">
        <f aca="false">IF($A1938="","",COUNTIFS(Orders!$C$2:$C$20001,$A1938,Orders!$E$2:$E$20001,"COD",Orders!$F$2:$F$20001,"Delivered")+COUNTIFS(Orders!$C$2:$C$20001,$A1938,Orders!$E$2:$E$20001,"COD",Orders!$F$2:$F$20001,"RTO"))</f>
        <v/>
      </c>
      <c r="C1938" s="17" t="str">
        <f aca="false">IF($A1938="","",COUNTIFS(Orders!$C$2:$C$20001,$A1938,Orders!$E$2:$E$20001,"COD",Orders!$F$2:$F$20001,"RTO"))</f>
        <v/>
      </c>
      <c r="D1938" s="18" t="str">
        <f aca="false">IF($A1938="","",IFERROR(C1938/B1938,0))</f>
        <v/>
      </c>
      <c r="E1938" s="17" t="str">
        <f aca="false">IF($A1938="","",COUNTIFS(Orders!$C$2:$C$20001,$A1938,Orders!$E$2:$E$20001,"Prepaid",Orders!$F$2:$F$20001,"Delivered")+COUNTIFS(Orders!$C$2:$C$20001,$A1938,Orders!$E$2:$E$20001,"Prepaid",Orders!$F$2:$F$20001,"RTO"))</f>
        <v/>
      </c>
      <c r="F1938" s="17" t="str">
        <f aca="false">IF($A1938="","",COUNTIFS(Orders!$C$2:$C$20001,$A1938,Orders!$E$2:$E$20001,"Prepaid",Orders!$F$2:$F$20001,"RTO"))</f>
        <v/>
      </c>
      <c r="G1938" s="18" t="str">
        <f aca="false">IF($A1938="","",IFERROR(F1938/E1938,0))</f>
        <v/>
      </c>
      <c r="H1938" s="19" t="str">
        <f aca="false">IF($A1938="","",C1938*Settings!$B$11)</f>
        <v/>
      </c>
      <c r="I1938" s="20" t="str">
        <f aca="false">IF($A1938="","",IF(N(H1938)=0,"",RANK(H1938,$H$5:$H$2004)))</f>
        <v/>
      </c>
      <c r="J1938" s="21" t="str">
        <f aca="false">IF($A1938="","",IF(B1938=0,"No COD orders",IF(B1938&lt;Settings!$B$8,"Too few orders",IF(D1938&gt;=Settings!$B$9,"Restrict COD or verify","Keep COD"))))</f>
        <v/>
      </c>
    </row>
    <row r="1939" customFormat="false" ht="15" hidden="false" customHeight="false" outlineLevel="0" collapsed="false">
      <c r="A1939" s="27"/>
      <c r="B1939" s="17" t="str">
        <f aca="false">IF($A1939="","",COUNTIFS(Orders!$C$2:$C$20001,$A1939,Orders!$E$2:$E$20001,"COD",Orders!$F$2:$F$20001,"Delivered")+COUNTIFS(Orders!$C$2:$C$20001,$A1939,Orders!$E$2:$E$20001,"COD",Orders!$F$2:$F$20001,"RTO"))</f>
        <v/>
      </c>
      <c r="C1939" s="17" t="str">
        <f aca="false">IF($A1939="","",COUNTIFS(Orders!$C$2:$C$20001,$A1939,Orders!$E$2:$E$20001,"COD",Orders!$F$2:$F$20001,"RTO"))</f>
        <v/>
      </c>
      <c r="D1939" s="18" t="str">
        <f aca="false">IF($A1939="","",IFERROR(C1939/B1939,0))</f>
        <v/>
      </c>
      <c r="E1939" s="17" t="str">
        <f aca="false">IF($A1939="","",COUNTIFS(Orders!$C$2:$C$20001,$A1939,Orders!$E$2:$E$20001,"Prepaid",Orders!$F$2:$F$20001,"Delivered")+COUNTIFS(Orders!$C$2:$C$20001,$A1939,Orders!$E$2:$E$20001,"Prepaid",Orders!$F$2:$F$20001,"RTO"))</f>
        <v/>
      </c>
      <c r="F1939" s="17" t="str">
        <f aca="false">IF($A1939="","",COUNTIFS(Orders!$C$2:$C$20001,$A1939,Orders!$E$2:$E$20001,"Prepaid",Orders!$F$2:$F$20001,"RTO"))</f>
        <v/>
      </c>
      <c r="G1939" s="18" t="str">
        <f aca="false">IF($A1939="","",IFERROR(F1939/E1939,0))</f>
        <v/>
      </c>
      <c r="H1939" s="19" t="str">
        <f aca="false">IF($A1939="","",C1939*Settings!$B$11)</f>
        <v/>
      </c>
      <c r="I1939" s="20" t="str">
        <f aca="false">IF($A1939="","",IF(N(H1939)=0,"",RANK(H1939,$H$5:$H$2004)))</f>
        <v/>
      </c>
      <c r="J1939" s="21" t="str">
        <f aca="false">IF($A1939="","",IF(B1939=0,"No COD orders",IF(B1939&lt;Settings!$B$8,"Too few orders",IF(D1939&gt;=Settings!$B$9,"Restrict COD or verify","Keep COD"))))</f>
        <v/>
      </c>
    </row>
    <row r="1940" customFormat="false" ht="15" hidden="false" customHeight="false" outlineLevel="0" collapsed="false">
      <c r="A1940" s="27"/>
      <c r="B1940" s="17" t="str">
        <f aca="false">IF($A1940="","",COUNTIFS(Orders!$C$2:$C$20001,$A1940,Orders!$E$2:$E$20001,"COD",Orders!$F$2:$F$20001,"Delivered")+COUNTIFS(Orders!$C$2:$C$20001,$A1940,Orders!$E$2:$E$20001,"COD",Orders!$F$2:$F$20001,"RTO"))</f>
        <v/>
      </c>
      <c r="C1940" s="17" t="str">
        <f aca="false">IF($A1940="","",COUNTIFS(Orders!$C$2:$C$20001,$A1940,Orders!$E$2:$E$20001,"COD",Orders!$F$2:$F$20001,"RTO"))</f>
        <v/>
      </c>
      <c r="D1940" s="18" t="str">
        <f aca="false">IF($A1940="","",IFERROR(C1940/B1940,0))</f>
        <v/>
      </c>
      <c r="E1940" s="17" t="str">
        <f aca="false">IF($A1940="","",COUNTIFS(Orders!$C$2:$C$20001,$A1940,Orders!$E$2:$E$20001,"Prepaid",Orders!$F$2:$F$20001,"Delivered")+COUNTIFS(Orders!$C$2:$C$20001,$A1940,Orders!$E$2:$E$20001,"Prepaid",Orders!$F$2:$F$20001,"RTO"))</f>
        <v/>
      </c>
      <c r="F1940" s="17" t="str">
        <f aca="false">IF($A1940="","",COUNTIFS(Orders!$C$2:$C$20001,$A1940,Orders!$E$2:$E$20001,"Prepaid",Orders!$F$2:$F$20001,"RTO"))</f>
        <v/>
      </c>
      <c r="G1940" s="18" t="str">
        <f aca="false">IF($A1940="","",IFERROR(F1940/E1940,0))</f>
        <v/>
      </c>
      <c r="H1940" s="19" t="str">
        <f aca="false">IF($A1940="","",C1940*Settings!$B$11)</f>
        <v/>
      </c>
      <c r="I1940" s="20" t="str">
        <f aca="false">IF($A1940="","",IF(N(H1940)=0,"",RANK(H1940,$H$5:$H$2004)))</f>
        <v/>
      </c>
      <c r="J1940" s="21" t="str">
        <f aca="false">IF($A1940="","",IF(B1940=0,"No COD orders",IF(B1940&lt;Settings!$B$8,"Too few orders",IF(D1940&gt;=Settings!$B$9,"Restrict COD or verify","Keep COD"))))</f>
        <v/>
      </c>
    </row>
    <row r="1941" customFormat="false" ht="15" hidden="false" customHeight="false" outlineLevel="0" collapsed="false">
      <c r="A1941" s="27"/>
      <c r="B1941" s="17" t="str">
        <f aca="false">IF($A1941="","",COUNTIFS(Orders!$C$2:$C$20001,$A1941,Orders!$E$2:$E$20001,"COD",Orders!$F$2:$F$20001,"Delivered")+COUNTIFS(Orders!$C$2:$C$20001,$A1941,Orders!$E$2:$E$20001,"COD",Orders!$F$2:$F$20001,"RTO"))</f>
        <v/>
      </c>
      <c r="C1941" s="17" t="str">
        <f aca="false">IF($A1941="","",COUNTIFS(Orders!$C$2:$C$20001,$A1941,Orders!$E$2:$E$20001,"COD",Orders!$F$2:$F$20001,"RTO"))</f>
        <v/>
      </c>
      <c r="D1941" s="18" t="str">
        <f aca="false">IF($A1941="","",IFERROR(C1941/B1941,0))</f>
        <v/>
      </c>
      <c r="E1941" s="17" t="str">
        <f aca="false">IF($A1941="","",COUNTIFS(Orders!$C$2:$C$20001,$A1941,Orders!$E$2:$E$20001,"Prepaid",Orders!$F$2:$F$20001,"Delivered")+COUNTIFS(Orders!$C$2:$C$20001,$A1941,Orders!$E$2:$E$20001,"Prepaid",Orders!$F$2:$F$20001,"RTO"))</f>
        <v/>
      </c>
      <c r="F1941" s="17" t="str">
        <f aca="false">IF($A1941="","",COUNTIFS(Orders!$C$2:$C$20001,$A1941,Orders!$E$2:$E$20001,"Prepaid",Orders!$F$2:$F$20001,"RTO"))</f>
        <v/>
      </c>
      <c r="G1941" s="18" t="str">
        <f aca="false">IF($A1941="","",IFERROR(F1941/E1941,0))</f>
        <v/>
      </c>
      <c r="H1941" s="19" t="str">
        <f aca="false">IF($A1941="","",C1941*Settings!$B$11)</f>
        <v/>
      </c>
      <c r="I1941" s="20" t="str">
        <f aca="false">IF($A1941="","",IF(N(H1941)=0,"",RANK(H1941,$H$5:$H$2004)))</f>
        <v/>
      </c>
      <c r="J1941" s="21" t="str">
        <f aca="false">IF($A1941="","",IF(B1941=0,"No COD orders",IF(B1941&lt;Settings!$B$8,"Too few orders",IF(D1941&gt;=Settings!$B$9,"Restrict COD or verify","Keep COD"))))</f>
        <v/>
      </c>
    </row>
    <row r="1942" customFormat="false" ht="15" hidden="false" customHeight="false" outlineLevel="0" collapsed="false">
      <c r="A1942" s="27"/>
      <c r="B1942" s="17" t="str">
        <f aca="false">IF($A1942="","",COUNTIFS(Orders!$C$2:$C$20001,$A1942,Orders!$E$2:$E$20001,"COD",Orders!$F$2:$F$20001,"Delivered")+COUNTIFS(Orders!$C$2:$C$20001,$A1942,Orders!$E$2:$E$20001,"COD",Orders!$F$2:$F$20001,"RTO"))</f>
        <v/>
      </c>
      <c r="C1942" s="17" t="str">
        <f aca="false">IF($A1942="","",COUNTIFS(Orders!$C$2:$C$20001,$A1942,Orders!$E$2:$E$20001,"COD",Orders!$F$2:$F$20001,"RTO"))</f>
        <v/>
      </c>
      <c r="D1942" s="18" t="str">
        <f aca="false">IF($A1942="","",IFERROR(C1942/B1942,0))</f>
        <v/>
      </c>
      <c r="E1942" s="17" t="str">
        <f aca="false">IF($A1942="","",COUNTIFS(Orders!$C$2:$C$20001,$A1942,Orders!$E$2:$E$20001,"Prepaid",Orders!$F$2:$F$20001,"Delivered")+COUNTIFS(Orders!$C$2:$C$20001,$A1942,Orders!$E$2:$E$20001,"Prepaid",Orders!$F$2:$F$20001,"RTO"))</f>
        <v/>
      </c>
      <c r="F1942" s="17" t="str">
        <f aca="false">IF($A1942="","",COUNTIFS(Orders!$C$2:$C$20001,$A1942,Orders!$E$2:$E$20001,"Prepaid",Orders!$F$2:$F$20001,"RTO"))</f>
        <v/>
      </c>
      <c r="G1942" s="18" t="str">
        <f aca="false">IF($A1942="","",IFERROR(F1942/E1942,0))</f>
        <v/>
      </c>
      <c r="H1942" s="19" t="str">
        <f aca="false">IF($A1942="","",C1942*Settings!$B$11)</f>
        <v/>
      </c>
      <c r="I1942" s="20" t="str">
        <f aca="false">IF($A1942="","",IF(N(H1942)=0,"",RANK(H1942,$H$5:$H$2004)))</f>
        <v/>
      </c>
      <c r="J1942" s="21" t="str">
        <f aca="false">IF($A1942="","",IF(B1942=0,"No COD orders",IF(B1942&lt;Settings!$B$8,"Too few orders",IF(D1942&gt;=Settings!$B$9,"Restrict COD or verify","Keep COD"))))</f>
        <v/>
      </c>
    </row>
    <row r="1943" customFormat="false" ht="15" hidden="false" customHeight="false" outlineLevel="0" collapsed="false">
      <c r="A1943" s="27"/>
      <c r="B1943" s="17" t="str">
        <f aca="false">IF($A1943="","",COUNTIFS(Orders!$C$2:$C$20001,$A1943,Orders!$E$2:$E$20001,"COD",Orders!$F$2:$F$20001,"Delivered")+COUNTIFS(Orders!$C$2:$C$20001,$A1943,Orders!$E$2:$E$20001,"COD",Orders!$F$2:$F$20001,"RTO"))</f>
        <v/>
      </c>
      <c r="C1943" s="17" t="str">
        <f aca="false">IF($A1943="","",COUNTIFS(Orders!$C$2:$C$20001,$A1943,Orders!$E$2:$E$20001,"COD",Orders!$F$2:$F$20001,"RTO"))</f>
        <v/>
      </c>
      <c r="D1943" s="18" t="str">
        <f aca="false">IF($A1943="","",IFERROR(C1943/B1943,0))</f>
        <v/>
      </c>
      <c r="E1943" s="17" t="str">
        <f aca="false">IF($A1943="","",COUNTIFS(Orders!$C$2:$C$20001,$A1943,Orders!$E$2:$E$20001,"Prepaid",Orders!$F$2:$F$20001,"Delivered")+COUNTIFS(Orders!$C$2:$C$20001,$A1943,Orders!$E$2:$E$20001,"Prepaid",Orders!$F$2:$F$20001,"RTO"))</f>
        <v/>
      </c>
      <c r="F1943" s="17" t="str">
        <f aca="false">IF($A1943="","",COUNTIFS(Orders!$C$2:$C$20001,$A1943,Orders!$E$2:$E$20001,"Prepaid",Orders!$F$2:$F$20001,"RTO"))</f>
        <v/>
      </c>
      <c r="G1943" s="18" t="str">
        <f aca="false">IF($A1943="","",IFERROR(F1943/E1943,0))</f>
        <v/>
      </c>
      <c r="H1943" s="19" t="str">
        <f aca="false">IF($A1943="","",C1943*Settings!$B$11)</f>
        <v/>
      </c>
      <c r="I1943" s="20" t="str">
        <f aca="false">IF($A1943="","",IF(N(H1943)=0,"",RANK(H1943,$H$5:$H$2004)))</f>
        <v/>
      </c>
      <c r="J1943" s="21" t="str">
        <f aca="false">IF($A1943="","",IF(B1943=0,"No COD orders",IF(B1943&lt;Settings!$B$8,"Too few orders",IF(D1943&gt;=Settings!$B$9,"Restrict COD or verify","Keep COD"))))</f>
        <v/>
      </c>
    </row>
    <row r="1944" customFormat="false" ht="15" hidden="false" customHeight="false" outlineLevel="0" collapsed="false">
      <c r="A1944" s="27"/>
      <c r="B1944" s="17" t="str">
        <f aca="false">IF($A1944="","",COUNTIFS(Orders!$C$2:$C$20001,$A1944,Orders!$E$2:$E$20001,"COD",Orders!$F$2:$F$20001,"Delivered")+COUNTIFS(Orders!$C$2:$C$20001,$A1944,Orders!$E$2:$E$20001,"COD",Orders!$F$2:$F$20001,"RTO"))</f>
        <v/>
      </c>
      <c r="C1944" s="17" t="str">
        <f aca="false">IF($A1944="","",COUNTIFS(Orders!$C$2:$C$20001,$A1944,Orders!$E$2:$E$20001,"COD",Orders!$F$2:$F$20001,"RTO"))</f>
        <v/>
      </c>
      <c r="D1944" s="18" t="str">
        <f aca="false">IF($A1944="","",IFERROR(C1944/B1944,0))</f>
        <v/>
      </c>
      <c r="E1944" s="17" t="str">
        <f aca="false">IF($A1944="","",COUNTIFS(Orders!$C$2:$C$20001,$A1944,Orders!$E$2:$E$20001,"Prepaid",Orders!$F$2:$F$20001,"Delivered")+COUNTIFS(Orders!$C$2:$C$20001,$A1944,Orders!$E$2:$E$20001,"Prepaid",Orders!$F$2:$F$20001,"RTO"))</f>
        <v/>
      </c>
      <c r="F1944" s="17" t="str">
        <f aca="false">IF($A1944="","",COUNTIFS(Orders!$C$2:$C$20001,$A1944,Orders!$E$2:$E$20001,"Prepaid",Orders!$F$2:$F$20001,"RTO"))</f>
        <v/>
      </c>
      <c r="G1944" s="18" t="str">
        <f aca="false">IF($A1944="","",IFERROR(F1944/E1944,0))</f>
        <v/>
      </c>
      <c r="H1944" s="19" t="str">
        <f aca="false">IF($A1944="","",C1944*Settings!$B$11)</f>
        <v/>
      </c>
      <c r="I1944" s="20" t="str">
        <f aca="false">IF($A1944="","",IF(N(H1944)=0,"",RANK(H1944,$H$5:$H$2004)))</f>
        <v/>
      </c>
      <c r="J1944" s="21" t="str">
        <f aca="false">IF($A1944="","",IF(B1944=0,"No COD orders",IF(B1944&lt;Settings!$B$8,"Too few orders",IF(D1944&gt;=Settings!$B$9,"Restrict COD or verify","Keep COD"))))</f>
        <v/>
      </c>
    </row>
    <row r="1945" customFormat="false" ht="15" hidden="false" customHeight="false" outlineLevel="0" collapsed="false">
      <c r="A1945" s="27"/>
      <c r="B1945" s="17" t="str">
        <f aca="false">IF($A1945="","",COUNTIFS(Orders!$C$2:$C$20001,$A1945,Orders!$E$2:$E$20001,"COD",Orders!$F$2:$F$20001,"Delivered")+COUNTIFS(Orders!$C$2:$C$20001,$A1945,Orders!$E$2:$E$20001,"COD",Orders!$F$2:$F$20001,"RTO"))</f>
        <v/>
      </c>
      <c r="C1945" s="17" t="str">
        <f aca="false">IF($A1945="","",COUNTIFS(Orders!$C$2:$C$20001,$A1945,Orders!$E$2:$E$20001,"COD",Orders!$F$2:$F$20001,"RTO"))</f>
        <v/>
      </c>
      <c r="D1945" s="18" t="str">
        <f aca="false">IF($A1945="","",IFERROR(C1945/B1945,0))</f>
        <v/>
      </c>
      <c r="E1945" s="17" t="str">
        <f aca="false">IF($A1945="","",COUNTIFS(Orders!$C$2:$C$20001,$A1945,Orders!$E$2:$E$20001,"Prepaid",Orders!$F$2:$F$20001,"Delivered")+COUNTIFS(Orders!$C$2:$C$20001,$A1945,Orders!$E$2:$E$20001,"Prepaid",Orders!$F$2:$F$20001,"RTO"))</f>
        <v/>
      </c>
      <c r="F1945" s="17" t="str">
        <f aca="false">IF($A1945="","",COUNTIFS(Orders!$C$2:$C$20001,$A1945,Orders!$E$2:$E$20001,"Prepaid",Orders!$F$2:$F$20001,"RTO"))</f>
        <v/>
      </c>
      <c r="G1945" s="18" t="str">
        <f aca="false">IF($A1945="","",IFERROR(F1945/E1945,0))</f>
        <v/>
      </c>
      <c r="H1945" s="19" t="str">
        <f aca="false">IF($A1945="","",C1945*Settings!$B$11)</f>
        <v/>
      </c>
      <c r="I1945" s="20" t="str">
        <f aca="false">IF($A1945="","",IF(N(H1945)=0,"",RANK(H1945,$H$5:$H$2004)))</f>
        <v/>
      </c>
      <c r="J1945" s="21" t="str">
        <f aca="false">IF($A1945="","",IF(B1945=0,"No COD orders",IF(B1945&lt;Settings!$B$8,"Too few orders",IF(D1945&gt;=Settings!$B$9,"Restrict COD or verify","Keep COD"))))</f>
        <v/>
      </c>
    </row>
    <row r="1946" customFormat="false" ht="15" hidden="false" customHeight="false" outlineLevel="0" collapsed="false">
      <c r="A1946" s="27"/>
      <c r="B1946" s="17" t="str">
        <f aca="false">IF($A1946="","",COUNTIFS(Orders!$C$2:$C$20001,$A1946,Orders!$E$2:$E$20001,"COD",Orders!$F$2:$F$20001,"Delivered")+COUNTIFS(Orders!$C$2:$C$20001,$A1946,Orders!$E$2:$E$20001,"COD",Orders!$F$2:$F$20001,"RTO"))</f>
        <v/>
      </c>
      <c r="C1946" s="17" t="str">
        <f aca="false">IF($A1946="","",COUNTIFS(Orders!$C$2:$C$20001,$A1946,Orders!$E$2:$E$20001,"COD",Orders!$F$2:$F$20001,"RTO"))</f>
        <v/>
      </c>
      <c r="D1946" s="18" t="str">
        <f aca="false">IF($A1946="","",IFERROR(C1946/B1946,0))</f>
        <v/>
      </c>
      <c r="E1946" s="17" t="str">
        <f aca="false">IF($A1946="","",COUNTIFS(Orders!$C$2:$C$20001,$A1946,Orders!$E$2:$E$20001,"Prepaid",Orders!$F$2:$F$20001,"Delivered")+COUNTIFS(Orders!$C$2:$C$20001,$A1946,Orders!$E$2:$E$20001,"Prepaid",Orders!$F$2:$F$20001,"RTO"))</f>
        <v/>
      </c>
      <c r="F1946" s="17" t="str">
        <f aca="false">IF($A1946="","",COUNTIFS(Orders!$C$2:$C$20001,$A1946,Orders!$E$2:$E$20001,"Prepaid",Orders!$F$2:$F$20001,"RTO"))</f>
        <v/>
      </c>
      <c r="G1946" s="18" t="str">
        <f aca="false">IF($A1946="","",IFERROR(F1946/E1946,0))</f>
        <v/>
      </c>
      <c r="H1946" s="19" t="str">
        <f aca="false">IF($A1946="","",C1946*Settings!$B$11)</f>
        <v/>
      </c>
      <c r="I1946" s="20" t="str">
        <f aca="false">IF($A1946="","",IF(N(H1946)=0,"",RANK(H1946,$H$5:$H$2004)))</f>
        <v/>
      </c>
      <c r="J1946" s="21" t="str">
        <f aca="false">IF($A1946="","",IF(B1946=0,"No COD orders",IF(B1946&lt;Settings!$B$8,"Too few orders",IF(D1946&gt;=Settings!$B$9,"Restrict COD or verify","Keep COD"))))</f>
        <v/>
      </c>
    </row>
    <row r="1947" customFormat="false" ht="15" hidden="false" customHeight="false" outlineLevel="0" collapsed="false">
      <c r="A1947" s="27"/>
      <c r="B1947" s="17" t="str">
        <f aca="false">IF($A1947="","",COUNTIFS(Orders!$C$2:$C$20001,$A1947,Orders!$E$2:$E$20001,"COD",Orders!$F$2:$F$20001,"Delivered")+COUNTIFS(Orders!$C$2:$C$20001,$A1947,Orders!$E$2:$E$20001,"COD",Orders!$F$2:$F$20001,"RTO"))</f>
        <v/>
      </c>
      <c r="C1947" s="17" t="str">
        <f aca="false">IF($A1947="","",COUNTIFS(Orders!$C$2:$C$20001,$A1947,Orders!$E$2:$E$20001,"COD",Orders!$F$2:$F$20001,"RTO"))</f>
        <v/>
      </c>
      <c r="D1947" s="18" t="str">
        <f aca="false">IF($A1947="","",IFERROR(C1947/B1947,0))</f>
        <v/>
      </c>
      <c r="E1947" s="17" t="str">
        <f aca="false">IF($A1947="","",COUNTIFS(Orders!$C$2:$C$20001,$A1947,Orders!$E$2:$E$20001,"Prepaid",Orders!$F$2:$F$20001,"Delivered")+COUNTIFS(Orders!$C$2:$C$20001,$A1947,Orders!$E$2:$E$20001,"Prepaid",Orders!$F$2:$F$20001,"RTO"))</f>
        <v/>
      </c>
      <c r="F1947" s="17" t="str">
        <f aca="false">IF($A1947="","",COUNTIFS(Orders!$C$2:$C$20001,$A1947,Orders!$E$2:$E$20001,"Prepaid",Orders!$F$2:$F$20001,"RTO"))</f>
        <v/>
      </c>
      <c r="G1947" s="18" t="str">
        <f aca="false">IF($A1947="","",IFERROR(F1947/E1947,0))</f>
        <v/>
      </c>
      <c r="H1947" s="19" t="str">
        <f aca="false">IF($A1947="","",C1947*Settings!$B$11)</f>
        <v/>
      </c>
      <c r="I1947" s="20" t="str">
        <f aca="false">IF($A1947="","",IF(N(H1947)=0,"",RANK(H1947,$H$5:$H$2004)))</f>
        <v/>
      </c>
      <c r="J1947" s="21" t="str">
        <f aca="false">IF($A1947="","",IF(B1947=0,"No COD orders",IF(B1947&lt;Settings!$B$8,"Too few orders",IF(D1947&gt;=Settings!$B$9,"Restrict COD or verify","Keep COD"))))</f>
        <v/>
      </c>
    </row>
    <row r="1948" customFormat="false" ht="15" hidden="false" customHeight="false" outlineLevel="0" collapsed="false">
      <c r="A1948" s="27"/>
      <c r="B1948" s="17" t="str">
        <f aca="false">IF($A1948="","",COUNTIFS(Orders!$C$2:$C$20001,$A1948,Orders!$E$2:$E$20001,"COD",Orders!$F$2:$F$20001,"Delivered")+COUNTIFS(Orders!$C$2:$C$20001,$A1948,Orders!$E$2:$E$20001,"COD",Orders!$F$2:$F$20001,"RTO"))</f>
        <v/>
      </c>
      <c r="C1948" s="17" t="str">
        <f aca="false">IF($A1948="","",COUNTIFS(Orders!$C$2:$C$20001,$A1948,Orders!$E$2:$E$20001,"COD",Orders!$F$2:$F$20001,"RTO"))</f>
        <v/>
      </c>
      <c r="D1948" s="18" t="str">
        <f aca="false">IF($A1948="","",IFERROR(C1948/B1948,0))</f>
        <v/>
      </c>
      <c r="E1948" s="17" t="str">
        <f aca="false">IF($A1948="","",COUNTIFS(Orders!$C$2:$C$20001,$A1948,Orders!$E$2:$E$20001,"Prepaid",Orders!$F$2:$F$20001,"Delivered")+COUNTIFS(Orders!$C$2:$C$20001,$A1948,Orders!$E$2:$E$20001,"Prepaid",Orders!$F$2:$F$20001,"RTO"))</f>
        <v/>
      </c>
      <c r="F1948" s="17" t="str">
        <f aca="false">IF($A1948="","",COUNTIFS(Orders!$C$2:$C$20001,$A1948,Orders!$E$2:$E$20001,"Prepaid",Orders!$F$2:$F$20001,"RTO"))</f>
        <v/>
      </c>
      <c r="G1948" s="18" t="str">
        <f aca="false">IF($A1948="","",IFERROR(F1948/E1948,0))</f>
        <v/>
      </c>
      <c r="H1948" s="19" t="str">
        <f aca="false">IF($A1948="","",C1948*Settings!$B$11)</f>
        <v/>
      </c>
      <c r="I1948" s="20" t="str">
        <f aca="false">IF($A1948="","",IF(N(H1948)=0,"",RANK(H1948,$H$5:$H$2004)))</f>
        <v/>
      </c>
      <c r="J1948" s="21" t="str">
        <f aca="false">IF($A1948="","",IF(B1948=0,"No COD orders",IF(B1948&lt;Settings!$B$8,"Too few orders",IF(D1948&gt;=Settings!$B$9,"Restrict COD or verify","Keep COD"))))</f>
        <v/>
      </c>
    </row>
    <row r="1949" customFormat="false" ht="15" hidden="false" customHeight="false" outlineLevel="0" collapsed="false">
      <c r="A1949" s="27"/>
      <c r="B1949" s="17" t="str">
        <f aca="false">IF($A1949="","",COUNTIFS(Orders!$C$2:$C$20001,$A1949,Orders!$E$2:$E$20001,"COD",Orders!$F$2:$F$20001,"Delivered")+COUNTIFS(Orders!$C$2:$C$20001,$A1949,Orders!$E$2:$E$20001,"COD",Orders!$F$2:$F$20001,"RTO"))</f>
        <v/>
      </c>
      <c r="C1949" s="17" t="str">
        <f aca="false">IF($A1949="","",COUNTIFS(Orders!$C$2:$C$20001,$A1949,Orders!$E$2:$E$20001,"COD",Orders!$F$2:$F$20001,"RTO"))</f>
        <v/>
      </c>
      <c r="D1949" s="18" t="str">
        <f aca="false">IF($A1949="","",IFERROR(C1949/B1949,0))</f>
        <v/>
      </c>
      <c r="E1949" s="17" t="str">
        <f aca="false">IF($A1949="","",COUNTIFS(Orders!$C$2:$C$20001,$A1949,Orders!$E$2:$E$20001,"Prepaid",Orders!$F$2:$F$20001,"Delivered")+COUNTIFS(Orders!$C$2:$C$20001,$A1949,Orders!$E$2:$E$20001,"Prepaid",Orders!$F$2:$F$20001,"RTO"))</f>
        <v/>
      </c>
      <c r="F1949" s="17" t="str">
        <f aca="false">IF($A1949="","",COUNTIFS(Orders!$C$2:$C$20001,$A1949,Orders!$E$2:$E$20001,"Prepaid",Orders!$F$2:$F$20001,"RTO"))</f>
        <v/>
      </c>
      <c r="G1949" s="18" t="str">
        <f aca="false">IF($A1949="","",IFERROR(F1949/E1949,0))</f>
        <v/>
      </c>
      <c r="H1949" s="19" t="str">
        <f aca="false">IF($A1949="","",C1949*Settings!$B$11)</f>
        <v/>
      </c>
      <c r="I1949" s="20" t="str">
        <f aca="false">IF($A1949="","",IF(N(H1949)=0,"",RANK(H1949,$H$5:$H$2004)))</f>
        <v/>
      </c>
      <c r="J1949" s="21" t="str">
        <f aca="false">IF($A1949="","",IF(B1949=0,"No COD orders",IF(B1949&lt;Settings!$B$8,"Too few orders",IF(D1949&gt;=Settings!$B$9,"Restrict COD or verify","Keep COD"))))</f>
        <v/>
      </c>
    </row>
    <row r="1950" customFormat="false" ht="15" hidden="false" customHeight="false" outlineLevel="0" collapsed="false">
      <c r="A1950" s="27"/>
      <c r="B1950" s="17" t="str">
        <f aca="false">IF($A1950="","",COUNTIFS(Orders!$C$2:$C$20001,$A1950,Orders!$E$2:$E$20001,"COD",Orders!$F$2:$F$20001,"Delivered")+COUNTIFS(Orders!$C$2:$C$20001,$A1950,Orders!$E$2:$E$20001,"COD",Orders!$F$2:$F$20001,"RTO"))</f>
        <v/>
      </c>
      <c r="C1950" s="17" t="str">
        <f aca="false">IF($A1950="","",COUNTIFS(Orders!$C$2:$C$20001,$A1950,Orders!$E$2:$E$20001,"COD",Orders!$F$2:$F$20001,"RTO"))</f>
        <v/>
      </c>
      <c r="D1950" s="18" t="str">
        <f aca="false">IF($A1950="","",IFERROR(C1950/B1950,0))</f>
        <v/>
      </c>
      <c r="E1950" s="17" t="str">
        <f aca="false">IF($A1950="","",COUNTIFS(Orders!$C$2:$C$20001,$A1950,Orders!$E$2:$E$20001,"Prepaid",Orders!$F$2:$F$20001,"Delivered")+COUNTIFS(Orders!$C$2:$C$20001,$A1950,Orders!$E$2:$E$20001,"Prepaid",Orders!$F$2:$F$20001,"RTO"))</f>
        <v/>
      </c>
      <c r="F1950" s="17" t="str">
        <f aca="false">IF($A1950="","",COUNTIFS(Orders!$C$2:$C$20001,$A1950,Orders!$E$2:$E$20001,"Prepaid",Orders!$F$2:$F$20001,"RTO"))</f>
        <v/>
      </c>
      <c r="G1950" s="18" t="str">
        <f aca="false">IF($A1950="","",IFERROR(F1950/E1950,0))</f>
        <v/>
      </c>
      <c r="H1950" s="19" t="str">
        <f aca="false">IF($A1950="","",C1950*Settings!$B$11)</f>
        <v/>
      </c>
      <c r="I1950" s="20" t="str">
        <f aca="false">IF($A1950="","",IF(N(H1950)=0,"",RANK(H1950,$H$5:$H$2004)))</f>
        <v/>
      </c>
      <c r="J1950" s="21" t="str">
        <f aca="false">IF($A1950="","",IF(B1950=0,"No COD orders",IF(B1950&lt;Settings!$B$8,"Too few orders",IF(D1950&gt;=Settings!$B$9,"Restrict COD or verify","Keep COD"))))</f>
        <v/>
      </c>
    </row>
    <row r="1951" customFormat="false" ht="15" hidden="false" customHeight="false" outlineLevel="0" collapsed="false">
      <c r="A1951" s="27"/>
      <c r="B1951" s="17" t="str">
        <f aca="false">IF($A1951="","",COUNTIFS(Orders!$C$2:$C$20001,$A1951,Orders!$E$2:$E$20001,"COD",Orders!$F$2:$F$20001,"Delivered")+COUNTIFS(Orders!$C$2:$C$20001,$A1951,Orders!$E$2:$E$20001,"COD",Orders!$F$2:$F$20001,"RTO"))</f>
        <v/>
      </c>
      <c r="C1951" s="17" t="str">
        <f aca="false">IF($A1951="","",COUNTIFS(Orders!$C$2:$C$20001,$A1951,Orders!$E$2:$E$20001,"COD",Orders!$F$2:$F$20001,"RTO"))</f>
        <v/>
      </c>
      <c r="D1951" s="18" t="str">
        <f aca="false">IF($A1951="","",IFERROR(C1951/B1951,0))</f>
        <v/>
      </c>
      <c r="E1951" s="17" t="str">
        <f aca="false">IF($A1951="","",COUNTIFS(Orders!$C$2:$C$20001,$A1951,Orders!$E$2:$E$20001,"Prepaid",Orders!$F$2:$F$20001,"Delivered")+COUNTIFS(Orders!$C$2:$C$20001,$A1951,Orders!$E$2:$E$20001,"Prepaid",Orders!$F$2:$F$20001,"RTO"))</f>
        <v/>
      </c>
      <c r="F1951" s="17" t="str">
        <f aca="false">IF($A1951="","",COUNTIFS(Orders!$C$2:$C$20001,$A1951,Orders!$E$2:$E$20001,"Prepaid",Orders!$F$2:$F$20001,"RTO"))</f>
        <v/>
      </c>
      <c r="G1951" s="18" t="str">
        <f aca="false">IF($A1951="","",IFERROR(F1951/E1951,0))</f>
        <v/>
      </c>
      <c r="H1951" s="19" t="str">
        <f aca="false">IF($A1951="","",C1951*Settings!$B$11)</f>
        <v/>
      </c>
      <c r="I1951" s="20" t="str">
        <f aca="false">IF($A1951="","",IF(N(H1951)=0,"",RANK(H1951,$H$5:$H$2004)))</f>
        <v/>
      </c>
      <c r="J1951" s="21" t="str">
        <f aca="false">IF($A1951="","",IF(B1951=0,"No COD orders",IF(B1951&lt;Settings!$B$8,"Too few orders",IF(D1951&gt;=Settings!$B$9,"Restrict COD or verify","Keep COD"))))</f>
        <v/>
      </c>
    </row>
    <row r="1952" customFormat="false" ht="15" hidden="false" customHeight="false" outlineLevel="0" collapsed="false">
      <c r="A1952" s="27"/>
      <c r="B1952" s="17" t="str">
        <f aca="false">IF($A1952="","",COUNTIFS(Orders!$C$2:$C$20001,$A1952,Orders!$E$2:$E$20001,"COD",Orders!$F$2:$F$20001,"Delivered")+COUNTIFS(Orders!$C$2:$C$20001,$A1952,Orders!$E$2:$E$20001,"COD",Orders!$F$2:$F$20001,"RTO"))</f>
        <v/>
      </c>
      <c r="C1952" s="17" t="str">
        <f aca="false">IF($A1952="","",COUNTIFS(Orders!$C$2:$C$20001,$A1952,Orders!$E$2:$E$20001,"COD",Orders!$F$2:$F$20001,"RTO"))</f>
        <v/>
      </c>
      <c r="D1952" s="18" t="str">
        <f aca="false">IF($A1952="","",IFERROR(C1952/B1952,0))</f>
        <v/>
      </c>
      <c r="E1952" s="17" t="str">
        <f aca="false">IF($A1952="","",COUNTIFS(Orders!$C$2:$C$20001,$A1952,Orders!$E$2:$E$20001,"Prepaid",Orders!$F$2:$F$20001,"Delivered")+COUNTIFS(Orders!$C$2:$C$20001,$A1952,Orders!$E$2:$E$20001,"Prepaid",Orders!$F$2:$F$20001,"RTO"))</f>
        <v/>
      </c>
      <c r="F1952" s="17" t="str">
        <f aca="false">IF($A1952="","",COUNTIFS(Orders!$C$2:$C$20001,$A1952,Orders!$E$2:$E$20001,"Prepaid",Orders!$F$2:$F$20001,"RTO"))</f>
        <v/>
      </c>
      <c r="G1952" s="18" t="str">
        <f aca="false">IF($A1952="","",IFERROR(F1952/E1952,0))</f>
        <v/>
      </c>
      <c r="H1952" s="19" t="str">
        <f aca="false">IF($A1952="","",C1952*Settings!$B$11)</f>
        <v/>
      </c>
      <c r="I1952" s="20" t="str">
        <f aca="false">IF($A1952="","",IF(N(H1952)=0,"",RANK(H1952,$H$5:$H$2004)))</f>
        <v/>
      </c>
      <c r="J1952" s="21" t="str">
        <f aca="false">IF($A1952="","",IF(B1952=0,"No COD orders",IF(B1952&lt;Settings!$B$8,"Too few orders",IF(D1952&gt;=Settings!$B$9,"Restrict COD or verify","Keep COD"))))</f>
        <v/>
      </c>
    </row>
    <row r="1953" customFormat="false" ht="15" hidden="false" customHeight="false" outlineLevel="0" collapsed="false">
      <c r="A1953" s="27"/>
      <c r="B1953" s="17" t="str">
        <f aca="false">IF($A1953="","",COUNTIFS(Orders!$C$2:$C$20001,$A1953,Orders!$E$2:$E$20001,"COD",Orders!$F$2:$F$20001,"Delivered")+COUNTIFS(Orders!$C$2:$C$20001,$A1953,Orders!$E$2:$E$20001,"COD",Orders!$F$2:$F$20001,"RTO"))</f>
        <v/>
      </c>
      <c r="C1953" s="17" t="str">
        <f aca="false">IF($A1953="","",COUNTIFS(Orders!$C$2:$C$20001,$A1953,Orders!$E$2:$E$20001,"COD",Orders!$F$2:$F$20001,"RTO"))</f>
        <v/>
      </c>
      <c r="D1953" s="18" t="str">
        <f aca="false">IF($A1953="","",IFERROR(C1953/B1953,0))</f>
        <v/>
      </c>
      <c r="E1953" s="17" t="str">
        <f aca="false">IF($A1953="","",COUNTIFS(Orders!$C$2:$C$20001,$A1953,Orders!$E$2:$E$20001,"Prepaid",Orders!$F$2:$F$20001,"Delivered")+COUNTIFS(Orders!$C$2:$C$20001,$A1953,Orders!$E$2:$E$20001,"Prepaid",Orders!$F$2:$F$20001,"RTO"))</f>
        <v/>
      </c>
      <c r="F1953" s="17" t="str">
        <f aca="false">IF($A1953="","",COUNTIFS(Orders!$C$2:$C$20001,$A1953,Orders!$E$2:$E$20001,"Prepaid",Orders!$F$2:$F$20001,"RTO"))</f>
        <v/>
      </c>
      <c r="G1953" s="18" t="str">
        <f aca="false">IF($A1953="","",IFERROR(F1953/E1953,0))</f>
        <v/>
      </c>
      <c r="H1953" s="19" t="str">
        <f aca="false">IF($A1953="","",C1953*Settings!$B$11)</f>
        <v/>
      </c>
      <c r="I1953" s="20" t="str">
        <f aca="false">IF($A1953="","",IF(N(H1953)=0,"",RANK(H1953,$H$5:$H$2004)))</f>
        <v/>
      </c>
      <c r="J1953" s="21" t="str">
        <f aca="false">IF($A1953="","",IF(B1953=0,"No COD orders",IF(B1953&lt;Settings!$B$8,"Too few orders",IF(D1953&gt;=Settings!$B$9,"Restrict COD or verify","Keep COD"))))</f>
        <v/>
      </c>
    </row>
    <row r="1954" customFormat="false" ht="15" hidden="false" customHeight="false" outlineLevel="0" collapsed="false">
      <c r="A1954" s="27"/>
      <c r="B1954" s="17" t="str">
        <f aca="false">IF($A1954="","",COUNTIFS(Orders!$C$2:$C$20001,$A1954,Orders!$E$2:$E$20001,"COD",Orders!$F$2:$F$20001,"Delivered")+COUNTIFS(Orders!$C$2:$C$20001,$A1954,Orders!$E$2:$E$20001,"COD",Orders!$F$2:$F$20001,"RTO"))</f>
        <v/>
      </c>
      <c r="C1954" s="17" t="str">
        <f aca="false">IF($A1954="","",COUNTIFS(Orders!$C$2:$C$20001,$A1954,Orders!$E$2:$E$20001,"COD",Orders!$F$2:$F$20001,"RTO"))</f>
        <v/>
      </c>
      <c r="D1954" s="18" t="str">
        <f aca="false">IF($A1954="","",IFERROR(C1954/B1954,0))</f>
        <v/>
      </c>
      <c r="E1954" s="17" t="str">
        <f aca="false">IF($A1954="","",COUNTIFS(Orders!$C$2:$C$20001,$A1954,Orders!$E$2:$E$20001,"Prepaid",Orders!$F$2:$F$20001,"Delivered")+COUNTIFS(Orders!$C$2:$C$20001,$A1954,Orders!$E$2:$E$20001,"Prepaid",Orders!$F$2:$F$20001,"RTO"))</f>
        <v/>
      </c>
      <c r="F1954" s="17" t="str">
        <f aca="false">IF($A1954="","",COUNTIFS(Orders!$C$2:$C$20001,$A1954,Orders!$E$2:$E$20001,"Prepaid",Orders!$F$2:$F$20001,"RTO"))</f>
        <v/>
      </c>
      <c r="G1954" s="18" t="str">
        <f aca="false">IF($A1954="","",IFERROR(F1954/E1954,0))</f>
        <v/>
      </c>
      <c r="H1954" s="19" t="str">
        <f aca="false">IF($A1954="","",C1954*Settings!$B$11)</f>
        <v/>
      </c>
      <c r="I1954" s="20" t="str">
        <f aca="false">IF($A1954="","",IF(N(H1954)=0,"",RANK(H1954,$H$5:$H$2004)))</f>
        <v/>
      </c>
      <c r="J1954" s="21" t="str">
        <f aca="false">IF($A1954="","",IF(B1954=0,"No COD orders",IF(B1954&lt;Settings!$B$8,"Too few orders",IF(D1954&gt;=Settings!$B$9,"Restrict COD or verify","Keep COD"))))</f>
        <v/>
      </c>
    </row>
    <row r="1955" customFormat="false" ht="15" hidden="false" customHeight="false" outlineLevel="0" collapsed="false">
      <c r="A1955" s="27"/>
      <c r="B1955" s="17" t="str">
        <f aca="false">IF($A1955="","",COUNTIFS(Orders!$C$2:$C$20001,$A1955,Orders!$E$2:$E$20001,"COD",Orders!$F$2:$F$20001,"Delivered")+COUNTIFS(Orders!$C$2:$C$20001,$A1955,Orders!$E$2:$E$20001,"COD",Orders!$F$2:$F$20001,"RTO"))</f>
        <v/>
      </c>
      <c r="C1955" s="17" t="str">
        <f aca="false">IF($A1955="","",COUNTIFS(Orders!$C$2:$C$20001,$A1955,Orders!$E$2:$E$20001,"COD",Orders!$F$2:$F$20001,"RTO"))</f>
        <v/>
      </c>
      <c r="D1955" s="18" t="str">
        <f aca="false">IF($A1955="","",IFERROR(C1955/B1955,0))</f>
        <v/>
      </c>
      <c r="E1955" s="17" t="str">
        <f aca="false">IF($A1955="","",COUNTIFS(Orders!$C$2:$C$20001,$A1955,Orders!$E$2:$E$20001,"Prepaid",Orders!$F$2:$F$20001,"Delivered")+COUNTIFS(Orders!$C$2:$C$20001,$A1955,Orders!$E$2:$E$20001,"Prepaid",Orders!$F$2:$F$20001,"RTO"))</f>
        <v/>
      </c>
      <c r="F1955" s="17" t="str">
        <f aca="false">IF($A1955="","",COUNTIFS(Orders!$C$2:$C$20001,$A1955,Orders!$E$2:$E$20001,"Prepaid",Orders!$F$2:$F$20001,"RTO"))</f>
        <v/>
      </c>
      <c r="G1955" s="18" t="str">
        <f aca="false">IF($A1955="","",IFERROR(F1955/E1955,0))</f>
        <v/>
      </c>
      <c r="H1955" s="19" t="str">
        <f aca="false">IF($A1955="","",C1955*Settings!$B$11)</f>
        <v/>
      </c>
      <c r="I1955" s="20" t="str">
        <f aca="false">IF($A1955="","",IF(N(H1955)=0,"",RANK(H1955,$H$5:$H$2004)))</f>
        <v/>
      </c>
      <c r="J1955" s="21" t="str">
        <f aca="false">IF($A1955="","",IF(B1955=0,"No COD orders",IF(B1955&lt;Settings!$B$8,"Too few orders",IF(D1955&gt;=Settings!$B$9,"Restrict COD or verify","Keep COD"))))</f>
        <v/>
      </c>
    </row>
    <row r="1956" customFormat="false" ht="15" hidden="false" customHeight="false" outlineLevel="0" collapsed="false">
      <c r="A1956" s="27"/>
      <c r="B1956" s="17" t="str">
        <f aca="false">IF($A1956="","",COUNTIFS(Orders!$C$2:$C$20001,$A1956,Orders!$E$2:$E$20001,"COD",Orders!$F$2:$F$20001,"Delivered")+COUNTIFS(Orders!$C$2:$C$20001,$A1956,Orders!$E$2:$E$20001,"COD",Orders!$F$2:$F$20001,"RTO"))</f>
        <v/>
      </c>
      <c r="C1956" s="17" t="str">
        <f aca="false">IF($A1956="","",COUNTIFS(Orders!$C$2:$C$20001,$A1956,Orders!$E$2:$E$20001,"COD",Orders!$F$2:$F$20001,"RTO"))</f>
        <v/>
      </c>
      <c r="D1956" s="18" t="str">
        <f aca="false">IF($A1956="","",IFERROR(C1956/B1956,0))</f>
        <v/>
      </c>
      <c r="E1956" s="17" t="str">
        <f aca="false">IF($A1956="","",COUNTIFS(Orders!$C$2:$C$20001,$A1956,Orders!$E$2:$E$20001,"Prepaid",Orders!$F$2:$F$20001,"Delivered")+COUNTIFS(Orders!$C$2:$C$20001,$A1956,Orders!$E$2:$E$20001,"Prepaid",Orders!$F$2:$F$20001,"RTO"))</f>
        <v/>
      </c>
      <c r="F1956" s="17" t="str">
        <f aca="false">IF($A1956="","",COUNTIFS(Orders!$C$2:$C$20001,$A1956,Orders!$E$2:$E$20001,"Prepaid",Orders!$F$2:$F$20001,"RTO"))</f>
        <v/>
      </c>
      <c r="G1956" s="18" t="str">
        <f aca="false">IF($A1956="","",IFERROR(F1956/E1956,0))</f>
        <v/>
      </c>
      <c r="H1956" s="19" t="str">
        <f aca="false">IF($A1956="","",C1956*Settings!$B$11)</f>
        <v/>
      </c>
      <c r="I1956" s="20" t="str">
        <f aca="false">IF($A1956="","",IF(N(H1956)=0,"",RANK(H1956,$H$5:$H$2004)))</f>
        <v/>
      </c>
      <c r="J1956" s="21" t="str">
        <f aca="false">IF($A1956="","",IF(B1956=0,"No COD orders",IF(B1956&lt;Settings!$B$8,"Too few orders",IF(D1956&gt;=Settings!$B$9,"Restrict COD or verify","Keep COD"))))</f>
        <v/>
      </c>
    </row>
    <row r="1957" customFormat="false" ht="15" hidden="false" customHeight="false" outlineLevel="0" collapsed="false">
      <c r="A1957" s="27"/>
      <c r="B1957" s="17" t="str">
        <f aca="false">IF($A1957="","",COUNTIFS(Orders!$C$2:$C$20001,$A1957,Orders!$E$2:$E$20001,"COD",Orders!$F$2:$F$20001,"Delivered")+COUNTIFS(Orders!$C$2:$C$20001,$A1957,Orders!$E$2:$E$20001,"COD",Orders!$F$2:$F$20001,"RTO"))</f>
        <v/>
      </c>
      <c r="C1957" s="17" t="str">
        <f aca="false">IF($A1957="","",COUNTIFS(Orders!$C$2:$C$20001,$A1957,Orders!$E$2:$E$20001,"COD",Orders!$F$2:$F$20001,"RTO"))</f>
        <v/>
      </c>
      <c r="D1957" s="18" t="str">
        <f aca="false">IF($A1957="","",IFERROR(C1957/B1957,0))</f>
        <v/>
      </c>
      <c r="E1957" s="17" t="str">
        <f aca="false">IF($A1957="","",COUNTIFS(Orders!$C$2:$C$20001,$A1957,Orders!$E$2:$E$20001,"Prepaid",Orders!$F$2:$F$20001,"Delivered")+COUNTIFS(Orders!$C$2:$C$20001,$A1957,Orders!$E$2:$E$20001,"Prepaid",Orders!$F$2:$F$20001,"RTO"))</f>
        <v/>
      </c>
      <c r="F1957" s="17" t="str">
        <f aca="false">IF($A1957="","",COUNTIFS(Orders!$C$2:$C$20001,$A1957,Orders!$E$2:$E$20001,"Prepaid",Orders!$F$2:$F$20001,"RTO"))</f>
        <v/>
      </c>
      <c r="G1957" s="18" t="str">
        <f aca="false">IF($A1957="","",IFERROR(F1957/E1957,0))</f>
        <v/>
      </c>
      <c r="H1957" s="19" t="str">
        <f aca="false">IF($A1957="","",C1957*Settings!$B$11)</f>
        <v/>
      </c>
      <c r="I1957" s="20" t="str">
        <f aca="false">IF($A1957="","",IF(N(H1957)=0,"",RANK(H1957,$H$5:$H$2004)))</f>
        <v/>
      </c>
      <c r="J1957" s="21" t="str">
        <f aca="false">IF($A1957="","",IF(B1957=0,"No COD orders",IF(B1957&lt;Settings!$B$8,"Too few orders",IF(D1957&gt;=Settings!$B$9,"Restrict COD or verify","Keep COD"))))</f>
        <v/>
      </c>
    </row>
    <row r="1958" customFormat="false" ht="15" hidden="false" customHeight="false" outlineLevel="0" collapsed="false">
      <c r="A1958" s="27"/>
      <c r="B1958" s="17" t="str">
        <f aca="false">IF($A1958="","",COUNTIFS(Orders!$C$2:$C$20001,$A1958,Orders!$E$2:$E$20001,"COD",Orders!$F$2:$F$20001,"Delivered")+COUNTIFS(Orders!$C$2:$C$20001,$A1958,Orders!$E$2:$E$20001,"COD",Orders!$F$2:$F$20001,"RTO"))</f>
        <v/>
      </c>
      <c r="C1958" s="17" t="str">
        <f aca="false">IF($A1958="","",COUNTIFS(Orders!$C$2:$C$20001,$A1958,Orders!$E$2:$E$20001,"COD",Orders!$F$2:$F$20001,"RTO"))</f>
        <v/>
      </c>
      <c r="D1958" s="18" t="str">
        <f aca="false">IF($A1958="","",IFERROR(C1958/B1958,0))</f>
        <v/>
      </c>
      <c r="E1958" s="17" t="str">
        <f aca="false">IF($A1958="","",COUNTIFS(Orders!$C$2:$C$20001,$A1958,Orders!$E$2:$E$20001,"Prepaid",Orders!$F$2:$F$20001,"Delivered")+COUNTIFS(Orders!$C$2:$C$20001,$A1958,Orders!$E$2:$E$20001,"Prepaid",Orders!$F$2:$F$20001,"RTO"))</f>
        <v/>
      </c>
      <c r="F1958" s="17" t="str">
        <f aca="false">IF($A1958="","",COUNTIFS(Orders!$C$2:$C$20001,$A1958,Orders!$E$2:$E$20001,"Prepaid",Orders!$F$2:$F$20001,"RTO"))</f>
        <v/>
      </c>
      <c r="G1958" s="18" t="str">
        <f aca="false">IF($A1958="","",IFERROR(F1958/E1958,0))</f>
        <v/>
      </c>
      <c r="H1958" s="19" t="str">
        <f aca="false">IF($A1958="","",C1958*Settings!$B$11)</f>
        <v/>
      </c>
      <c r="I1958" s="20" t="str">
        <f aca="false">IF($A1958="","",IF(N(H1958)=0,"",RANK(H1958,$H$5:$H$2004)))</f>
        <v/>
      </c>
      <c r="J1958" s="21" t="str">
        <f aca="false">IF($A1958="","",IF(B1958=0,"No COD orders",IF(B1958&lt;Settings!$B$8,"Too few orders",IF(D1958&gt;=Settings!$B$9,"Restrict COD or verify","Keep COD"))))</f>
        <v/>
      </c>
    </row>
    <row r="1959" customFormat="false" ht="15" hidden="false" customHeight="false" outlineLevel="0" collapsed="false">
      <c r="A1959" s="27"/>
      <c r="B1959" s="17" t="str">
        <f aca="false">IF($A1959="","",COUNTIFS(Orders!$C$2:$C$20001,$A1959,Orders!$E$2:$E$20001,"COD",Orders!$F$2:$F$20001,"Delivered")+COUNTIFS(Orders!$C$2:$C$20001,$A1959,Orders!$E$2:$E$20001,"COD",Orders!$F$2:$F$20001,"RTO"))</f>
        <v/>
      </c>
      <c r="C1959" s="17" t="str">
        <f aca="false">IF($A1959="","",COUNTIFS(Orders!$C$2:$C$20001,$A1959,Orders!$E$2:$E$20001,"COD",Orders!$F$2:$F$20001,"RTO"))</f>
        <v/>
      </c>
      <c r="D1959" s="18" t="str">
        <f aca="false">IF($A1959="","",IFERROR(C1959/B1959,0))</f>
        <v/>
      </c>
      <c r="E1959" s="17" t="str">
        <f aca="false">IF($A1959="","",COUNTIFS(Orders!$C$2:$C$20001,$A1959,Orders!$E$2:$E$20001,"Prepaid",Orders!$F$2:$F$20001,"Delivered")+COUNTIFS(Orders!$C$2:$C$20001,$A1959,Orders!$E$2:$E$20001,"Prepaid",Orders!$F$2:$F$20001,"RTO"))</f>
        <v/>
      </c>
      <c r="F1959" s="17" t="str">
        <f aca="false">IF($A1959="","",COUNTIFS(Orders!$C$2:$C$20001,$A1959,Orders!$E$2:$E$20001,"Prepaid",Orders!$F$2:$F$20001,"RTO"))</f>
        <v/>
      </c>
      <c r="G1959" s="18" t="str">
        <f aca="false">IF($A1959="","",IFERROR(F1959/E1959,0))</f>
        <v/>
      </c>
      <c r="H1959" s="19" t="str">
        <f aca="false">IF($A1959="","",C1959*Settings!$B$11)</f>
        <v/>
      </c>
      <c r="I1959" s="20" t="str">
        <f aca="false">IF($A1959="","",IF(N(H1959)=0,"",RANK(H1959,$H$5:$H$2004)))</f>
        <v/>
      </c>
      <c r="J1959" s="21" t="str">
        <f aca="false">IF($A1959="","",IF(B1959=0,"No COD orders",IF(B1959&lt;Settings!$B$8,"Too few orders",IF(D1959&gt;=Settings!$B$9,"Restrict COD or verify","Keep COD"))))</f>
        <v/>
      </c>
    </row>
    <row r="1960" customFormat="false" ht="15" hidden="false" customHeight="false" outlineLevel="0" collapsed="false">
      <c r="A1960" s="27"/>
      <c r="B1960" s="17" t="str">
        <f aca="false">IF($A1960="","",COUNTIFS(Orders!$C$2:$C$20001,$A1960,Orders!$E$2:$E$20001,"COD",Orders!$F$2:$F$20001,"Delivered")+COUNTIFS(Orders!$C$2:$C$20001,$A1960,Orders!$E$2:$E$20001,"COD",Orders!$F$2:$F$20001,"RTO"))</f>
        <v/>
      </c>
      <c r="C1960" s="17" t="str">
        <f aca="false">IF($A1960="","",COUNTIFS(Orders!$C$2:$C$20001,$A1960,Orders!$E$2:$E$20001,"COD",Orders!$F$2:$F$20001,"RTO"))</f>
        <v/>
      </c>
      <c r="D1960" s="18" t="str">
        <f aca="false">IF($A1960="","",IFERROR(C1960/B1960,0))</f>
        <v/>
      </c>
      <c r="E1960" s="17" t="str">
        <f aca="false">IF($A1960="","",COUNTIFS(Orders!$C$2:$C$20001,$A1960,Orders!$E$2:$E$20001,"Prepaid",Orders!$F$2:$F$20001,"Delivered")+COUNTIFS(Orders!$C$2:$C$20001,$A1960,Orders!$E$2:$E$20001,"Prepaid",Orders!$F$2:$F$20001,"RTO"))</f>
        <v/>
      </c>
      <c r="F1960" s="17" t="str">
        <f aca="false">IF($A1960="","",COUNTIFS(Orders!$C$2:$C$20001,$A1960,Orders!$E$2:$E$20001,"Prepaid",Orders!$F$2:$F$20001,"RTO"))</f>
        <v/>
      </c>
      <c r="G1960" s="18" t="str">
        <f aca="false">IF($A1960="","",IFERROR(F1960/E1960,0))</f>
        <v/>
      </c>
      <c r="H1960" s="19" t="str">
        <f aca="false">IF($A1960="","",C1960*Settings!$B$11)</f>
        <v/>
      </c>
      <c r="I1960" s="20" t="str">
        <f aca="false">IF($A1960="","",IF(N(H1960)=0,"",RANK(H1960,$H$5:$H$2004)))</f>
        <v/>
      </c>
      <c r="J1960" s="21" t="str">
        <f aca="false">IF($A1960="","",IF(B1960=0,"No COD orders",IF(B1960&lt;Settings!$B$8,"Too few orders",IF(D1960&gt;=Settings!$B$9,"Restrict COD or verify","Keep COD"))))</f>
        <v/>
      </c>
    </row>
    <row r="1961" customFormat="false" ht="15" hidden="false" customHeight="false" outlineLevel="0" collapsed="false">
      <c r="A1961" s="27"/>
      <c r="B1961" s="17" t="str">
        <f aca="false">IF($A1961="","",COUNTIFS(Orders!$C$2:$C$20001,$A1961,Orders!$E$2:$E$20001,"COD",Orders!$F$2:$F$20001,"Delivered")+COUNTIFS(Orders!$C$2:$C$20001,$A1961,Orders!$E$2:$E$20001,"COD",Orders!$F$2:$F$20001,"RTO"))</f>
        <v/>
      </c>
      <c r="C1961" s="17" t="str">
        <f aca="false">IF($A1961="","",COUNTIFS(Orders!$C$2:$C$20001,$A1961,Orders!$E$2:$E$20001,"COD",Orders!$F$2:$F$20001,"RTO"))</f>
        <v/>
      </c>
      <c r="D1961" s="18" t="str">
        <f aca="false">IF($A1961="","",IFERROR(C1961/B1961,0))</f>
        <v/>
      </c>
      <c r="E1961" s="17" t="str">
        <f aca="false">IF($A1961="","",COUNTIFS(Orders!$C$2:$C$20001,$A1961,Orders!$E$2:$E$20001,"Prepaid",Orders!$F$2:$F$20001,"Delivered")+COUNTIFS(Orders!$C$2:$C$20001,$A1961,Orders!$E$2:$E$20001,"Prepaid",Orders!$F$2:$F$20001,"RTO"))</f>
        <v/>
      </c>
      <c r="F1961" s="17" t="str">
        <f aca="false">IF($A1961="","",COUNTIFS(Orders!$C$2:$C$20001,$A1961,Orders!$E$2:$E$20001,"Prepaid",Orders!$F$2:$F$20001,"RTO"))</f>
        <v/>
      </c>
      <c r="G1961" s="18" t="str">
        <f aca="false">IF($A1961="","",IFERROR(F1961/E1961,0))</f>
        <v/>
      </c>
      <c r="H1961" s="19" t="str">
        <f aca="false">IF($A1961="","",C1961*Settings!$B$11)</f>
        <v/>
      </c>
      <c r="I1961" s="20" t="str">
        <f aca="false">IF($A1961="","",IF(N(H1961)=0,"",RANK(H1961,$H$5:$H$2004)))</f>
        <v/>
      </c>
      <c r="J1961" s="21" t="str">
        <f aca="false">IF($A1961="","",IF(B1961=0,"No COD orders",IF(B1961&lt;Settings!$B$8,"Too few orders",IF(D1961&gt;=Settings!$B$9,"Restrict COD or verify","Keep COD"))))</f>
        <v/>
      </c>
    </row>
    <row r="1962" customFormat="false" ht="15" hidden="false" customHeight="false" outlineLevel="0" collapsed="false">
      <c r="A1962" s="27"/>
      <c r="B1962" s="17" t="str">
        <f aca="false">IF($A1962="","",COUNTIFS(Orders!$C$2:$C$20001,$A1962,Orders!$E$2:$E$20001,"COD",Orders!$F$2:$F$20001,"Delivered")+COUNTIFS(Orders!$C$2:$C$20001,$A1962,Orders!$E$2:$E$20001,"COD",Orders!$F$2:$F$20001,"RTO"))</f>
        <v/>
      </c>
      <c r="C1962" s="17" t="str">
        <f aca="false">IF($A1962="","",COUNTIFS(Orders!$C$2:$C$20001,$A1962,Orders!$E$2:$E$20001,"COD",Orders!$F$2:$F$20001,"RTO"))</f>
        <v/>
      </c>
      <c r="D1962" s="18" t="str">
        <f aca="false">IF($A1962="","",IFERROR(C1962/B1962,0))</f>
        <v/>
      </c>
      <c r="E1962" s="17" t="str">
        <f aca="false">IF($A1962="","",COUNTIFS(Orders!$C$2:$C$20001,$A1962,Orders!$E$2:$E$20001,"Prepaid",Orders!$F$2:$F$20001,"Delivered")+COUNTIFS(Orders!$C$2:$C$20001,$A1962,Orders!$E$2:$E$20001,"Prepaid",Orders!$F$2:$F$20001,"RTO"))</f>
        <v/>
      </c>
      <c r="F1962" s="17" t="str">
        <f aca="false">IF($A1962="","",COUNTIFS(Orders!$C$2:$C$20001,$A1962,Orders!$E$2:$E$20001,"Prepaid",Orders!$F$2:$F$20001,"RTO"))</f>
        <v/>
      </c>
      <c r="G1962" s="18" t="str">
        <f aca="false">IF($A1962="","",IFERROR(F1962/E1962,0))</f>
        <v/>
      </c>
      <c r="H1962" s="19" t="str">
        <f aca="false">IF($A1962="","",C1962*Settings!$B$11)</f>
        <v/>
      </c>
      <c r="I1962" s="20" t="str">
        <f aca="false">IF($A1962="","",IF(N(H1962)=0,"",RANK(H1962,$H$5:$H$2004)))</f>
        <v/>
      </c>
      <c r="J1962" s="21" t="str">
        <f aca="false">IF($A1962="","",IF(B1962=0,"No COD orders",IF(B1962&lt;Settings!$B$8,"Too few orders",IF(D1962&gt;=Settings!$B$9,"Restrict COD or verify","Keep COD"))))</f>
        <v/>
      </c>
    </row>
    <row r="1963" customFormat="false" ht="15" hidden="false" customHeight="false" outlineLevel="0" collapsed="false">
      <c r="A1963" s="27"/>
      <c r="B1963" s="17" t="str">
        <f aca="false">IF($A1963="","",COUNTIFS(Orders!$C$2:$C$20001,$A1963,Orders!$E$2:$E$20001,"COD",Orders!$F$2:$F$20001,"Delivered")+COUNTIFS(Orders!$C$2:$C$20001,$A1963,Orders!$E$2:$E$20001,"COD",Orders!$F$2:$F$20001,"RTO"))</f>
        <v/>
      </c>
      <c r="C1963" s="17" t="str">
        <f aca="false">IF($A1963="","",COUNTIFS(Orders!$C$2:$C$20001,$A1963,Orders!$E$2:$E$20001,"COD",Orders!$F$2:$F$20001,"RTO"))</f>
        <v/>
      </c>
      <c r="D1963" s="18" t="str">
        <f aca="false">IF($A1963="","",IFERROR(C1963/B1963,0))</f>
        <v/>
      </c>
      <c r="E1963" s="17" t="str">
        <f aca="false">IF($A1963="","",COUNTIFS(Orders!$C$2:$C$20001,$A1963,Orders!$E$2:$E$20001,"Prepaid",Orders!$F$2:$F$20001,"Delivered")+COUNTIFS(Orders!$C$2:$C$20001,$A1963,Orders!$E$2:$E$20001,"Prepaid",Orders!$F$2:$F$20001,"RTO"))</f>
        <v/>
      </c>
      <c r="F1963" s="17" t="str">
        <f aca="false">IF($A1963="","",COUNTIFS(Orders!$C$2:$C$20001,$A1963,Orders!$E$2:$E$20001,"Prepaid",Orders!$F$2:$F$20001,"RTO"))</f>
        <v/>
      </c>
      <c r="G1963" s="18" t="str">
        <f aca="false">IF($A1963="","",IFERROR(F1963/E1963,0))</f>
        <v/>
      </c>
      <c r="H1963" s="19" t="str">
        <f aca="false">IF($A1963="","",C1963*Settings!$B$11)</f>
        <v/>
      </c>
      <c r="I1963" s="20" t="str">
        <f aca="false">IF($A1963="","",IF(N(H1963)=0,"",RANK(H1963,$H$5:$H$2004)))</f>
        <v/>
      </c>
      <c r="J1963" s="21" t="str">
        <f aca="false">IF($A1963="","",IF(B1963=0,"No COD orders",IF(B1963&lt;Settings!$B$8,"Too few orders",IF(D1963&gt;=Settings!$B$9,"Restrict COD or verify","Keep COD"))))</f>
        <v/>
      </c>
    </row>
    <row r="1964" customFormat="false" ht="15" hidden="false" customHeight="false" outlineLevel="0" collapsed="false">
      <c r="A1964" s="27"/>
      <c r="B1964" s="17" t="str">
        <f aca="false">IF($A1964="","",COUNTIFS(Orders!$C$2:$C$20001,$A1964,Orders!$E$2:$E$20001,"COD",Orders!$F$2:$F$20001,"Delivered")+COUNTIFS(Orders!$C$2:$C$20001,$A1964,Orders!$E$2:$E$20001,"COD",Orders!$F$2:$F$20001,"RTO"))</f>
        <v/>
      </c>
      <c r="C1964" s="17" t="str">
        <f aca="false">IF($A1964="","",COUNTIFS(Orders!$C$2:$C$20001,$A1964,Orders!$E$2:$E$20001,"COD",Orders!$F$2:$F$20001,"RTO"))</f>
        <v/>
      </c>
      <c r="D1964" s="18" t="str">
        <f aca="false">IF($A1964="","",IFERROR(C1964/B1964,0))</f>
        <v/>
      </c>
      <c r="E1964" s="17" t="str">
        <f aca="false">IF($A1964="","",COUNTIFS(Orders!$C$2:$C$20001,$A1964,Orders!$E$2:$E$20001,"Prepaid",Orders!$F$2:$F$20001,"Delivered")+COUNTIFS(Orders!$C$2:$C$20001,$A1964,Orders!$E$2:$E$20001,"Prepaid",Orders!$F$2:$F$20001,"RTO"))</f>
        <v/>
      </c>
      <c r="F1964" s="17" t="str">
        <f aca="false">IF($A1964="","",COUNTIFS(Orders!$C$2:$C$20001,$A1964,Orders!$E$2:$E$20001,"Prepaid",Orders!$F$2:$F$20001,"RTO"))</f>
        <v/>
      </c>
      <c r="G1964" s="18" t="str">
        <f aca="false">IF($A1964="","",IFERROR(F1964/E1964,0))</f>
        <v/>
      </c>
      <c r="H1964" s="19" t="str">
        <f aca="false">IF($A1964="","",C1964*Settings!$B$11)</f>
        <v/>
      </c>
      <c r="I1964" s="20" t="str">
        <f aca="false">IF($A1964="","",IF(N(H1964)=0,"",RANK(H1964,$H$5:$H$2004)))</f>
        <v/>
      </c>
      <c r="J1964" s="21" t="str">
        <f aca="false">IF($A1964="","",IF(B1964=0,"No COD orders",IF(B1964&lt;Settings!$B$8,"Too few orders",IF(D1964&gt;=Settings!$B$9,"Restrict COD or verify","Keep COD"))))</f>
        <v/>
      </c>
    </row>
    <row r="1965" customFormat="false" ht="15" hidden="false" customHeight="false" outlineLevel="0" collapsed="false">
      <c r="A1965" s="27"/>
      <c r="B1965" s="17" t="str">
        <f aca="false">IF($A1965="","",COUNTIFS(Orders!$C$2:$C$20001,$A1965,Orders!$E$2:$E$20001,"COD",Orders!$F$2:$F$20001,"Delivered")+COUNTIFS(Orders!$C$2:$C$20001,$A1965,Orders!$E$2:$E$20001,"COD",Orders!$F$2:$F$20001,"RTO"))</f>
        <v/>
      </c>
      <c r="C1965" s="17" t="str">
        <f aca="false">IF($A1965="","",COUNTIFS(Orders!$C$2:$C$20001,$A1965,Orders!$E$2:$E$20001,"COD",Orders!$F$2:$F$20001,"RTO"))</f>
        <v/>
      </c>
      <c r="D1965" s="18" t="str">
        <f aca="false">IF($A1965="","",IFERROR(C1965/B1965,0))</f>
        <v/>
      </c>
      <c r="E1965" s="17" t="str">
        <f aca="false">IF($A1965="","",COUNTIFS(Orders!$C$2:$C$20001,$A1965,Orders!$E$2:$E$20001,"Prepaid",Orders!$F$2:$F$20001,"Delivered")+COUNTIFS(Orders!$C$2:$C$20001,$A1965,Orders!$E$2:$E$20001,"Prepaid",Orders!$F$2:$F$20001,"RTO"))</f>
        <v/>
      </c>
      <c r="F1965" s="17" t="str">
        <f aca="false">IF($A1965="","",COUNTIFS(Orders!$C$2:$C$20001,$A1965,Orders!$E$2:$E$20001,"Prepaid",Orders!$F$2:$F$20001,"RTO"))</f>
        <v/>
      </c>
      <c r="G1965" s="18" t="str">
        <f aca="false">IF($A1965="","",IFERROR(F1965/E1965,0))</f>
        <v/>
      </c>
      <c r="H1965" s="19" t="str">
        <f aca="false">IF($A1965="","",C1965*Settings!$B$11)</f>
        <v/>
      </c>
      <c r="I1965" s="20" t="str">
        <f aca="false">IF($A1965="","",IF(N(H1965)=0,"",RANK(H1965,$H$5:$H$2004)))</f>
        <v/>
      </c>
      <c r="J1965" s="21" t="str">
        <f aca="false">IF($A1965="","",IF(B1965=0,"No COD orders",IF(B1965&lt;Settings!$B$8,"Too few orders",IF(D1965&gt;=Settings!$B$9,"Restrict COD or verify","Keep COD"))))</f>
        <v/>
      </c>
    </row>
    <row r="1966" customFormat="false" ht="15" hidden="false" customHeight="false" outlineLevel="0" collapsed="false">
      <c r="A1966" s="27"/>
      <c r="B1966" s="17" t="str">
        <f aca="false">IF($A1966="","",COUNTIFS(Orders!$C$2:$C$20001,$A1966,Orders!$E$2:$E$20001,"COD",Orders!$F$2:$F$20001,"Delivered")+COUNTIFS(Orders!$C$2:$C$20001,$A1966,Orders!$E$2:$E$20001,"COD",Orders!$F$2:$F$20001,"RTO"))</f>
        <v/>
      </c>
      <c r="C1966" s="17" t="str">
        <f aca="false">IF($A1966="","",COUNTIFS(Orders!$C$2:$C$20001,$A1966,Orders!$E$2:$E$20001,"COD",Orders!$F$2:$F$20001,"RTO"))</f>
        <v/>
      </c>
      <c r="D1966" s="18" t="str">
        <f aca="false">IF($A1966="","",IFERROR(C1966/B1966,0))</f>
        <v/>
      </c>
      <c r="E1966" s="17" t="str">
        <f aca="false">IF($A1966="","",COUNTIFS(Orders!$C$2:$C$20001,$A1966,Orders!$E$2:$E$20001,"Prepaid",Orders!$F$2:$F$20001,"Delivered")+COUNTIFS(Orders!$C$2:$C$20001,$A1966,Orders!$E$2:$E$20001,"Prepaid",Orders!$F$2:$F$20001,"RTO"))</f>
        <v/>
      </c>
      <c r="F1966" s="17" t="str">
        <f aca="false">IF($A1966="","",COUNTIFS(Orders!$C$2:$C$20001,$A1966,Orders!$E$2:$E$20001,"Prepaid",Orders!$F$2:$F$20001,"RTO"))</f>
        <v/>
      </c>
      <c r="G1966" s="18" t="str">
        <f aca="false">IF($A1966="","",IFERROR(F1966/E1966,0))</f>
        <v/>
      </c>
      <c r="H1966" s="19" t="str">
        <f aca="false">IF($A1966="","",C1966*Settings!$B$11)</f>
        <v/>
      </c>
      <c r="I1966" s="20" t="str">
        <f aca="false">IF($A1966="","",IF(N(H1966)=0,"",RANK(H1966,$H$5:$H$2004)))</f>
        <v/>
      </c>
      <c r="J1966" s="21" t="str">
        <f aca="false">IF($A1966="","",IF(B1966=0,"No COD orders",IF(B1966&lt;Settings!$B$8,"Too few orders",IF(D1966&gt;=Settings!$B$9,"Restrict COD or verify","Keep COD"))))</f>
        <v/>
      </c>
    </row>
    <row r="1967" customFormat="false" ht="15" hidden="false" customHeight="false" outlineLevel="0" collapsed="false">
      <c r="A1967" s="27"/>
      <c r="B1967" s="17" t="str">
        <f aca="false">IF($A1967="","",COUNTIFS(Orders!$C$2:$C$20001,$A1967,Orders!$E$2:$E$20001,"COD",Orders!$F$2:$F$20001,"Delivered")+COUNTIFS(Orders!$C$2:$C$20001,$A1967,Orders!$E$2:$E$20001,"COD",Orders!$F$2:$F$20001,"RTO"))</f>
        <v/>
      </c>
      <c r="C1967" s="17" t="str">
        <f aca="false">IF($A1967="","",COUNTIFS(Orders!$C$2:$C$20001,$A1967,Orders!$E$2:$E$20001,"COD",Orders!$F$2:$F$20001,"RTO"))</f>
        <v/>
      </c>
      <c r="D1967" s="18" t="str">
        <f aca="false">IF($A1967="","",IFERROR(C1967/B1967,0))</f>
        <v/>
      </c>
      <c r="E1967" s="17" t="str">
        <f aca="false">IF($A1967="","",COUNTIFS(Orders!$C$2:$C$20001,$A1967,Orders!$E$2:$E$20001,"Prepaid",Orders!$F$2:$F$20001,"Delivered")+COUNTIFS(Orders!$C$2:$C$20001,$A1967,Orders!$E$2:$E$20001,"Prepaid",Orders!$F$2:$F$20001,"RTO"))</f>
        <v/>
      </c>
      <c r="F1967" s="17" t="str">
        <f aca="false">IF($A1967="","",COUNTIFS(Orders!$C$2:$C$20001,$A1967,Orders!$E$2:$E$20001,"Prepaid",Orders!$F$2:$F$20001,"RTO"))</f>
        <v/>
      </c>
      <c r="G1967" s="18" t="str">
        <f aca="false">IF($A1967="","",IFERROR(F1967/E1967,0))</f>
        <v/>
      </c>
      <c r="H1967" s="19" t="str">
        <f aca="false">IF($A1967="","",C1967*Settings!$B$11)</f>
        <v/>
      </c>
      <c r="I1967" s="20" t="str">
        <f aca="false">IF($A1967="","",IF(N(H1967)=0,"",RANK(H1967,$H$5:$H$2004)))</f>
        <v/>
      </c>
      <c r="J1967" s="21" t="str">
        <f aca="false">IF($A1967="","",IF(B1967=0,"No COD orders",IF(B1967&lt;Settings!$B$8,"Too few orders",IF(D1967&gt;=Settings!$B$9,"Restrict COD or verify","Keep COD"))))</f>
        <v/>
      </c>
    </row>
    <row r="1968" customFormat="false" ht="15" hidden="false" customHeight="false" outlineLevel="0" collapsed="false">
      <c r="A1968" s="27"/>
      <c r="B1968" s="17" t="str">
        <f aca="false">IF($A1968="","",COUNTIFS(Orders!$C$2:$C$20001,$A1968,Orders!$E$2:$E$20001,"COD",Orders!$F$2:$F$20001,"Delivered")+COUNTIFS(Orders!$C$2:$C$20001,$A1968,Orders!$E$2:$E$20001,"COD",Orders!$F$2:$F$20001,"RTO"))</f>
        <v/>
      </c>
      <c r="C1968" s="17" t="str">
        <f aca="false">IF($A1968="","",COUNTIFS(Orders!$C$2:$C$20001,$A1968,Orders!$E$2:$E$20001,"COD",Orders!$F$2:$F$20001,"RTO"))</f>
        <v/>
      </c>
      <c r="D1968" s="18" t="str">
        <f aca="false">IF($A1968="","",IFERROR(C1968/B1968,0))</f>
        <v/>
      </c>
      <c r="E1968" s="17" t="str">
        <f aca="false">IF($A1968="","",COUNTIFS(Orders!$C$2:$C$20001,$A1968,Orders!$E$2:$E$20001,"Prepaid",Orders!$F$2:$F$20001,"Delivered")+COUNTIFS(Orders!$C$2:$C$20001,$A1968,Orders!$E$2:$E$20001,"Prepaid",Orders!$F$2:$F$20001,"RTO"))</f>
        <v/>
      </c>
      <c r="F1968" s="17" t="str">
        <f aca="false">IF($A1968="","",COUNTIFS(Orders!$C$2:$C$20001,$A1968,Orders!$E$2:$E$20001,"Prepaid",Orders!$F$2:$F$20001,"RTO"))</f>
        <v/>
      </c>
      <c r="G1968" s="18" t="str">
        <f aca="false">IF($A1968="","",IFERROR(F1968/E1968,0))</f>
        <v/>
      </c>
      <c r="H1968" s="19" t="str">
        <f aca="false">IF($A1968="","",C1968*Settings!$B$11)</f>
        <v/>
      </c>
      <c r="I1968" s="20" t="str">
        <f aca="false">IF($A1968="","",IF(N(H1968)=0,"",RANK(H1968,$H$5:$H$2004)))</f>
        <v/>
      </c>
      <c r="J1968" s="21" t="str">
        <f aca="false">IF($A1968="","",IF(B1968=0,"No COD orders",IF(B1968&lt;Settings!$B$8,"Too few orders",IF(D1968&gt;=Settings!$B$9,"Restrict COD or verify","Keep COD"))))</f>
        <v/>
      </c>
    </row>
    <row r="1969" customFormat="false" ht="15" hidden="false" customHeight="false" outlineLevel="0" collapsed="false">
      <c r="A1969" s="27"/>
      <c r="B1969" s="17" t="str">
        <f aca="false">IF($A1969="","",COUNTIFS(Orders!$C$2:$C$20001,$A1969,Orders!$E$2:$E$20001,"COD",Orders!$F$2:$F$20001,"Delivered")+COUNTIFS(Orders!$C$2:$C$20001,$A1969,Orders!$E$2:$E$20001,"COD",Orders!$F$2:$F$20001,"RTO"))</f>
        <v/>
      </c>
      <c r="C1969" s="17" t="str">
        <f aca="false">IF($A1969="","",COUNTIFS(Orders!$C$2:$C$20001,$A1969,Orders!$E$2:$E$20001,"COD",Orders!$F$2:$F$20001,"RTO"))</f>
        <v/>
      </c>
      <c r="D1969" s="18" t="str">
        <f aca="false">IF($A1969="","",IFERROR(C1969/B1969,0))</f>
        <v/>
      </c>
      <c r="E1969" s="17" t="str">
        <f aca="false">IF($A1969="","",COUNTIFS(Orders!$C$2:$C$20001,$A1969,Orders!$E$2:$E$20001,"Prepaid",Orders!$F$2:$F$20001,"Delivered")+COUNTIFS(Orders!$C$2:$C$20001,$A1969,Orders!$E$2:$E$20001,"Prepaid",Orders!$F$2:$F$20001,"RTO"))</f>
        <v/>
      </c>
      <c r="F1969" s="17" t="str">
        <f aca="false">IF($A1969="","",COUNTIFS(Orders!$C$2:$C$20001,$A1969,Orders!$E$2:$E$20001,"Prepaid",Orders!$F$2:$F$20001,"RTO"))</f>
        <v/>
      </c>
      <c r="G1969" s="18" t="str">
        <f aca="false">IF($A1969="","",IFERROR(F1969/E1969,0))</f>
        <v/>
      </c>
      <c r="H1969" s="19" t="str">
        <f aca="false">IF($A1969="","",C1969*Settings!$B$11)</f>
        <v/>
      </c>
      <c r="I1969" s="20" t="str">
        <f aca="false">IF($A1969="","",IF(N(H1969)=0,"",RANK(H1969,$H$5:$H$2004)))</f>
        <v/>
      </c>
      <c r="J1969" s="21" t="str">
        <f aca="false">IF($A1969="","",IF(B1969=0,"No COD orders",IF(B1969&lt;Settings!$B$8,"Too few orders",IF(D1969&gt;=Settings!$B$9,"Restrict COD or verify","Keep COD"))))</f>
        <v/>
      </c>
    </row>
    <row r="1970" customFormat="false" ht="15" hidden="false" customHeight="false" outlineLevel="0" collapsed="false">
      <c r="A1970" s="27"/>
      <c r="B1970" s="17" t="str">
        <f aca="false">IF($A1970="","",COUNTIFS(Orders!$C$2:$C$20001,$A1970,Orders!$E$2:$E$20001,"COD",Orders!$F$2:$F$20001,"Delivered")+COUNTIFS(Orders!$C$2:$C$20001,$A1970,Orders!$E$2:$E$20001,"COD",Orders!$F$2:$F$20001,"RTO"))</f>
        <v/>
      </c>
      <c r="C1970" s="17" t="str">
        <f aca="false">IF($A1970="","",COUNTIFS(Orders!$C$2:$C$20001,$A1970,Orders!$E$2:$E$20001,"COD",Orders!$F$2:$F$20001,"RTO"))</f>
        <v/>
      </c>
      <c r="D1970" s="18" t="str">
        <f aca="false">IF($A1970="","",IFERROR(C1970/B1970,0))</f>
        <v/>
      </c>
      <c r="E1970" s="17" t="str">
        <f aca="false">IF($A1970="","",COUNTIFS(Orders!$C$2:$C$20001,$A1970,Orders!$E$2:$E$20001,"Prepaid",Orders!$F$2:$F$20001,"Delivered")+COUNTIFS(Orders!$C$2:$C$20001,$A1970,Orders!$E$2:$E$20001,"Prepaid",Orders!$F$2:$F$20001,"RTO"))</f>
        <v/>
      </c>
      <c r="F1970" s="17" t="str">
        <f aca="false">IF($A1970="","",COUNTIFS(Orders!$C$2:$C$20001,$A1970,Orders!$E$2:$E$20001,"Prepaid",Orders!$F$2:$F$20001,"RTO"))</f>
        <v/>
      </c>
      <c r="G1970" s="18" t="str">
        <f aca="false">IF($A1970="","",IFERROR(F1970/E1970,0))</f>
        <v/>
      </c>
      <c r="H1970" s="19" t="str">
        <f aca="false">IF($A1970="","",C1970*Settings!$B$11)</f>
        <v/>
      </c>
      <c r="I1970" s="20" t="str">
        <f aca="false">IF($A1970="","",IF(N(H1970)=0,"",RANK(H1970,$H$5:$H$2004)))</f>
        <v/>
      </c>
      <c r="J1970" s="21" t="str">
        <f aca="false">IF($A1970="","",IF(B1970=0,"No COD orders",IF(B1970&lt;Settings!$B$8,"Too few orders",IF(D1970&gt;=Settings!$B$9,"Restrict COD or verify","Keep COD"))))</f>
        <v/>
      </c>
    </row>
    <row r="1971" customFormat="false" ht="15" hidden="false" customHeight="false" outlineLevel="0" collapsed="false">
      <c r="A1971" s="27"/>
      <c r="B1971" s="17" t="str">
        <f aca="false">IF($A1971="","",COUNTIFS(Orders!$C$2:$C$20001,$A1971,Orders!$E$2:$E$20001,"COD",Orders!$F$2:$F$20001,"Delivered")+COUNTIFS(Orders!$C$2:$C$20001,$A1971,Orders!$E$2:$E$20001,"COD",Orders!$F$2:$F$20001,"RTO"))</f>
        <v/>
      </c>
      <c r="C1971" s="17" t="str">
        <f aca="false">IF($A1971="","",COUNTIFS(Orders!$C$2:$C$20001,$A1971,Orders!$E$2:$E$20001,"COD",Orders!$F$2:$F$20001,"RTO"))</f>
        <v/>
      </c>
      <c r="D1971" s="18" t="str">
        <f aca="false">IF($A1971="","",IFERROR(C1971/B1971,0))</f>
        <v/>
      </c>
      <c r="E1971" s="17" t="str">
        <f aca="false">IF($A1971="","",COUNTIFS(Orders!$C$2:$C$20001,$A1971,Orders!$E$2:$E$20001,"Prepaid",Orders!$F$2:$F$20001,"Delivered")+COUNTIFS(Orders!$C$2:$C$20001,$A1971,Orders!$E$2:$E$20001,"Prepaid",Orders!$F$2:$F$20001,"RTO"))</f>
        <v/>
      </c>
      <c r="F1971" s="17" t="str">
        <f aca="false">IF($A1971="","",COUNTIFS(Orders!$C$2:$C$20001,$A1971,Orders!$E$2:$E$20001,"Prepaid",Orders!$F$2:$F$20001,"RTO"))</f>
        <v/>
      </c>
      <c r="G1971" s="18" t="str">
        <f aca="false">IF($A1971="","",IFERROR(F1971/E1971,0))</f>
        <v/>
      </c>
      <c r="H1971" s="19" t="str">
        <f aca="false">IF($A1971="","",C1971*Settings!$B$11)</f>
        <v/>
      </c>
      <c r="I1971" s="20" t="str">
        <f aca="false">IF($A1971="","",IF(N(H1971)=0,"",RANK(H1971,$H$5:$H$2004)))</f>
        <v/>
      </c>
      <c r="J1971" s="21" t="str">
        <f aca="false">IF($A1971="","",IF(B1971=0,"No COD orders",IF(B1971&lt;Settings!$B$8,"Too few orders",IF(D1971&gt;=Settings!$B$9,"Restrict COD or verify","Keep COD"))))</f>
        <v/>
      </c>
    </row>
    <row r="1972" customFormat="false" ht="15" hidden="false" customHeight="false" outlineLevel="0" collapsed="false">
      <c r="A1972" s="27"/>
      <c r="B1972" s="17" t="str">
        <f aca="false">IF($A1972="","",COUNTIFS(Orders!$C$2:$C$20001,$A1972,Orders!$E$2:$E$20001,"COD",Orders!$F$2:$F$20001,"Delivered")+COUNTIFS(Orders!$C$2:$C$20001,$A1972,Orders!$E$2:$E$20001,"COD",Orders!$F$2:$F$20001,"RTO"))</f>
        <v/>
      </c>
      <c r="C1972" s="17" t="str">
        <f aca="false">IF($A1972="","",COUNTIFS(Orders!$C$2:$C$20001,$A1972,Orders!$E$2:$E$20001,"COD",Orders!$F$2:$F$20001,"RTO"))</f>
        <v/>
      </c>
      <c r="D1972" s="18" t="str">
        <f aca="false">IF($A1972="","",IFERROR(C1972/B1972,0))</f>
        <v/>
      </c>
      <c r="E1972" s="17" t="str">
        <f aca="false">IF($A1972="","",COUNTIFS(Orders!$C$2:$C$20001,$A1972,Orders!$E$2:$E$20001,"Prepaid",Orders!$F$2:$F$20001,"Delivered")+COUNTIFS(Orders!$C$2:$C$20001,$A1972,Orders!$E$2:$E$20001,"Prepaid",Orders!$F$2:$F$20001,"RTO"))</f>
        <v/>
      </c>
      <c r="F1972" s="17" t="str">
        <f aca="false">IF($A1972="","",COUNTIFS(Orders!$C$2:$C$20001,$A1972,Orders!$E$2:$E$20001,"Prepaid",Orders!$F$2:$F$20001,"RTO"))</f>
        <v/>
      </c>
      <c r="G1972" s="18" t="str">
        <f aca="false">IF($A1972="","",IFERROR(F1972/E1972,0))</f>
        <v/>
      </c>
      <c r="H1972" s="19" t="str">
        <f aca="false">IF($A1972="","",C1972*Settings!$B$11)</f>
        <v/>
      </c>
      <c r="I1972" s="20" t="str">
        <f aca="false">IF($A1972="","",IF(N(H1972)=0,"",RANK(H1972,$H$5:$H$2004)))</f>
        <v/>
      </c>
      <c r="J1972" s="21" t="str">
        <f aca="false">IF($A1972="","",IF(B1972=0,"No COD orders",IF(B1972&lt;Settings!$B$8,"Too few orders",IF(D1972&gt;=Settings!$B$9,"Restrict COD or verify","Keep COD"))))</f>
        <v/>
      </c>
    </row>
    <row r="1973" customFormat="false" ht="15" hidden="false" customHeight="false" outlineLevel="0" collapsed="false">
      <c r="A1973" s="27"/>
      <c r="B1973" s="17" t="str">
        <f aca="false">IF($A1973="","",COUNTIFS(Orders!$C$2:$C$20001,$A1973,Orders!$E$2:$E$20001,"COD",Orders!$F$2:$F$20001,"Delivered")+COUNTIFS(Orders!$C$2:$C$20001,$A1973,Orders!$E$2:$E$20001,"COD",Orders!$F$2:$F$20001,"RTO"))</f>
        <v/>
      </c>
      <c r="C1973" s="17" t="str">
        <f aca="false">IF($A1973="","",COUNTIFS(Orders!$C$2:$C$20001,$A1973,Orders!$E$2:$E$20001,"COD",Orders!$F$2:$F$20001,"RTO"))</f>
        <v/>
      </c>
      <c r="D1973" s="18" t="str">
        <f aca="false">IF($A1973="","",IFERROR(C1973/B1973,0))</f>
        <v/>
      </c>
      <c r="E1973" s="17" t="str">
        <f aca="false">IF($A1973="","",COUNTIFS(Orders!$C$2:$C$20001,$A1973,Orders!$E$2:$E$20001,"Prepaid",Orders!$F$2:$F$20001,"Delivered")+COUNTIFS(Orders!$C$2:$C$20001,$A1973,Orders!$E$2:$E$20001,"Prepaid",Orders!$F$2:$F$20001,"RTO"))</f>
        <v/>
      </c>
      <c r="F1973" s="17" t="str">
        <f aca="false">IF($A1973="","",COUNTIFS(Orders!$C$2:$C$20001,$A1973,Orders!$E$2:$E$20001,"Prepaid",Orders!$F$2:$F$20001,"RTO"))</f>
        <v/>
      </c>
      <c r="G1973" s="18" t="str">
        <f aca="false">IF($A1973="","",IFERROR(F1973/E1973,0))</f>
        <v/>
      </c>
      <c r="H1973" s="19" t="str">
        <f aca="false">IF($A1973="","",C1973*Settings!$B$11)</f>
        <v/>
      </c>
      <c r="I1973" s="20" t="str">
        <f aca="false">IF($A1973="","",IF(N(H1973)=0,"",RANK(H1973,$H$5:$H$2004)))</f>
        <v/>
      </c>
      <c r="J1973" s="21" t="str">
        <f aca="false">IF($A1973="","",IF(B1973=0,"No COD orders",IF(B1973&lt;Settings!$B$8,"Too few orders",IF(D1973&gt;=Settings!$B$9,"Restrict COD or verify","Keep COD"))))</f>
        <v/>
      </c>
    </row>
    <row r="1974" customFormat="false" ht="15" hidden="false" customHeight="false" outlineLevel="0" collapsed="false">
      <c r="A1974" s="27"/>
      <c r="B1974" s="17" t="str">
        <f aca="false">IF($A1974="","",COUNTIFS(Orders!$C$2:$C$20001,$A1974,Orders!$E$2:$E$20001,"COD",Orders!$F$2:$F$20001,"Delivered")+COUNTIFS(Orders!$C$2:$C$20001,$A1974,Orders!$E$2:$E$20001,"COD",Orders!$F$2:$F$20001,"RTO"))</f>
        <v/>
      </c>
      <c r="C1974" s="17" t="str">
        <f aca="false">IF($A1974="","",COUNTIFS(Orders!$C$2:$C$20001,$A1974,Orders!$E$2:$E$20001,"COD",Orders!$F$2:$F$20001,"RTO"))</f>
        <v/>
      </c>
      <c r="D1974" s="18" t="str">
        <f aca="false">IF($A1974="","",IFERROR(C1974/B1974,0))</f>
        <v/>
      </c>
      <c r="E1974" s="17" t="str">
        <f aca="false">IF($A1974="","",COUNTIFS(Orders!$C$2:$C$20001,$A1974,Orders!$E$2:$E$20001,"Prepaid",Orders!$F$2:$F$20001,"Delivered")+COUNTIFS(Orders!$C$2:$C$20001,$A1974,Orders!$E$2:$E$20001,"Prepaid",Orders!$F$2:$F$20001,"RTO"))</f>
        <v/>
      </c>
      <c r="F1974" s="17" t="str">
        <f aca="false">IF($A1974="","",COUNTIFS(Orders!$C$2:$C$20001,$A1974,Orders!$E$2:$E$20001,"Prepaid",Orders!$F$2:$F$20001,"RTO"))</f>
        <v/>
      </c>
      <c r="G1974" s="18" t="str">
        <f aca="false">IF($A1974="","",IFERROR(F1974/E1974,0))</f>
        <v/>
      </c>
      <c r="H1974" s="19" t="str">
        <f aca="false">IF($A1974="","",C1974*Settings!$B$11)</f>
        <v/>
      </c>
      <c r="I1974" s="20" t="str">
        <f aca="false">IF($A1974="","",IF(N(H1974)=0,"",RANK(H1974,$H$5:$H$2004)))</f>
        <v/>
      </c>
      <c r="J1974" s="21" t="str">
        <f aca="false">IF($A1974="","",IF(B1974=0,"No COD orders",IF(B1974&lt;Settings!$B$8,"Too few orders",IF(D1974&gt;=Settings!$B$9,"Restrict COD or verify","Keep COD"))))</f>
        <v/>
      </c>
    </row>
    <row r="1975" customFormat="false" ht="15" hidden="false" customHeight="false" outlineLevel="0" collapsed="false">
      <c r="A1975" s="27"/>
      <c r="B1975" s="17" t="str">
        <f aca="false">IF($A1975="","",COUNTIFS(Orders!$C$2:$C$20001,$A1975,Orders!$E$2:$E$20001,"COD",Orders!$F$2:$F$20001,"Delivered")+COUNTIFS(Orders!$C$2:$C$20001,$A1975,Orders!$E$2:$E$20001,"COD",Orders!$F$2:$F$20001,"RTO"))</f>
        <v/>
      </c>
      <c r="C1975" s="17" t="str">
        <f aca="false">IF($A1975="","",COUNTIFS(Orders!$C$2:$C$20001,$A1975,Orders!$E$2:$E$20001,"COD",Orders!$F$2:$F$20001,"RTO"))</f>
        <v/>
      </c>
      <c r="D1975" s="18" t="str">
        <f aca="false">IF($A1975="","",IFERROR(C1975/B1975,0))</f>
        <v/>
      </c>
      <c r="E1975" s="17" t="str">
        <f aca="false">IF($A1975="","",COUNTIFS(Orders!$C$2:$C$20001,$A1975,Orders!$E$2:$E$20001,"Prepaid",Orders!$F$2:$F$20001,"Delivered")+COUNTIFS(Orders!$C$2:$C$20001,$A1975,Orders!$E$2:$E$20001,"Prepaid",Orders!$F$2:$F$20001,"RTO"))</f>
        <v/>
      </c>
      <c r="F1975" s="17" t="str">
        <f aca="false">IF($A1975="","",COUNTIFS(Orders!$C$2:$C$20001,$A1975,Orders!$E$2:$E$20001,"Prepaid",Orders!$F$2:$F$20001,"RTO"))</f>
        <v/>
      </c>
      <c r="G1975" s="18" t="str">
        <f aca="false">IF($A1975="","",IFERROR(F1975/E1975,0))</f>
        <v/>
      </c>
      <c r="H1975" s="19" t="str">
        <f aca="false">IF($A1975="","",C1975*Settings!$B$11)</f>
        <v/>
      </c>
      <c r="I1975" s="20" t="str">
        <f aca="false">IF($A1975="","",IF(N(H1975)=0,"",RANK(H1975,$H$5:$H$2004)))</f>
        <v/>
      </c>
      <c r="J1975" s="21" t="str">
        <f aca="false">IF($A1975="","",IF(B1975=0,"No COD orders",IF(B1975&lt;Settings!$B$8,"Too few orders",IF(D1975&gt;=Settings!$B$9,"Restrict COD or verify","Keep COD"))))</f>
        <v/>
      </c>
    </row>
    <row r="1976" customFormat="false" ht="15" hidden="false" customHeight="false" outlineLevel="0" collapsed="false">
      <c r="A1976" s="27"/>
      <c r="B1976" s="17" t="str">
        <f aca="false">IF($A1976="","",COUNTIFS(Orders!$C$2:$C$20001,$A1976,Orders!$E$2:$E$20001,"COD",Orders!$F$2:$F$20001,"Delivered")+COUNTIFS(Orders!$C$2:$C$20001,$A1976,Orders!$E$2:$E$20001,"COD",Orders!$F$2:$F$20001,"RTO"))</f>
        <v/>
      </c>
      <c r="C1976" s="17" t="str">
        <f aca="false">IF($A1976="","",COUNTIFS(Orders!$C$2:$C$20001,$A1976,Orders!$E$2:$E$20001,"COD",Orders!$F$2:$F$20001,"RTO"))</f>
        <v/>
      </c>
      <c r="D1976" s="18" t="str">
        <f aca="false">IF($A1976="","",IFERROR(C1976/B1976,0))</f>
        <v/>
      </c>
      <c r="E1976" s="17" t="str">
        <f aca="false">IF($A1976="","",COUNTIFS(Orders!$C$2:$C$20001,$A1976,Orders!$E$2:$E$20001,"Prepaid",Orders!$F$2:$F$20001,"Delivered")+COUNTIFS(Orders!$C$2:$C$20001,$A1976,Orders!$E$2:$E$20001,"Prepaid",Orders!$F$2:$F$20001,"RTO"))</f>
        <v/>
      </c>
      <c r="F1976" s="17" t="str">
        <f aca="false">IF($A1976="","",COUNTIFS(Orders!$C$2:$C$20001,$A1976,Orders!$E$2:$E$20001,"Prepaid",Orders!$F$2:$F$20001,"RTO"))</f>
        <v/>
      </c>
      <c r="G1976" s="18" t="str">
        <f aca="false">IF($A1976="","",IFERROR(F1976/E1976,0))</f>
        <v/>
      </c>
      <c r="H1976" s="19" t="str">
        <f aca="false">IF($A1976="","",C1976*Settings!$B$11)</f>
        <v/>
      </c>
      <c r="I1976" s="20" t="str">
        <f aca="false">IF($A1976="","",IF(N(H1976)=0,"",RANK(H1976,$H$5:$H$2004)))</f>
        <v/>
      </c>
      <c r="J1976" s="21" t="str">
        <f aca="false">IF($A1976="","",IF(B1976=0,"No COD orders",IF(B1976&lt;Settings!$B$8,"Too few orders",IF(D1976&gt;=Settings!$B$9,"Restrict COD or verify","Keep COD"))))</f>
        <v/>
      </c>
    </row>
    <row r="1977" customFormat="false" ht="15" hidden="false" customHeight="false" outlineLevel="0" collapsed="false">
      <c r="A1977" s="27"/>
      <c r="B1977" s="17" t="str">
        <f aca="false">IF($A1977="","",COUNTIFS(Orders!$C$2:$C$20001,$A1977,Orders!$E$2:$E$20001,"COD",Orders!$F$2:$F$20001,"Delivered")+COUNTIFS(Orders!$C$2:$C$20001,$A1977,Orders!$E$2:$E$20001,"COD",Orders!$F$2:$F$20001,"RTO"))</f>
        <v/>
      </c>
      <c r="C1977" s="17" t="str">
        <f aca="false">IF($A1977="","",COUNTIFS(Orders!$C$2:$C$20001,$A1977,Orders!$E$2:$E$20001,"COD",Orders!$F$2:$F$20001,"RTO"))</f>
        <v/>
      </c>
      <c r="D1977" s="18" t="str">
        <f aca="false">IF($A1977="","",IFERROR(C1977/B1977,0))</f>
        <v/>
      </c>
      <c r="E1977" s="17" t="str">
        <f aca="false">IF($A1977="","",COUNTIFS(Orders!$C$2:$C$20001,$A1977,Orders!$E$2:$E$20001,"Prepaid",Orders!$F$2:$F$20001,"Delivered")+COUNTIFS(Orders!$C$2:$C$20001,$A1977,Orders!$E$2:$E$20001,"Prepaid",Orders!$F$2:$F$20001,"RTO"))</f>
        <v/>
      </c>
      <c r="F1977" s="17" t="str">
        <f aca="false">IF($A1977="","",COUNTIFS(Orders!$C$2:$C$20001,$A1977,Orders!$E$2:$E$20001,"Prepaid",Orders!$F$2:$F$20001,"RTO"))</f>
        <v/>
      </c>
      <c r="G1977" s="18" t="str">
        <f aca="false">IF($A1977="","",IFERROR(F1977/E1977,0))</f>
        <v/>
      </c>
      <c r="H1977" s="19" t="str">
        <f aca="false">IF($A1977="","",C1977*Settings!$B$11)</f>
        <v/>
      </c>
      <c r="I1977" s="20" t="str">
        <f aca="false">IF($A1977="","",IF(N(H1977)=0,"",RANK(H1977,$H$5:$H$2004)))</f>
        <v/>
      </c>
      <c r="J1977" s="21" t="str">
        <f aca="false">IF($A1977="","",IF(B1977=0,"No COD orders",IF(B1977&lt;Settings!$B$8,"Too few orders",IF(D1977&gt;=Settings!$B$9,"Restrict COD or verify","Keep COD"))))</f>
        <v/>
      </c>
    </row>
    <row r="1978" customFormat="false" ht="15" hidden="false" customHeight="false" outlineLevel="0" collapsed="false">
      <c r="A1978" s="27"/>
      <c r="B1978" s="17" t="str">
        <f aca="false">IF($A1978="","",COUNTIFS(Orders!$C$2:$C$20001,$A1978,Orders!$E$2:$E$20001,"COD",Orders!$F$2:$F$20001,"Delivered")+COUNTIFS(Orders!$C$2:$C$20001,$A1978,Orders!$E$2:$E$20001,"COD",Orders!$F$2:$F$20001,"RTO"))</f>
        <v/>
      </c>
      <c r="C1978" s="17" t="str">
        <f aca="false">IF($A1978="","",COUNTIFS(Orders!$C$2:$C$20001,$A1978,Orders!$E$2:$E$20001,"COD",Orders!$F$2:$F$20001,"RTO"))</f>
        <v/>
      </c>
      <c r="D1978" s="18" t="str">
        <f aca="false">IF($A1978="","",IFERROR(C1978/B1978,0))</f>
        <v/>
      </c>
      <c r="E1978" s="17" t="str">
        <f aca="false">IF($A1978="","",COUNTIFS(Orders!$C$2:$C$20001,$A1978,Orders!$E$2:$E$20001,"Prepaid",Orders!$F$2:$F$20001,"Delivered")+COUNTIFS(Orders!$C$2:$C$20001,$A1978,Orders!$E$2:$E$20001,"Prepaid",Orders!$F$2:$F$20001,"RTO"))</f>
        <v/>
      </c>
      <c r="F1978" s="17" t="str">
        <f aca="false">IF($A1978="","",COUNTIFS(Orders!$C$2:$C$20001,$A1978,Orders!$E$2:$E$20001,"Prepaid",Orders!$F$2:$F$20001,"RTO"))</f>
        <v/>
      </c>
      <c r="G1978" s="18" t="str">
        <f aca="false">IF($A1978="","",IFERROR(F1978/E1978,0))</f>
        <v/>
      </c>
      <c r="H1978" s="19" t="str">
        <f aca="false">IF($A1978="","",C1978*Settings!$B$11)</f>
        <v/>
      </c>
      <c r="I1978" s="20" t="str">
        <f aca="false">IF($A1978="","",IF(N(H1978)=0,"",RANK(H1978,$H$5:$H$2004)))</f>
        <v/>
      </c>
      <c r="J1978" s="21" t="str">
        <f aca="false">IF($A1978="","",IF(B1978=0,"No COD orders",IF(B1978&lt;Settings!$B$8,"Too few orders",IF(D1978&gt;=Settings!$B$9,"Restrict COD or verify","Keep COD"))))</f>
        <v/>
      </c>
    </row>
    <row r="1979" customFormat="false" ht="15" hidden="false" customHeight="false" outlineLevel="0" collapsed="false">
      <c r="A1979" s="27"/>
      <c r="B1979" s="17" t="str">
        <f aca="false">IF($A1979="","",COUNTIFS(Orders!$C$2:$C$20001,$A1979,Orders!$E$2:$E$20001,"COD",Orders!$F$2:$F$20001,"Delivered")+COUNTIFS(Orders!$C$2:$C$20001,$A1979,Orders!$E$2:$E$20001,"COD",Orders!$F$2:$F$20001,"RTO"))</f>
        <v/>
      </c>
      <c r="C1979" s="17" t="str">
        <f aca="false">IF($A1979="","",COUNTIFS(Orders!$C$2:$C$20001,$A1979,Orders!$E$2:$E$20001,"COD",Orders!$F$2:$F$20001,"RTO"))</f>
        <v/>
      </c>
      <c r="D1979" s="18" t="str">
        <f aca="false">IF($A1979="","",IFERROR(C1979/B1979,0))</f>
        <v/>
      </c>
      <c r="E1979" s="17" t="str">
        <f aca="false">IF($A1979="","",COUNTIFS(Orders!$C$2:$C$20001,$A1979,Orders!$E$2:$E$20001,"Prepaid",Orders!$F$2:$F$20001,"Delivered")+COUNTIFS(Orders!$C$2:$C$20001,$A1979,Orders!$E$2:$E$20001,"Prepaid",Orders!$F$2:$F$20001,"RTO"))</f>
        <v/>
      </c>
      <c r="F1979" s="17" t="str">
        <f aca="false">IF($A1979="","",COUNTIFS(Orders!$C$2:$C$20001,$A1979,Orders!$E$2:$E$20001,"Prepaid",Orders!$F$2:$F$20001,"RTO"))</f>
        <v/>
      </c>
      <c r="G1979" s="18" t="str">
        <f aca="false">IF($A1979="","",IFERROR(F1979/E1979,0))</f>
        <v/>
      </c>
      <c r="H1979" s="19" t="str">
        <f aca="false">IF($A1979="","",C1979*Settings!$B$11)</f>
        <v/>
      </c>
      <c r="I1979" s="20" t="str">
        <f aca="false">IF($A1979="","",IF(N(H1979)=0,"",RANK(H1979,$H$5:$H$2004)))</f>
        <v/>
      </c>
      <c r="J1979" s="21" t="str">
        <f aca="false">IF($A1979="","",IF(B1979=0,"No COD orders",IF(B1979&lt;Settings!$B$8,"Too few orders",IF(D1979&gt;=Settings!$B$9,"Restrict COD or verify","Keep COD"))))</f>
        <v/>
      </c>
    </row>
    <row r="1980" customFormat="false" ht="15" hidden="false" customHeight="false" outlineLevel="0" collapsed="false">
      <c r="A1980" s="27"/>
      <c r="B1980" s="17" t="str">
        <f aca="false">IF($A1980="","",COUNTIFS(Orders!$C$2:$C$20001,$A1980,Orders!$E$2:$E$20001,"COD",Orders!$F$2:$F$20001,"Delivered")+COUNTIFS(Orders!$C$2:$C$20001,$A1980,Orders!$E$2:$E$20001,"COD",Orders!$F$2:$F$20001,"RTO"))</f>
        <v/>
      </c>
      <c r="C1980" s="17" t="str">
        <f aca="false">IF($A1980="","",COUNTIFS(Orders!$C$2:$C$20001,$A1980,Orders!$E$2:$E$20001,"COD",Orders!$F$2:$F$20001,"RTO"))</f>
        <v/>
      </c>
      <c r="D1980" s="18" t="str">
        <f aca="false">IF($A1980="","",IFERROR(C1980/B1980,0))</f>
        <v/>
      </c>
      <c r="E1980" s="17" t="str">
        <f aca="false">IF($A1980="","",COUNTIFS(Orders!$C$2:$C$20001,$A1980,Orders!$E$2:$E$20001,"Prepaid",Orders!$F$2:$F$20001,"Delivered")+COUNTIFS(Orders!$C$2:$C$20001,$A1980,Orders!$E$2:$E$20001,"Prepaid",Orders!$F$2:$F$20001,"RTO"))</f>
        <v/>
      </c>
      <c r="F1980" s="17" t="str">
        <f aca="false">IF($A1980="","",COUNTIFS(Orders!$C$2:$C$20001,$A1980,Orders!$E$2:$E$20001,"Prepaid",Orders!$F$2:$F$20001,"RTO"))</f>
        <v/>
      </c>
      <c r="G1980" s="18" t="str">
        <f aca="false">IF($A1980="","",IFERROR(F1980/E1980,0))</f>
        <v/>
      </c>
      <c r="H1980" s="19" t="str">
        <f aca="false">IF($A1980="","",C1980*Settings!$B$11)</f>
        <v/>
      </c>
      <c r="I1980" s="20" t="str">
        <f aca="false">IF($A1980="","",IF(N(H1980)=0,"",RANK(H1980,$H$5:$H$2004)))</f>
        <v/>
      </c>
      <c r="J1980" s="21" t="str">
        <f aca="false">IF($A1980="","",IF(B1980=0,"No COD orders",IF(B1980&lt;Settings!$B$8,"Too few orders",IF(D1980&gt;=Settings!$B$9,"Restrict COD or verify","Keep COD"))))</f>
        <v/>
      </c>
    </row>
    <row r="1981" customFormat="false" ht="15" hidden="false" customHeight="false" outlineLevel="0" collapsed="false">
      <c r="A1981" s="27"/>
      <c r="B1981" s="17" t="str">
        <f aca="false">IF($A1981="","",COUNTIFS(Orders!$C$2:$C$20001,$A1981,Orders!$E$2:$E$20001,"COD",Orders!$F$2:$F$20001,"Delivered")+COUNTIFS(Orders!$C$2:$C$20001,$A1981,Orders!$E$2:$E$20001,"COD",Orders!$F$2:$F$20001,"RTO"))</f>
        <v/>
      </c>
      <c r="C1981" s="17" t="str">
        <f aca="false">IF($A1981="","",COUNTIFS(Orders!$C$2:$C$20001,$A1981,Orders!$E$2:$E$20001,"COD",Orders!$F$2:$F$20001,"RTO"))</f>
        <v/>
      </c>
      <c r="D1981" s="18" t="str">
        <f aca="false">IF($A1981="","",IFERROR(C1981/B1981,0))</f>
        <v/>
      </c>
      <c r="E1981" s="17" t="str">
        <f aca="false">IF($A1981="","",COUNTIFS(Orders!$C$2:$C$20001,$A1981,Orders!$E$2:$E$20001,"Prepaid",Orders!$F$2:$F$20001,"Delivered")+COUNTIFS(Orders!$C$2:$C$20001,$A1981,Orders!$E$2:$E$20001,"Prepaid",Orders!$F$2:$F$20001,"RTO"))</f>
        <v/>
      </c>
      <c r="F1981" s="17" t="str">
        <f aca="false">IF($A1981="","",COUNTIFS(Orders!$C$2:$C$20001,$A1981,Orders!$E$2:$E$20001,"Prepaid",Orders!$F$2:$F$20001,"RTO"))</f>
        <v/>
      </c>
      <c r="G1981" s="18" t="str">
        <f aca="false">IF($A1981="","",IFERROR(F1981/E1981,0))</f>
        <v/>
      </c>
      <c r="H1981" s="19" t="str">
        <f aca="false">IF($A1981="","",C1981*Settings!$B$11)</f>
        <v/>
      </c>
      <c r="I1981" s="20" t="str">
        <f aca="false">IF($A1981="","",IF(N(H1981)=0,"",RANK(H1981,$H$5:$H$2004)))</f>
        <v/>
      </c>
      <c r="J1981" s="21" t="str">
        <f aca="false">IF($A1981="","",IF(B1981=0,"No COD orders",IF(B1981&lt;Settings!$B$8,"Too few orders",IF(D1981&gt;=Settings!$B$9,"Restrict COD or verify","Keep COD"))))</f>
        <v/>
      </c>
    </row>
    <row r="1982" customFormat="false" ht="15" hidden="false" customHeight="false" outlineLevel="0" collapsed="false">
      <c r="A1982" s="27"/>
      <c r="B1982" s="17" t="str">
        <f aca="false">IF($A1982="","",COUNTIFS(Orders!$C$2:$C$20001,$A1982,Orders!$E$2:$E$20001,"COD",Orders!$F$2:$F$20001,"Delivered")+COUNTIFS(Orders!$C$2:$C$20001,$A1982,Orders!$E$2:$E$20001,"COD",Orders!$F$2:$F$20001,"RTO"))</f>
        <v/>
      </c>
      <c r="C1982" s="17" t="str">
        <f aca="false">IF($A1982="","",COUNTIFS(Orders!$C$2:$C$20001,$A1982,Orders!$E$2:$E$20001,"COD",Orders!$F$2:$F$20001,"RTO"))</f>
        <v/>
      </c>
      <c r="D1982" s="18" t="str">
        <f aca="false">IF($A1982="","",IFERROR(C1982/B1982,0))</f>
        <v/>
      </c>
      <c r="E1982" s="17" t="str">
        <f aca="false">IF($A1982="","",COUNTIFS(Orders!$C$2:$C$20001,$A1982,Orders!$E$2:$E$20001,"Prepaid",Orders!$F$2:$F$20001,"Delivered")+COUNTIFS(Orders!$C$2:$C$20001,$A1982,Orders!$E$2:$E$20001,"Prepaid",Orders!$F$2:$F$20001,"RTO"))</f>
        <v/>
      </c>
      <c r="F1982" s="17" t="str">
        <f aca="false">IF($A1982="","",COUNTIFS(Orders!$C$2:$C$20001,$A1982,Orders!$E$2:$E$20001,"Prepaid",Orders!$F$2:$F$20001,"RTO"))</f>
        <v/>
      </c>
      <c r="G1982" s="18" t="str">
        <f aca="false">IF($A1982="","",IFERROR(F1982/E1982,0))</f>
        <v/>
      </c>
      <c r="H1982" s="19" t="str">
        <f aca="false">IF($A1982="","",C1982*Settings!$B$11)</f>
        <v/>
      </c>
      <c r="I1982" s="20" t="str">
        <f aca="false">IF($A1982="","",IF(N(H1982)=0,"",RANK(H1982,$H$5:$H$2004)))</f>
        <v/>
      </c>
      <c r="J1982" s="21" t="str">
        <f aca="false">IF($A1982="","",IF(B1982=0,"No COD orders",IF(B1982&lt;Settings!$B$8,"Too few orders",IF(D1982&gt;=Settings!$B$9,"Restrict COD or verify","Keep COD"))))</f>
        <v/>
      </c>
    </row>
    <row r="1983" customFormat="false" ht="15" hidden="false" customHeight="false" outlineLevel="0" collapsed="false">
      <c r="A1983" s="27"/>
      <c r="B1983" s="17" t="str">
        <f aca="false">IF($A1983="","",COUNTIFS(Orders!$C$2:$C$20001,$A1983,Orders!$E$2:$E$20001,"COD",Orders!$F$2:$F$20001,"Delivered")+COUNTIFS(Orders!$C$2:$C$20001,$A1983,Orders!$E$2:$E$20001,"COD",Orders!$F$2:$F$20001,"RTO"))</f>
        <v/>
      </c>
      <c r="C1983" s="17" t="str">
        <f aca="false">IF($A1983="","",COUNTIFS(Orders!$C$2:$C$20001,$A1983,Orders!$E$2:$E$20001,"COD",Orders!$F$2:$F$20001,"RTO"))</f>
        <v/>
      </c>
      <c r="D1983" s="18" t="str">
        <f aca="false">IF($A1983="","",IFERROR(C1983/B1983,0))</f>
        <v/>
      </c>
      <c r="E1983" s="17" t="str">
        <f aca="false">IF($A1983="","",COUNTIFS(Orders!$C$2:$C$20001,$A1983,Orders!$E$2:$E$20001,"Prepaid",Orders!$F$2:$F$20001,"Delivered")+COUNTIFS(Orders!$C$2:$C$20001,$A1983,Orders!$E$2:$E$20001,"Prepaid",Orders!$F$2:$F$20001,"RTO"))</f>
        <v/>
      </c>
      <c r="F1983" s="17" t="str">
        <f aca="false">IF($A1983="","",COUNTIFS(Orders!$C$2:$C$20001,$A1983,Orders!$E$2:$E$20001,"Prepaid",Orders!$F$2:$F$20001,"RTO"))</f>
        <v/>
      </c>
      <c r="G1983" s="18" t="str">
        <f aca="false">IF($A1983="","",IFERROR(F1983/E1983,0))</f>
        <v/>
      </c>
      <c r="H1983" s="19" t="str">
        <f aca="false">IF($A1983="","",C1983*Settings!$B$11)</f>
        <v/>
      </c>
      <c r="I1983" s="20" t="str">
        <f aca="false">IF($A1983="","",IF(N(H1983)=0,"",RANK(H1983,$H$5:$H$2004)))</f>
        <v/>
      </c>
      <c r="J1983" s="21" t="str">
        <f aca="false">IF($A1983="","",IF(B1983=0,"No COD orders",IF(B1983&lt;Settings!$B$8,"Too few orders",IF(D1983&gt;=Settings!$B$9,"Restrict COD or verify","Keep COD"))))</f>
        <v/>
      </c>
    </row>
    <row r="1984" customFormat="false" ht="15" hidden="false" customHeight="false" outlineLevel="0" collapsed="false">
      <c r="A1984" s="27"/>
      <c r="B1984" s="17" t="str">
        <f aca="false">IF($A1984="","",COUNTIFS(Orders!$C$2:$C$20001,$A1984,Orders!$E$2:$E$20001,"COD",Orders!$F$2:$F$20001,"Delivered")+COUNTIFS(Orders!$C$2:$C$20001,$A1984,Orders!$E$2:$E$20001,"COD",Orders!$F$2:$F$20001,"RTO"))</f>
        <v/>
      </c>
      <c r="C1984" s="17" t="str">
        <f aca="false">IF($A1984="","",COUNTIFS(Orders!$C$2:$C$20001,$A1984,Orders!$E$2:$E$20001,"COD",Orders!$F$2:$F$20001,"RTO"))</f>
        <v/>
      </c>
      <c r="D1984" s="18" t="str">
        <f aca="false">IF($A1984="","",IFERROR(C1984/B1984,0))</f>
        <v/>
      </c>
      <c r="E1984" s="17" t="str">
        <f aca="false">IF($A1984="","",COUNTIFS(Orders!$C$2:$C$20001,$A1984,Orders!$E$2:$E$20001,"Prepaid",Orders!$F$2:$F$20001,"Delivered")+COUNTIFS(Orders!$C$2:$C$20001,$A1984,Orders!$E$2:$E$20001,"Prepaid",Orders!$F$2:$F$20001,"RTO"))</f>
        <v/>
      </c>
      <c r="F1984" s="17" t="str">
        <f aca="false">IF($A1984="","",COUNTIFS(Orders!$C$2:$C$20001,$A1984,Orders!$E$2:$E$20001,"Prepaid",Orders!$F$2:$F$20001,"RTO"))</f>
        <v/>
      </c>
      <c r="G1984" s="18" t="str">
        <f aca="false">IF($A1984="","",IFERROR(F1984/E1984,0))</f>
        <v/>
      </c>
      <c r="H1984" s="19" t="str">
        <f aca="false">IF($A1984="","",C1984*Settings!$B$11)</f>
        <v/>
      </c>
      <c r="I1984" s="20" t="str">
        <f aca="false">IF($A1984="","",IF(N(H1984)=0,"",RANK(H1984,$H$5:$H$2004)))</f>
        <v/>
      </c>
      <c r="J1984" s="21" t="str">
        <f aca="false">IF($A1984="","",IF(B1984=0,"No COD orders",IF(B1984&lt;Settings!$B$8,"Too few orders",IF(D1984&gt;=Settings!$B$9,"Restrict COD or verify","Keep COD"))))</f>
        <v/>
      </c>
    </row>
    <row r="1985" customFormat="false" ht="15" hidden="false" customHeight="false" outlineLevel="0" collapsed="false">
      <c r="A1985" s="27"/>
      <c r="B1985" s="17" t="str">
        <f aca="false">IF($A1985="","",COUNTIFS(Orders!$C$2:$C$20001,$A1985,Orders!$E$2:$E$20001,"COD",Orders!$F$2:$F$20001,"Delivered")+COUNTIFS(Orders!$C$2:$C$20001,$A1985,Orders!$E$2:$E$20001,"COD",Orders!$F$2:$F$20001,"RTO"))</f>
        <v/>
      </c>
      <c r="C1985" s="17" t="str">
        <f aca="false">IF($A1985="","",COUNTIFS(Orders!$C$2:$C$20001,$A1985,Orders!$E$2:$E$20001,"COD",Orders!$F$2:$F$20001,"RTO"))</f>
        <v/>
      </c>
      <c r="D1985" s="18" t="str">
        <f aca="false">IF($A1985="","",IFERROR(C1985/B1985,0))</f>
        <v/>
      </c>
      <c r="E1985" s="17" t="str">
        <f aca="false">IF($A1985="","",COUNTIFS(Orders!$C$2:$C$20001,$A1985,Orders!$E$2:$E$20001,"Prepaid",Orders!$F$2:$F$20001,"Delivered")+COUNTIFS(Orders!$C$2:$C$20001,$A1985,Orders!$E$2:$E$20001,"Prepaid",Orders!$F$2:$F$20001,"RTO"))</f>
        <v/>
      </c>
      <c r="F1985" s="17" t="str">
        <f aca="false">IF($A1985="","",COUNTIFS(Orders!$C$2:$C$20001,$A1985,Orders!$E$2:$E$20001,"Prepaid",Orders!$F$2:$F$20001,"RTO"))</f>
        <v/>
      </c>
      <c r="G1985" s="18" t="str">
        <f aca="false">IF($A1985="","",IFERROR(F1985/E1985,0))</f>
        <v/>
      </c>
      <c r="H1985" s="19" t="str">
        <f aca="false">IF($A1985="","",C1985*Settings!$B$11)</f>
        <v/>
      </c>
      <c r="I1985" s="20" t="str">
        <f aca="false">IF($A1985="","",IF(N(H1985)=0,"",RANK(H1985,$H$5:$H$2004)))</f>
        <v/>
      </c>
      <c r="J1985" s="21" t="str">
        <f aca="false">IF($A1985="","",IF(B1985=0,"No COD orders",IF(B1985&lt;Settings!$B$8,"Too few orders",IF(D1985&gt;=Settings!$B$9,"Restrict COD or verify","Keep COD"))))</f>
        <v/>
      </c>
    </row>
    <row r="1986" customFormat="false" ht="15" hidden="false" customHeight="false" outlineLevel="0" collapsed="false">
      <c r="A1986" s="27"/>
      <c r="B1986" s="17" t="str">
        <f aca="false">IF($A1986="","",COUNTIFS(Orders!$C$2:$C$20001,$A1986,Orders!$E$2:$E$20001,"COD",Orders!$F$2:$F$20001,"Delivered")+COUNTIFS(Orders!$C$2:$C$20001,$A1986,Orders!$E$2:$E$20001,"COD",Orders!$F$2:$F$20001,"RTO"))</f>
        <v/>
      </c>
      <c r="C1986" s="17" t="str">
        <f aca="false">IF($A1986="","",COUNTIFS(Orders!$C$2:$C$20001,$A1986,Orders!$E$2:$E$20001,"COD",Orders!$F$2:$F$20001,"RTO"))</f>
        <v/>
      </c>
      <c r="D1986" s="18" t="str">
        <f aca="false">IF($A1986="","",IFERROR(C1986/B1986,0))</f>
        <v/>
      </c>
      <c r="E1986" s="17" t="str">
        <f aca="false">IF($A1986="","",COUNTIFS(Orders!$C$2:$C$20001,$A1986,Orders!$E$2:$E$20001,"Prepaid",Orders!$F$2:$F$20001,"Delivered")+COUNTIFS(Orders!$C$2:$C$20001,$A1986,Orders!$E$2:$E$20001,"Prepaid",Orders!$F$2:$F$20001,"RTO"))</f>
        <v/>
      </c>
      <c r="F1986" s="17" t="str">
        <f aca="false">IF($A1986="","",COUNTIFS(Orders!$C$2:$C$20001,$A1986,Orders!$E$2:$E$20001,"Prepaid",Orders!$F$2:$F$20001,"RTO"))</f>
        <v/>
      </c>
      <c r="G1986" s="18" t="str">
        <f aca="false">IF($A1986="","",IFERROR(F1986/E1986,0))</f>
        <v/>
      </c>
      <c r="H1986" s="19" t="str">
        <f aca="false">IF($A1986="","",C1986*Settings!$B$11)</f>
        <v/>
      </c>
      <c r="I1986" s="20" t="str">
        <f aca="false">IF($A1986="","",IF(N(H1986)=0,"",RANK(H1986,$H$5:$H$2004)))</f>
        <v/>
      </c>
      <c r="J1986" s="21" t="str">
        <f aca="false">IF($A1986="","",IF(B1986=0,"No COD orders",IF(B1986&lt;Settings!$B$8,"Too few orders",IF(D1986&gt;=Settings!$B$9,"Restrict COD or verify","Keep COD"))))</f>
        <v/>
      </c>
    </row>
    <row r="1987" customFormat="false" ht="15" hidden="false" customHeight="false" outlineLevel="0" collapsed="false">
      <c r="A1987" s="27"/>
      <c r="B1987" s="17" t="str">
        <f aca="false">IF($A1987="","",COUNTIFS(Orders!$C$2:$C$20001,$A1987,Orders!$E$2:$E$20001,"COD",Orders!$F$2:$F$20001,"Delivered")+COUNTIFS(Orders!$C$2:$C$20001,$A1987,Orders!$E$2:$E$20001,"COD",Orders!$F$2:$F$20001,"RTO"))</f>
        <v/>
      </c>
      <c r="C1987" s="17" t="str">
        <f aca="false">IF($A1987="","",COUNTIFS(Orders!$C$2:$C$20001,$A1987,Orders!$E$2:$E$20001,"COD",Orders!$F$2:$F$20001,"RTO"))</f>
        <v/>
      </c>
      <c r="D1987" s="18" t="str">
        <f aca="false">IF($A1987="","",IFERROR(C1987/B1987,0))</f>
        <v/>
      </c>
      <c r="E1987" s="17" t="str">
        <f aca="false">IF($A1987="","",COUNTIFS(Orders!$C$2:$C$20001,$A1987,Orders!$E$2:$E$20001,"Prepaid",Orders!$F$2:$F$20001,"Delivered")+COUNTIFS(Orders!$C$2:$C$20001,$A1987,Orders!$E$2:$E$20001,"Prepaid",Orders!$F$2:$F$20001,"RTO"))</f>
        <v/>
      </c>
      <c r="F1987" s="17" t="str">
        <f aca="false">IF($A1987="","",COUNTIFS(Orders!$C$2:$C$20001,$A1987,Orders!$E$2:$E$20001,"Prepaid",Orders!$F$2:$F$20001,"RTO"))</f>
        <v/>
      </c>
      <c r="G1987" s="18" t="str">
        <f aca="false">IF($A1987="","",IFERROR(F1987/E1987,0))</f>
        <v/>
      </c>
      <c r="H1987" s="19" t="str">
        <f aca="false">IF($A1987="","",C1987*Settings!$B$11)</f>
        <v/>
      </c>
      <c r="I1987" s="20" t="str">
        <f aca="false">IF($A1987="","",IF(N(H1987)=0,"",RANK(H1987,$H$5:$H$2004)))</f>
        <v/>
      </c>
      <c r="J1987" s="21" t="str">
        <f aca="false">IF($A1987="","",IF(B1987=0,"No COD orders",IF(B1987&lt;Settings!$B$8,"Too few orders",IF(D1987&gt;=Settings!$B$9,"Restrict COD or verify","Keep COD"))))</f>
        <v/>
      </c>
    </row>
    <row r="1988" customFormat="false" ht="15" hidden="false" customHeight="false" outlineLevel="0" collapsed="false">
      <c r="A1988" s="27"/>
      <c r="B1988" s="17" t="str">
        <f aca="false">IF($A1988="","",COUNTIFS(Orders!$C$2:$C$20001,$A1988,Orders!$E$2:$E$20001,"COD",Orders!$F$2:$F$20001,"Delivered")+COUNTIFS(Orders!$C$2:$C$20001,$A1988,Orders!$E$2:$E$20001,"COD",Orders!$F$2:$F$20001,"RTO"))</f>
        <v/>
      </c>
      <c r="C1988" s="17" t="str">
        <f aca="false">IF($A1988="","",COUNTIFS(Orders!$C$2:$C$20001,$A1988,Orders!$E$2:$E$20001,"COD",Orders!$F$2:$F$20001,"RTO"))</f>
        <v/>
      </c>
      <c r="D1988" s="18" t="str">
        <f aca="false">IF($A1988="","",IFERROR(C1988/B1988,0))</f>
        <v/>
      </c>
      <c r="E1988" s="17" t="str">
        <f aca="false">IF($A1988="","",COUNTIFS(Orders!$C$2:$C$20001,$A1988,Orders!$E$2:$E$20001,"Prepaid",Orders!$F$2:$F$20001,"Delivered")+COUNTIFS(Orders!$C$2:$C$20001,$A1988,Orders!$E$2:$E$20001,"Prepaid",Orders!$F$2:$F$20001,"RTO"))</f>
        <v/>
      </c>
      <c r="F1988" s="17" t="str">
        <f aca="false">IF($A1988="","",COUNTIFS(Orders!$C$2:$C$20001,$A1988,Orders!$E$2:$E$20001,"Prepaid",Orders!$F$2:$F$20001,"RTO"))</f>
        <v/>
      </c>
      <c r="G1988" s="18" t="str">
        <f aca="false">IF($A1988="","",IFERROR(F1988/E1988,0))</f>
        <v/>
      </c>
      <c r="H1988" s="19" t="str">
        <f aca="false">IF($A1988="","",C1988*Settings!$B$11)</f>
        <v/>
      </c>
      <c r="I1988" s="20" t="str">
        <f aca="false">IF($A1988="","",IF(N(H1988)=0,"",RANK(H1988,$H$5:$H$2004)))</f>
        <v/>
      </c>
      <c r="J1988" s="21" t="str">
        <f aca="false">IF($A1988="","",IF(B1988=0,"No COD orders",IF(B1988&lt;Settings!$B$8,"Too few orders",IF(D1988&gt;=Settings!$B$9,"Restrict COD or verify","Keep COD"))))</f>
        <v/>
      </c>
    </row>
    <row r="1989" customFormat="false" ht="15" hidden="false" customHeight="false" outlineLevel="0" collapsed="false">
      <c r="A1989" s="27"/>
      <c r="B1989" s="17" t="str">
        <f aca="false">IF($A1989="","",COUNTIFS(Orders!$C$2:$C$20001,$A1989,Orders!$E$2:$E$20001,"COD",Orders!$F$2:$F$20001,"Delivered")+COUNTIFS(Orders!$C$2:$C$20001,$A1989,Orders!$E$2:$E$20001,"COD",Orders!$F$2:$F$20001,"RTO"))</f>
        <v/>
      </c>
      <c r="C1989" s="17" t="str">
        <f aca="false">IF($A1989="","",COUNTIFS(Orders!$C$2:$C$20001,$A1989,Orders!$E$2:$E$20001,"COD",Orders!$F$2:$F$20001,"RTO"))</f>
        <v/>
      </c>
      <c r="D1989" s="18" t="str">
        <f aca="false">IF($A1989="","",IFERROR(C1989/B1989,0))</f>
        <v/>
      </c>
      <c r="E1989" s="17" t="str">
        <f aca="false">IF($A1989="","",COUNTIFS(Orders!$C$2:$C$20001,$A1989,Orders!$E$2:$E$20001,"Prepaid",Orders!$F$2:$F$20001,"Delivered")+COUNTIFS(Orders!$C$2:$C$20001,$A1989,Orders!$E$2:$E$20001,"Prepaid",Orders!$F$2:$F$20001,"RTO"))</f>
        <v/>
      </c>
      <c r="F1989" s="17" t="str">
        <f aca="false">IF($A1989="","",COUNTIFS(Orders!$C$2:$C$20001,$A1989,Orders!$E$2:$E$20001,"Prepaid",Orders!$F$2:$F$20001,"RTO"))</f>
        <v/>
      </c>
      <c r="G1989" s="18" t="str">
        <f aca="false">IF($A1989="","",IFERROR(F1989/E1989,0))</f>
        <v/>
      </c>
      <c r="H1989" s="19" t="str">
        <f aca="false">IF($A1989="","",C1989*Settings!$B$11)</f>
        <v/>
      </c>
      <c r="I1989" s="20" t="str">
        <f aca="false">IF($A1989="","",IF(N(H1989)=0,"",RANK(H1989,$H$5:$H$2004)))</f>
        <v/>
      </c>
      <c r="J1989" s="21" t="str">
        <f aca="false">IF($A1989="","",IF(B1989=0,"No COD orders",IF(B1989&lt;Settings!$B$8,"Too few orders",IF(D1989&gt;=Settings!$B$9,"Restrict COD or verify","Keep COD"))))</f>
        <v/>
      </c>
    </row>
    <row r="1990" customFormat="false" ht="15" hidden="false" customHeight="false" outlineLevel="0" collapsed="false">
      <c r="A1990" s="27"/>
      <c r="B1990" s="17" t="str">
        <f aca="false">IF($A1990="","",COUNTIFS(Orders!$C$2:$C$20001,$A1990,Orders!$E$2:$E$20001,"COD",Orders!$F$2:$F$20001,"Delivered")+COUNTIFS(Orders!$C$2:$C$20001,$A1990,Orders!$E$2:$E$20001,"COD",Orders!$F$2:$F$20001,"RTO"))</f>
        <v/>
      </c>
      <c r="C1990" s="17" t="str">
        <f aca="false">IF($A1990="","",COUNTIFS(Orders!$C$2:$C$20001,$A1990,Orders!$E$2:$E$20001,"COD",Orders!$F$2:$F$20001,"RTO"))</f>
        <v/>
      </c>
      <c r="D1990" s="18" t="str">
        <f aca="false">IF($A1990="","",IFERROR(C1990/B1990,0))</f>
        <v/>
      </c>
      <c r="E1990" s="17" t="str">
        <f aca="false">IF($A1990="","",COUNTIFS(Orders!$C$2:$C$20001,$A1990,Orders!$E$2:$E$20001,"Prepaid",Orders!$F$2:$F$20001,"Delivered")+COUNTIFS(Orders!$C$2:$C$20001,$A1990,Orders!$E$2:$E$20001,"Prepaid",Orders!$F$2:$F$20001,"RTO"))</f>
        <v/>
      </c>
      <c r="F1990" s="17" t="str">
        <f aca="false">IF($A1990="","",COUNTIFS(Orders!$C$2:$C$20001,$A1990,Orders!$E$2:$E$20001,"Prepaid",Orders!$F$2:$F$20001,"RTO"))</f>
        <v/>
      </c>
      <c r="G1990" s="18" t="str">
        <f aca="false">IF($A1990="","",IFERROR(F1990/E1990,0))</f>
        <v/>
      </c>
      <c r="H1990" s="19" t="str">
        <f aca="false">IF($A1990="","",C1990*Settings!$B$11)</f>
        <v/>
      </c>
      <c r="I1990" s="20" t="str">
        <f aca="false">IF($A1990="","",IF(N(H1990)=0,"",RANK(H1990,$H$5:$H$2004)))</f>
        <v/>
      </c>
      <c r="J1990" s="21" t="str">
        <f aca="false">IF($A1990="","",IF(B1990=0,"No COD orders",IF(B1990&lt;Settings!$B$8,"Too few orders",IF(D1990&gt;=Settings!$B$9,"Restrict COD or verify","Keep COD"))))</f>
        <v/>
      </c>
    </row>
    <row r="1991" customFormat="false" ht="15" hidden="false" customHeight="false" outlineLevel="0" collapsed="false">
      <c r="A1991" s="27"/>
      <c r="B1991" s="17" t="str">
        <f aca="false">IF($A1991="","",COUNTIFS(Orders!$C$2:$C$20001,$A1991,Orders!$E$2:$E$20001,"COD",Orders!$F$2:$F$20001,"Delivered")+COUNTIFS(Orders!$C$2:$C$20001,$A1991,Orders!$E$2:$E$20001,"COD",Orders!$F$2:$F$20001,"RTO"))</f>
        <v/>
      </c>
      <c r="C1991" s="17" t="str">
        <f aca="false">IF($A1991="","",COUNTIFS(Orders!$C$2:$C$20001,$A1991,Orders!$E$2:$E$20001,"COD",Orders!$F$2:$F$20001,"RTO"))</f>
        <v/>
      </c>
      <c r="D1991" s="18" t="str">
        <f aca="false">IF($A1991="","",IFERROR(C1991/B1991,0))</f>
        <v/>
      </c>
      <c r="E1991" s="17" t="str">
        <f aca="false">IF($A1991="","",COUNTIFS(Orders!$C$2:$C$20001,$A1991,Orders!$E$2:$E$20001,"Prepaid",Orders!$F$2:$F$20001,"Delivered")+COUNTIFS(Orders!$C$2:$C$20001,$A1991,Orders!$E$2:$E$20001,"Prepaid",Orders!$F$2:$F$20001,"RTO"))</f>
        <v/>
      </c>
      <c r="F1991" s="17" t="str">
        <f aca="false">IF($A1991="","",COUNTIFS(Orders!$C$2:$C$20001,$A1991,Orders!$E$2:$E$20001,"Prepaid",Orders!$F$2:$F$20001,"RTO"))</f>
        <v/>
      </c>
      <c r="G1991" s="18" t="str">
        <f aca="false">IF($A1991="","",IFERROR(F1991/E1991,0))</f>
        <v/>
      </c>
      <c r="H1991" s="19" t="str">
        <f aca="false">IF($A1991="","",C1991*Settings!$B$11)</f>
        <v/>
      </c>
      <c r="I1991" s="20" t="str">
        <f aca="false">IF($A1991="","",IF(N(H1991)=0,"",RANK(H1991,$H$5:$H$2004)))</f>
        <v/>
      </c>
      <c r="J1991" s="21" t="str">
        <f aca="false">IF($A1991="","",IF(B1991=0,"No COD orders",IF(B1991&lt;Settings!$B$8,"Too few orders",IF(D1991&gt;=Settings!$B$9,"Restrict COD or verify","Keep COD"))))</f>
        <v/>
      </c>
    </row>
    <row r="1992" customFormat="false" ht="15" hidden="false" customHeight="false" outlineLevel="0" collapsed="false">
      <c r="A1992" s="27"/>
      <c r="B1992" s="17" t="str">
        <f aca="false">IF($A1992="","",COUNTIFS(Orders!$C$2:$C$20001,$A1992,Orders!$E$2:$E$20001,"COD",Orders!$F$2:$F$20001,"Delivered")+COUNTIFS(Orders!$C$2:$C$20001,$A1992,Orders!$E$2:$E$20001,"COD",Orders!$F$2:$F$20001,"RTO"))</f>
        <v/>
      </c>
      <c r="C1992" s="17" t="str">
        <f aca="false">IF($A1992="","",COUNTIFS(Orders!$C$2:$C$20001,$A1992,Orders!$E$2:$E$20001,"COD",Orders!$F$2:$F$20001,"RTO"))</f>
        <v/>
      </c>
      <c r="D1992" s="18" t="str">
        <f aca="false">IF($A1992="","",IFERROR(C1992/B1992,0))</f>
        <v/>
      </c>
      <c r="E1992" s="17" t="str">
        <f aca="false">IF($A1992="","",COUNTIFS(Orders!$C$2:$C$20001,$A1992,Orders!$E$2:$E$20001,"Prepaid",Orders!$F$2:$F$20001,"Delivered")+COUNTIFS(Orders!$C$2:$C$20001,$A1992,Orders!$E$2:$E$20001,"Prepaid",Orders!$F$2:$F$20001,"RTO"))</f>
        <v/>
      </c>
      <c r="F1992" s="17" t="str">
        <f aca="false">IF($A1992="","",COUNTIFS(Orders!$C$2:$C$20001,$A1992,Orders!$E$2:$E$20001,"Prepaid",Orders!$F$2:$F$20001,"RTO"))</f>
        <v/>
      </c>
      <c r="G1992" s="18" t="str">
        <f aca="false">IF($A1992="","",IFERROR(F1992/E1992,0))</f>
        <v/>
      </c>
      <c r="H1992" s="19" t="str">
        <f aca="false">IF($A1992="","",C1992*Settings!$B$11)</f>
        <v/>
      </c>
      <c r="I1992" s="20" t="str">
        <f aca="false">IF($A1992="","",IF(N(H1992)=0,"",RANK(H1992,$H$5:$H$2004)))</f>
        <v/>
      </c>
      <c r="J1992" s="21" t="str">
        <f aca="false">IF($A1992="","",IF(B1992=0,"No COD orders",IF(B1992&lt;Settings!$B$8,"Too few orders",IF(D1992&gt;=Settings!$B$9,"Restrict COD or verify","Keep COD"))))</f>
        <v/>
      </c>
    </row>
    <row r="1993" customFormat="false" ht="15" hidden="false" customHeight="false" outlineLevel="0" collapsed="false">
      <c r="A1993" s="27"/>
      <c r="B1993" s="17" t="str">
        <f aca="false">IF($A1993="","",COUNTIFS(Orders!$C$2:$C$20001,$A1993,Orders!$E$2:$E$20001,"COD",Orders!$F$2:$F$20001,"Delivered")+COUNTIFS(Orders!$C$2:$C$20001,$A1993,Orders!$E$2:$E$20001,"COD",Orders!$F$2:$F$20001,"RTO"))</f>
        <v/>
      </c>
      <c r="C1993" s="17" t="str">
        <f aca="false">IF($A1993="","",COUNTIFS(Orders!$C$2:$C$20001,$A1993,Orders!$E$2:$E$20001,"COD",Orders!$F$2:$F$20001,"RTO"))</f>
        <v/>
      </c>
      <c r="D1993" s="18" t="str">
        <f aca="false">IF($A1993="","",IFERROR(C1993/B1993,0))</f>
        <v/>
      </c>
      <c r="E1993" s="17" t="str">
        <f aca="false">IF($A1993="","",COUNTIFS(Orders!$C$2:$C$20001,$A1993,Orders!$E$2:$E$20001,"Prepaid",Orders!$F$2:$F$20001,"Delivered")+COUNTIFS(Orders!$C$2:$C$20001,$A1993,Orders!$E$2:$E$20001,"Prepaid",Orders!$F$2:$F$20001,"RTO"))</f>
        <v/>
      </c>
      <c r="F1993" s="17" t="str">
        <f aca="false">IF($A1993="","",COUNTIFS(Orders!$C$2:$C$20001,$A1993,Orders!$E$2:$E$20001,"Prepaid",Orders!$F$2:$F$20001,"RTO"))</f>
        <v/>
      </c>
      <c r="G1993" s="18" t="str">
        <f aca="false">IF($A1993="","",IFERROR(F1993/E1993,0))</f>
        <v/>
      </c>
      <c r="H1993" s="19" t="str">
        <f aca="false">IF($A1993="","",C1993*Settings!$B$11)</f>
        <v/>
      </c>
      <c r="I1993" s="20" t="str">
        <f aca="false">IF($A1993="","",IF(N(H1993)=0,"",RANK(H1993,$H$5:$H$2004)))</f>
        <v/>
      </c>
      <c r="J1993" s="21" t="str">
        <f aca="false">IF($A1993="","",IF(B1993=0,"No COD orders",IF(B1993&lt;Settings!$B$8,"Too few orders",IF(D1993&gt;=Settings!$B$9,"Restrict COD or verify","Keep COD"))))</f>
        <v/>
      </c>
    </row>
    <row r="1994" customFormat="false" ht="15" hidden="false" customHeight="false" outlineLevel="0" collapsed="false">
      <c r="A1994" s="27"/>
      <c r="B1994" s="17" t="str">
        <f aca="false">IF($A1994="","",COUNTIFS(Orders!$C$2:$C$20001,$A1994,Orders!$E$2:$E$20001,"COD",Orders!$F$2:$F$20001,"Delivered")+COUNTIFS(Orders!$C$2:$C$20001,$A1994,Orders!$E$2:$E$20001,"COD",Orders!$F$2:$F$20001,"RTO"))</f>
        <v/>
      </c>
      <c r="C1994" s="17" t="str">
        <f aca="false">IF($A1994="","",COUNTIFS(Orders!$C$2:$C$20001,$A1994,Orders!$E$2:$E$20001,"COD",Orders!$F$2:$F$20001,"RTO"))</f>
        <v/>
      </c>
      <c r="D1994" s="18" t="str">
        <f aca="false">IF($A1994="","",IFERROR(C1994/B1994,0))</f>
        <v/>
      </c>
      <c r="E1994" s="17" t="str">
        <f aca="false">IF($A1994="","",COUNTIFS(Orders!$C$2:$C$20001,$A1994,Orders!$E$2:$E$20001,"Prepaid",Orders!$F$2:$F$20001,"Delivered")+COUNTIFS(Orders!$C$2:$C$20001,$A1994,Orders!$E$2:$E$20001,"Prepaid",Orders!$F$2:$F$20001,"RTO"))</f>
        <v/>
      </c>
      <c r="F1994" s="17" t="str">
        <f aca="false">IF($A1994="","",COUNTIFS(Orders!$C$2:$C$20001,$A1994,Orders!$E$2:$E$20001,"Prepaid",Orders!$F$2:$F$20001,"RTO"))</f>
        <v/>
      </c>
      <c r="G1994" s="18" t="str">
        <f aca="false">IF($A1994="","",IFERROR(F1994/E1994,0))</f>
        <v/>
      </c>
      <c r="H1994" s="19" t="str">
        <f aca="false">IF($A1994="","",C1994*Settings!$B$11)</f>
        <v/>
      </c>
      <c r="I1994" s="20" t="str">
        <f aca="false">IF($A1994="","",IF(N(H1994)=0,"",RANK(H1994,$H$5:$H$2004)))</f>
        <v/>
      </c>
      <c r="J1994" s="21" t="str">
        <f aca="false">IF($A1994="","",IF(B1994=0,"No COD orders",IF(B1994&lt;Settings!$B$8,"Too few orders",IF(D1994&gt;=Settings!$B$9,"Restrict COD or verify","Keep COD"))))</f>
        <v/>
      </c>
    </row>
    <row r="1995" customFormat="false" ht="15" hidden="false" customHeight="false" outlineLevel="0" collapsed="false">
      <c r="A1995" s="27"/>
      <c r="B1995" s="17" t="str">
        <f aca="false">IF($A1995="","",COUNTIFS(Orders!$C$2:$C$20001,$A1995,Orders!$E$2:$E$20001,"COD",Orders!$F$2:$F$20001,"Delivered")+COUNTIFS(Orders!$C$2:$C$20001,$A1995,Orders!$E$2:$E$20001,"COD",Orders!$F$2:$F$20001,"RTO"))</f>
        <v/>
      </c>
      <c r="C1995" s="17" t="str">
        <f aca="false">IF($A1995="","",COUNTIFS(Orders!$C$2:$C$20001,$A1995,Orders!$E$2:$E$20001,"COD",Orders!$F$2:$F$20001,"RTO"))</f>
        <v/>
      </c>
      <c r="D1995" s="18" t="str">
        <f aca="false">IF($A1995="","",IFERROR(C1995/B1995,0))</f>
        <v/>
      </c>
      <c r="E1995" s="17" t="str">
        <f aca="false">IF($A1995="","",COUNTIFS(Orders!$C$2:$C$20001,$A1995,Orders!$E$2:$E$20001,"Prepaid",Orders!$F$2:$F$20001,"Delivered")+COUNTIFS(Orders!$C$2:$C$20001,$A1995,Orders!$E$2:$E$20001,"Prepaid",Orders!$F$2:$F$20001,"RTO"))</f>
        <v/>
      </c>
      <c r="F1995" s="17" t="str">
        <f aca="false">IF($A1995="","",COUNTIFS(Orders!$C$2:$C$20001,$A1995,Orders!$E$2:$E$20001,"Prepaid",Orders!$F$2:$F$20001,"RTO"))</f>
        <v/>
      </c>
      <c r="G1995" s="18" t="str">
        <f aca="false">IF($A1995="","",IFERROR(F1995/E1995,0))</f>
        <v/>
      </c>
      <c r="H1995" s="19" t="str">
        <f aca="false">IF($A1995="","",C1995*Settings!$B$11)</f>
        <v/>
      </c>
      <c r="I1995" s="20" t="str">
        <f aca="false">IF($A1995="","",IF(N(H1995)=0,"",RANK(H1995,$H$5:$H$2004)))</f>
        <v/>
      </c>
      <c r="J1995" s="21" t="str">
        <f aca="false">IF($A1995="","",IF(B1995=0,"No COD orders",IF(B1995&lt;Settings!$B$8,"Too few orders",IF(D1995&gt;=Settings!$B$9,"Restrict COD or verify","Keep COD"))))</f>
        <v/>
      </c>
    </row>
    <row r="1996" customFormat="false" ht="15" hidden="false" customHeight="false" outlineLevel="0" collapsed="false">
      <c r="A1996" s="27"/>
      <c r="B1996" s="17" t="str">
        <f aca="false">IF($A1996="","",COUNTIFS(Orders!$C$2:$C$20001,$A1996,Orders!$E$2:$E$20001,"COD",Orders!$F$2:$F$20001,"Delivered")+COUNTIFS(Orders!$C$2:$C$20001,$A1996,Orders!$E$2:$E$20001,"COD",Orders!$F$2:$F$20001,"RTO"))</f>
        <v/>
      </c>
      <c r="C1996" s="17" t="str">
        <f aca="false">IF($A1996="","",COUNTIFS(Orders!$C$2:$C$20001,$A1996,Orders!$E$2:$E$20001,"COD",Orders!$F$2:$F$20001,"RTO"))</f>
        <v/>
      </c>
      <c r="D1996" s="18" t="str">
        <f aca="false">IF($A1996="","",IFERROR(C1996/B1996,0))</f>
        <v/>
      </c>
      <c r="E1996" s="17" t="str">
        <f aca="false">IF($A1996="","",COUNTIFS(Orders!$C$2:$C$20001,$A1996,Orders!$E$2:$E$20001,"Prepaid",Orders!$F$2:$F$20001,"Delivered")+COUNTIFS(Orders!$C$2:$C$20001,$A1996,Orders!$E$2:$E$20001,"Prepaid",Orders!$F$2:$F$20001,"RTO"))</f>
        <v/>
      </c>
      <c r="F1996" s="17" t="str">
        <f aca="false">IF($A1996="","",COUNTIFS(Orders!$C$2:$C$20001,$A1996,Orders!$E$2:$E$20001,"Prepaid",Orders!$F$2:$F$20001,"RTO"))</f>
        <v/>
      </c>
      <c r="G1996" s="18" t="str">
        <f aca="false">IF($A1996="","",IFERROR(F1996/E1996,0))</f>
        <v/>
      </c>
      <c r="H1996" s="19" t="str">
        <f aca="false">IF($A1996="","",C1996*Settings!$B$11)</f>
        <v/>
      </c>
      <c r="I1996" s="20" t="str">
        <f aca="false">IF($A1996="","",IF(N(H1996)=0,"",RANK(H1996,$H$5:$H$2004)))</f>
        <v/>
      </c>
      <c r="J1996" s="21" t="str">
        <f aca="false">IF($A1996="","",IF(B1996=0,"No COD orders",IF(B1996&lt;Settings!$B$8,"Too few orders",IF(D1996&gt;=Settings!$B$9,"Restrict COD or verify","Keep COD"))))</f>
        <v/>
      </c>
    </row>
    <row r="1997" customFormat="false" ht="15" hidden="false" customHeight="false" outlineLevel="0" collapsed="false">
      <c r="A1997" s="27"/>
      <c r="B1997" s="17" t="str">
        <f aca="false">IF($A1997="","",COUNTIFS(Orders!$C$2:$C$20001,$A1997,Orders!$E$2:$E$20001,"COD",Orders!$F$2:$F$20001,"Delivered")+COUNTIFS(Orders!$C$2:$C$20001,$A1997,Orders!$E$2:$E$20001,"COD",Orders!$F$2:$F$20001,"RTO"))</f>
        <v/>
      </c>
      <c r="C1997" s="17" t="str">
        <f aca="false">IF($A1997="","",COUNTIFS(Orders!$C$2:$C$20001,$A1997,Orders!$E$2:$E$20001,"COD",Orders!$F$2:$F$20001,"RTO"))</f>
        <v/>
      </c>
      <c r="D1997" s="18" t="str">
        <f aca="false">IF($A1997="","",IFERROR(C1997/B1997,0))</f>
        <v/>
      </c>
      <c r="E1997" s="17" t="str">
        <f aca="false">IF($A1997="","",COUNTIFS(Orders!$C$2:$C$20001,$A1997,Orders!$E$2:$E$20001,"Prepaid",Orders!$F$2:$F$20001,"Delivered")+COUNTIFS(Orders!$C$2:$C$20001,$A1997,Orders!$E$2:$E$20001,"Prepaid",Orders!$F$2:$F$20001,"RTO"))</f>
        <v/>
      </c>
      <c r="F1997" s="17" t="str">
        <f aca="false">IF($A1997="","",COUNTIFS(Orders!$C$2:$C$20001,$A1997,Orders!$E$2:$E$20001,"Prepaid",Orders!$F$2:$F$20001,"RTO"))</f>
        <v/>
      </c>
      <c r="G1997" s="18" t="str">
        <f aca="false">IF($A1997="","",IFERROR(F1997/E1997,0))</f>
        <v/>
      </c>
      <c r="H1997" s="19" t="str">
        <f aca="false">IF($A1997="","",C1997*Settings!$B$11)</f>
        <v/>
      </c>
      <c r="I1997" s="20" t="str">
        <f aca="false">IF($A1997="","",IF(N(H1997)=0,"",RANK(H1997,$H$5:$H$2004)))</f>
        <v/>
      </c>
      <c r="J1997" s="21" t="str">
        <f aca="false">IF($A1997="","",IF(B1997=0,"No COD orders",IF(B1997&lt;Settings!$B$8,"Too few orders",IF(D1997&gt;=Settings!$B$9,"Restrict COD or verify","Keep COD"))))</f>
        <v/>
      </c>
    </row>
    <row r="1998" customFormat="false" ht="15" hidden="false" customHeight="false" outlineLevel="0" collapsed="false">
      <c r="A1998" s="27"/>
      <c r="B1998" s="17" t="str">
        <f aca="false">IF($A1998="","",COUNTIFS(Orders!$C$2:$C$20001,$A1998,Orders!$E$2:$E$20001,"COD",Orders!$F$2:$F$20001,"Delivered")+COUNTIFS(Orders!$C$2:$C$20001,$A1998,Orders!$E$2:$E$20001,"COD",Orders!$F$2:$F$20001,"RTO"))</f>
        <v/>
      </c>
      <c r="C1998" s="17" t="str">
        <f aca="false">IF($A1998="","",COUNTIFS(Orders!$C$2:$C$20001,$A1998,Orders!$E$2:$E$20001,"COD",Orders!$F$2:$F$20001,"RTO"))</f>
        <v/>
      </c>
      <c r="D1998" s="18" t="str">
        <f aca="false">IF($A1998="","",IFERROR(C1998/B1998,0))</f>
        <v/>
      </c>
      <c r="E1998" s="17" t="str">
        <f aca="false">IF($A1998="","",COUNTIFS(Orders!$C$2:$C$20001,$A1998,Orders!$E$2:$E$20001,"Prepaid",Orders!$F$2:$F$20001,"Delivered")+COUNTIFS(Orders!$C$2:$C$20001,$A1998,Orders!$E$2:$E$20001,"Prepaid",Orders!$F$2:$F$20001,"RTO"))</f>
        <v/>
      </c>
      <c r="F1998" s="17" t="str">
        <f aca="false">IF($A1998="","",COUNTIFS(Orders!$C$2:$C$20001,$A1998,Orders!$E$2:$E$20001,"Prepaid",Orders!$F$2:$F$20001,"RTO"))</f>
        <v/>
      </c>
      <c r="G1998" s="18" t="str">
        <f aca="false">IF($A1998="","",IFERROR(F1998/E1998,0))</f>
        <v/>
      </c>
      <c r="H1998" s="19" t="str">
        <f aca="false">IF($A1998="","",C1998*Settings!$B$11)</f>
        <v/>
      </c>
      <c r="I1998" s="20" t="str">
        <f aca="false">IF($A1998="","",IF(N(H1998)=0,"",RANK(H1998,$H$5:$H$2004)))</f>
        <v/>
      </c>
      <c r="J1998" s="21" t="str">
        <f aca="false">IF($A1998="","",IF(B1998=0,"No COD orders",IF(B1998&lt;Settings!$B$8,"Too few orders",IF(D1998&gt;=Settings!$B$9,"Restrict COD or verify","Keep COD"))))</f>
        <v/>
      </c>
    </row>
    <row r="1999" customFormat="false" ht="15" hidden="false" customHeight="false" outlineLevel="0" collapsed="false">
      <c r="A1999" s="27"/>
      <c r="B1999" s="17" t="str">
        <f aca="false">IF($A1999="","",COUNTIFS(Orders!$C$2:$C$20001,$A1999,Orders!$E$2:$E$20001,"COD",Orders!$F$2:$F$20001,"Delivered")+COUNTIFS(Orders!$C$2:$C$20001,$A1999,Orders!$E$2:$E$20001,"COD",Orders!$F$2:$F$20001,"RTO"))</f>
        <v/>
      </c>
      <c r="C1999" s="17" t="str">
        <f aca="false">IF($A1999="","",COUNTIFS(Orders!$C$2:$C$20001,$A1999,Orders!$E$2:$E$20001,"COD",Orders!$F$2:$F$20001,"RTO"))</f>
        <v/>
      </c>
      <c r="D1999" s="18" t="str">
        <f aca="false">IF($A1999="","",IFERROR(C1999/B1999,0))</f>
        <v/>
      </c>
      <c r="E1999" s="17" t="str">
        <f aca="false">IF($A1999="","",COUNTIFS(Orders!$C$2:$C$20001,$A1999,Orders!$E$2:$E$20001,"Prepaid",Orders!$F$2:$F$20001,"Delivered")+COUNTIFS(Orders!$C$2:$C$20001,$A1999,Orders!$E$2:$E$20001,"Prepaid",Orders!$F$2:$F$20001,"RTO"))</f>
        <v/>
      </c>
      <c r="F1999" s="17" t="str">
        <f aca="false">IF($A1999="","",COUNTIFS(Orders!$C$2:$C$20001,$A1999,Orders!$E$2:$E$20001,"Prepaid",Orders!$F$2:$F$20001,"RTO"))</f>
        <v/>
      </c>
      <c r="G1999" s="18" t="str">
        <f aca="false">IF($A1999="","",IFERROR(F1999/E1999,0))</f>
        <v/>
      </c>
      <c r="H1999" s="19" t="str">
        <f aca="false">IF($A1999="","",C1999*Settings!$B$11)</f>
        <v/>
      </c>
      <c r="I1999" s="20" t="str">
        <f aca="false">IF($A1999="","",IF(N(H1999)=0,"",RANK(H1999,$H$5:$H$2004)))</f>
        <v/>
      </c>
      <c r="J1999" s="21" t="str">
        <f aca="false">IF($A1999="","",IF(B1999=0,"No COD orders",IF(B1999&lt;Settings!$B$8,"Too few orders",IF(D1999&gt;=Settings!$B$9,"Restrict COD or verify","Keep COD"))))</f>
        <v/>
      </c>
    </row>
    <row r="2000" customFormat="false" ht="15" hidden="false" customHeight="false" outlineLevel="0" collapsed="false">
      <c r="A2000" s="27"/>
      <c r="B2000" s="17" t="str">
        <f aca="false">IF($A2000="","",COUNTIFS(Orders!$C$2:$C$20001,$A2000,Orders!$E$2:$E$20001,"COD",Orders!$F$2:$F$20001,"Delivered")+COUNTIFS(Orders!$C$2:$C$20001,$A2000,Orders!$E$2:$E$20001,"COD",Orders!$F$2:$F$20001,"RTO"))</f>
        <v/>
      </c>
      <c r="C2000" s="17" t="str">
        <f aca="false">IF($A2000="","",COUNTIFS(Orders!$C$2:$C$20001,$A2000,Orders!$E$2:$E$20001,"COD",Orders!$F$2:$F$20001,"RTO"))</f>
        <v/>
      </c>
      <c r="D2000" s="18" t="str">
        <f aca="false">IF($A2000="","",IFERROR(C2000/B2000,0))</f>
        <v/>
      </c>
      <c r="E2000" s="17" t="str">
        <f aca="false">IF($A2000="","",COUNTIFS(Orders!$C$2:$C$20001,$A2000,Orders!$E$2:$E$20001,"Prepaid",Orders!$F$2:$F$20001,"Delivered")+COUNTIFS(Orders!$C$2:$C$20001,$A2000,Orders!$E$2:$E$20001,"Prepaid",Orders!$F$2:$F$20001,"RTO"))</f>
        <v/>
      </c>
      <c r="F2000" s="17" t="str">
        <f aca="false">IF($A2000="","",COUNTIFS(Orders!$C$2:$C$20001,$A2000,Orders!$E$2:$E$20001,"Prepaid",Orders!$F$2:$F$20001,"RTO"))</f>
        <v/>
      </c>
      <c r="G2000" s="18" t="str">
        <f aca="false">IF($A2000="","",IFERROR(F2000/E2000,0))</f>
        <v/>
      </c>
      <c r="H2000" s="19" t="str">
        <f aca="false">IF($A2000="","",C2000*Settings!$B$11)</f>
        <v/>
      </c>
      <c r="I2000" s="20" t="str">
        <f aca="false">IF($A2000="","",IF(N(H2000)=0,"",RANK(H2000,$H$5:$H$2004)))</f>
        <v/>
      </c>
      <c r="J2000" s="21" t="str">
        <f aca="false">IF($A2000="","",IF(B2000=0,"No COD orders",IF(B2000&lt;Settings!$B$8,"Too few orders",IF(D2000&gt;=Settings!$B$9,"Restrict COD or verify","Keep COD"))))</f>
        <v/>
      </c>
    </row>
    <row r="2001" customFormat="false" ht="15" hidden="false" customHeight="false" outlineLevel="0" collapsed="false">
      <c r="A2001" s="27"/>
      <c r="B2001" s="17" t="str">
        <f aca="false">IF($A2001="","",COUNTIFS(Orders!$C$2:$C$20001,$A2001,Orders!$E$2:$E$20001,"COD",Orders!$F$2:$F$20001,"Delivered")+COUNTIFS(Orders!$C$2:$C$20001,$A2001,Orders!$E$2:$E$20001,"COD",Orders!$F$2:$F$20001,"RTO"))</f>
        <v/>
      </c>
      <c r="C2001" s="17" t="str">
        <f aca="false">IF($A2001="","",COUNTIFS(Orders!$C$2:$C$20001,$A2001,Orders!$E$2:$E$20001,"COD",Orders!$F$2:$F$20001,"RTO"))</f>
        <v/>
      </c>
      <c r="D2001" s="18" t="str">
        <f aca="false">IF($A2001="","",IFERROR(C2001/B2001,0))</f>
        <v/>
      </c>
      <c r="E2001" s="17" t="str">
        <f aca="false">IF($A2001="","",COUNTIFS(Orders!$C$2:$C$20001,$A2001,Orders!$E$2:$E$20001,"Prepaid",Orders!$F$2:$F$20001,"Delivered")+COUNTIFS(Orders!$C$2:$C$20001,$A2001,Orders!$E$2:$E$20001,"Prepaid",Orders!$F$2:$F$20001,"RTO"))</f>
        <v/>
      </c>
      <c r="F2001" s="17" t="str">
        <f aca="false">IF($A2001="","",COUNTIFS(Orders!$C$2:$C$20001,$A2001,Orders!$E$2:$E$20001,"Prepaid",Orders!$F$2:$F$20001,"RTO"))</f>
        <v/>
      </c>
      <c r="G2001" s="18" t="str">
        <f aca="false">IF($A2001="","",IFERROR(F2001/E2001,0))</f>
        <v/>
      </c>
      <c r="H2001" s="19" t="str">
        <f aca="false">IF($A2001="","",C2001*Settings!$B$11)</f>
        <v/>
      </c>
      <c r="I2001" s="20" t="str">
        <f aca="false">IF($A2001="","",IF(N(H2001)=0,"",RANK(H2001,$H$5:$H$2004)))</f>
        <v/>
      </c>
      <c r="J2001" s="21" t="str">
        <f aca="false">IF($A2001="","",IF(B2001=0,"No COD orders",IF(B2001&lt;Settings!$B$8,"Too few orders",IF(D2001&gt;=Settings!$B$9,"Restrict COD or verify","Keep COD"))))</f>
        <v/>
      </c>
    </row>
    <row r="2002" customFormat="false" ht="15" hidden="false" customHeight="false" outlineLevel="0" collapsed="false">
      <c r="A2002" s="27"/>
      <c r="B2002" s="17" t="str">
        <f aca="false">IF($A2002="","",COUNTIFS(Orders!$C$2:$C$20001,$A2002,Orders!$E$2:$E$20001,"COD",Orders!$F$2:$F$20001,"Delivered")+COUNTIFS(Orders!$C$2:$C$20001,$A2002,Orders!$E$2:$E$20001,"COD",Orders!$F$2:$F$20001,"RTO"))</f>
        <v/>
      </c>
      <c r="C2002" s="17" t="str">
        <f aca="false">IF($A2002="","",COUNTIFS(Orders!$C$2:$C$20001,$A2002,Orders!$E$2:$E$20001,"COD",Orders!$F$2:$F$20001,"RTO"))</f>
        <v/>
      </c>
      <c r="D2002" s="18" t="str">
        <f aca="false">IF($A2002="","",IFERROR(C2002/B2002,0))</f>
        <v/>
      </c>
      <c r="E2002" s="17" t="str">
        <f aca="false">IF($A2002="","",COUNTIFS(Orders!$C$2:$C$20001,$A2002,Orders!$E$2:$E$20001,"Prepaid",Orders!$F$2:$F$20001,"Delivered")+COUNTIFS(Orders!$C$2:$C$20001,$A2002,Orders!$E$2:$E$20001,"Prepaid",Orders!$F$2:$F$20001,"RTO"))</f>
        <v/>
      </c>
      <c r="F2002" s="17" t="str">
        <f aca="false">IF($A2002="","",COUNTIFS(Orders!$C$2:$C$20001,$A2002,Orders!$E$2:$E$20001,"Prepaid",Orders!$F$2:$F$20001,"RTO"))</f>
        <v/>
      </c>
      <c r="G2002" s="18" t="str">
        <f aca="false">IF($A2002="","",IFERROR(F2002/E2002,0))</f>
        <v/>
      </c>
      <c r="H2002" s="19" t="str">
        <f aca="false">IF($A2002="","",C2002*Settings!$B$11)</f>
        <v/>
      </c>
      <c r="I2002" s="20" t="str">
        <f aca="false">IF($A2002="","",IF(N(H2002)=0,"",RANK(H2002,$H$5:$H$2004)))</f>
        <v/>
      </c>
      <c r="J2002" s="21" t="str">
        <f aca="false">IF($A2002="","",IF(B2002=0,"No COD orders",IF(B2002&lt;Settings!$B$8,"Too few orders",IF(D2002&gt;=Settings!$B$9,"Restrict COD or verify","Keep COD"))))</f>
        <v/>
      </c>
    </row>
    <row r="2003" customFormat="false" ht="15" hidden="false" customHeight="false" outlineLevel="0" collapsed="false">
      <c r="A2003" s="27"/>
      <c r="B2003" s="17" t="str">
        <f aca="false">IF($A2003="","",COUNTIFS(Orders!$C$2:$C$20001,$A2003,Orders!$E$2:$E$20001,"COD",Orders!$F$2:$F$20001,"Delivered")+COUNTIFS(Orders!$C$2:$C$20001,$A2003,Orders!$E$2:$E$20001,"COD",Orders!$F$2:$F$20001,"RTO"))</f>
        <v/>
      </c>
      <c r="C2003" s="17" t="str">
        <f aca="false">IF($A2003="","",COUNTIFS(Orders!$C$2:$C$20001,$A2003,Orders!$E$2:$E$20001,"COD",Orders!$F$2:$F$20001,"RTO"))</f>
        <v/>
      </c>
      <c r="D2003" s="18" t="str">
        <f aca="false">IF($A2003="","",IFERROR(C2003/B2003,0))</f>
        <v/>
      </c>
      <c r="E2003" s="17" t="str">
        <f aca="false">IF($A2003="","",COUNTIFS(Orders!$C$2:$C$20001,$A2003,Orders!$E$2:$E$20001,"Prepaid",Orders!$F$2:$F$20001,"Delivered")+COUNTIFS(Orders!$C$2:$C$20001,$A2003,Orders!$E$2:$E$20001,"Prepaid",Orders!$F$2:$F$20001,"RTO"))</f>
        <v/>
      </c>
      <c r="F2003" s="17" t="str">
        <f aca="false">IF($A2003="","",COUNTIFS(Orders!$C$2:$C$20001,$A2003,Orders!$E$2:$E$20001,"Prepaid",Orders!$F$2:$F$20001,"RTO"))</f>
        <v/>
      </c>
      <c r="G2003" s="18" t="str">
        <f aca="false">IF($A2003="","",IFERROR(F2003/E2003,0))</f>
        <v/>
      </c>
      <c r="H2003" s="19" t="str">
        <f aca="false">IF($A2003="","",C2003*Settings!$B$11)</f>
        <v/>
      </c>
      <c r="I2003" s="20" t="str">
        <f aca="false">IF($A2003="","",IF(N(H2003)=0,"",RANK(H2003,$H$5:$H$2004)))</f>
        <v/>
      </c>
      <c r="J2003" s="21" t="str">
        <f aca="false">IF($A2003="","",IF(B2003=0,"No COD orders",IF(B2003&lt;Settings!$B$8,"Too few orders",IF(D2003&gt;=Settings!$B$9,"Restrict COD or verify","Keep COD"))))</f>
        <v/>
      </c>
    </row>
    <row r="2004" customFormat="false" ht="15" hidden="false" customHeight="false" outlineLevel="0" collapsed="false">
      <c r="A2004" s="27"/>
      <c r="B2004" s="17" t="str">
        <f aca="false">IF($A2004="","",COUNTIFS(Orders!$C$2:$C$20001,$A2004,Orders!$E$2:$E$20001,"COD",Orders!$F$2:$F$20001,"Delivered")+COUNTIFS(Orders!$C$2:$C$20001,$A2004,Orders!$E$2:$E$20001,"COD",Orders!$F$2:$F$20001,"RTO"))</f>
        <v/>
      </c>
      <c r="C2004" s="17" t="str">
        <f aca="false">IF($A2004="","",COUNTIFS(Orders!$C$2:$C$20001,$A2004,Orders!$E$2:$E$20001,"COD",Orders!$F$2:$F$20001,"RTO"))</f>
        <v/>
      </c>
      <c r="D2004" s="18" t="str">
        <f aca="false">IF($A2004="","",IFERROR(C2004/B2004,0))</f>
        <v/>
      </c>
      <c r="E2004" s="17" t="str">
        <f aca="false">IF($A2004="","",COUNTIFS(Orders!$C$2:$C$20001,$A2004,Orders!$E$2:$E$20001,"Prepaid",Orders!$F$2:$F$20001,"Delivered")+COUNTIFS(Orders!$C$2:$C$20001,$A2004,Orders!$E$2:$E$20001,"Prepaid",Orders!$F$2:$F$20001,"RTO"))</f>
        <v/>
      </c>
      <c r="F2004" s="17" t="str">
        <f aca="false">IF($A2004="","",COUNTIFS(Orders!$C$2:$C$20001,$A2004,Orders!$E$2:$E$20001,"Prepaid",Orders!$F$2:$F$20001,"RTO"))</f>
        <v/>
      </c>
      <c r="G2004" s="18" t="str">
        <f aca="false">IF($A2004="","",IFERROR(F2004/E2004,0))</f>
        <v/>
      </c>
      <c r="H2004" s="19" t="str">
        <f aca="false">IF($A2004="","",C2004*Settings!$B$11)</f>
        <v/>
      </c>
      <c r="I2004" s="20" t="str">
        <f aca="false">IF($A2004="","",IF(N(H2004)=0,"",RANK(H2004,$H$5:$H$2004)))</f>
        <v/>
      </c>
      <c r="J2004" s="21" t="str">
        <f aca="false">IF($A2004="","",IF(B2004=0,"No COD orders",IF(B2004&lt;Settings!$B$8,"Too few orders",IF(D2004&gt;=Settings!$B$9,"Restrict COD or verify","Keep COD"))))</f>
        <v/>
      </c>
    </row>
    <row r="2005" customFormat="false" ht="15" hidden="false" customHeight="false" outlineLevel="0" collapsed="false">
      <c r="A2005" s="22" t="s">
        <v>87</v>
      </c>
      <c r="B2005" s="23" t="n">
        <f aca="false">SUM(B5:B2004)</f>
        <v>0</v>
      </c>
      <c r="C2005" s="23" t="n">
        <f aca="false">SUM(C5:C2004)</f>
        <v>0</v>
      </c>
      <c r="D2005" s="24" t="n">
        <f aca="false">IFERROR(C2005/B2005,0)</f>
        <v>0</v>
      </c>
      <c r="E2005" s="23" t="n">
        <f aca="false">SUM(E5:E2004)</f>
        <v>0</v>
      </c>
      <c r="F2005" s="23" t="n">
        <f aca="false">SUM(F5:F2004)</f>
        <v>0</v>
      </c>
      <c r="G2005" s="24" t="n">
        <f aca="false">IFERROR(F2005/E2005,0)</f>
        <v>0</v>
      </c>
      <c r="H2005" s="25" t="n">
        <f aca="false">SUM(H5:H2004)</f>
        <v>0</v>
      </c>
      <c r="I2005" s="26"/>
      <c r="J2005" s="26"/>
    </row>
  </sheetData>
  <autoFilter ref="A4:J20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2026-10-11T12:16:47Z</dcterms:created>
  <dc:creator>openpyxl</dc:creator>
  <dc:description/>
  <dc:language>en-US</dc:language>
  <cp:lastModifiedBy/>
  <dcterms:modified xsi:type="dcterms:W3CDTF">2026-10-11T12:16:49Z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