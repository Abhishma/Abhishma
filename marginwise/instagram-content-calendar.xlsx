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endar" sheetId="2" state="visible" r:id="rId4"/>
    <sheet name="Stories" sheetId="3" state="visible" r:id="rId5"/>
    <sheet name="How to make (no face)" sheetId="4" state="visible" r:id="rId6"/>
    <sheet name="Recording batches" sheetId="5" state="visible" r:id="rId7"/>
    <sheet name="Weekly review" sheetId="6" state="visible" r:id="rId8"/>
    <sheet name="Setup before 14 Oct" sheetId="7" state="visible" r:id="rId9"/>
  </sheets>
  <definedNames>
    <definedName function="false" hidden="true" localSheetId="1" name="_xlnm._FilterDatabase" vbProcedure="false">Calendar!$A$1:$AA$21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<sst xmlns="http://schemas.openxmlformats.org/spreadsheetml/2006/main" count="504" uniqueCount="261">
  <si>
    <t xml:space="preserve">Marginwise Instagram content calendar: 14 Oct to 15 Nov 2026</t>
  </si>
  <si>
    <t xml:space="preserve">Five weeks, 20 posts: 3 reels and 1 carousel a week, plus Stories on 4 days. Built from marginwise/instagram-playbook.md.</t>
  </si>
  <si>
    <t xml:space="preserve">Tabs</t>
  </si>
  <si>
    <t xml:space="preserve">Calendar: every post with hook, outline, step-by-step production (faceless), caption, CTA keyword and lead magnet. Fill the yellow columns after posting.</t>
  </si>
  <si>
    <t xml:space="preserve">Stories: the weekly Stories rhythm.</t>
  </si>
  <si>
    <t xml:space="preserve">How to make (no face): the kit and the step-by-step method used for every post. No camera needed.</t>
  </si>
  <si>
    <t xml:space="preserve">Recording batches: what to record in each session so you are never recording the night before.</t>
  </si>
  <si>
    <t xml:space="preserve">Weekly review: totals per week, calculated from the Calendar tab.</t>
  </si>
  <si>
    <t xml:space="preserve">Setup before 14 Oct: the checklist to finish before the first post.</t>
  </si>
  <si>
    <t xml:space="preserve">Rules</t>
  </si>
  <si>
    <t xml:space="preserve">From 18 Oct the account targets Australia, the US and the UK. Australia posts go out at 13:30 IST (19:00 Sydney); US/UK and all-market posts at 19:30 IST (afternoon in London, morning in New York). The Calendar tab shows each date's local times.</t>
  </si>
  <si>
    <t xml:space="preserve">No holiday greetings, memes or office posts. They underperformed for every competitor reviewed.</t>
  </si>
  <si>
    <t xml:space="preserve">Replace [Brand] placeholders with public pages only. Keep the tone constructive and keep logos out of thumbnails.</t>
  </si>
  <si>
    <t xml:space="preserve">Post Trial Reels first where marked; share to followers only if they hold viewers past 3 seconds.</t>
  </si>
  <si>
    <t xml:space="preserve">Do not publish a CTA keyword until its auto-DM and lead-magnet link work.</t>
  </si>
  <si>
    <t xml:space="preserve">Yellow cells are for you to fill in after posting (link, reach, saves, shares, DMs, calls).</t>
  </si>
  <si>
    <t xml:space="preserve">Week</t>
  </si>
  <si>
    <t xml:space="preserve">Date</t>
  </si>
  <si>
    <t xml:space="preserve">Day</t>
  </si>
  <si>
    <t xml:space="preserve">IST</t>
  </si>
  <si>
    <t xml:space="preserve">Sydney</t>
  </si>
  <si>
    <t xml:space="preserve">London</t>
  </si>
  <si>
    <t xml:space="preserve">New York</t>
  </si>
  <si>
    <t xml:space="preserve">Format</t>
  </si>
  <si>
    <t xml:space="preserve">Pillar</t>
  </si>
  <si>
    <t xml:space="preserve">Market</t>
  </si>
  <si>
    <t xml:space="preserve">Hook (on screen)</t>
  </si>
  <si>
    <t xml:space="preserve">Outline</t>
  </si>
  <si>
    <t xml:space="preserve">Step by step (no face)</t>
  </si>
  <si>
    <t xml:space="preserve">Caption</t>
  </si>
  <si>
    <t xml:space="preserve">CTA keyword</t>
  </si>
  <si>
    <t xml:space="preserve">Lead magnet</t>
  </si>
  <si>
    <t xml:space="preserve">Trial Reel first?</t>
  </si>
  <si>
    <t xml:space="preserve">Pin?</t>
  </si>
  <si>
    <t xml:space="preserve">Recording batch</t>
  </si>
  <si>
    <t xml:space="preserve">Status</t>
  </si>
  <si>
    <t xml:space="preserve">Post link</t>
  </si>
  <si>
    <t xml:space="preserve">Reach</t>
  </si>
  <si>
    <t xml:space="preserve">Saves</t>
  </si>
  <si>
    <t xml:space="preserve">Shares</t>
  </si>
  <si>
    <t xml:space="preserve">Comments</t>
  </si>
  <si>
    <t xml:space="preserve">DMs</t>
  </si>
  <si>
    <t xml:space="preserve">Calls booked</t>
  </si>
  <si>
    <t xml:space="preserve">Wed</t>
  </si>
  <si>
    <t xml:space="preserve">19:30</t>
  </si>
  <si>
    <t xml:space="preserve">01:00</t>
  </si>
  <si>
    <t xml:space="preserve">15:00</t>
  </si>
  <si>
    <t xml:space="preserve">10:00</t>
  </si>
  <si>
    <t xml:space="preserve">Reel (60s)</t>
  </si>
  <si>
    <t xml:space="preserve">Proof and trust</t>
  </si>
  <si>
    <t xml:space="preserve">All</t>
  </si>
  <si>
    <t xml:space="preserve">Every agency sells you ROAS. We sell you margin. This is what that looks like.</t>
  </si>
  <si>
    <t xml:space="preserve">Screen walkthrough of a Marginwise audit on a demo store (your own Shopify dev store or a public store, no client data): 1) funnel numbers, 2) three leaks ranked by revenue impact, 3) the one fix to ship this week, 4) the written summary the founder gets. Close on the four services and who it is not for.</t>
  </si>
  <si>
    <t xml:space="preserve">1. Record: Screen-record (desktop, QuickTime or OBS, 1080p) a walkthrough of an audit on a demo store: GA4 funnel, three leaks marked in a doc, the one-page written summary. Use a Shopify dev store or public pages only.
2. Script the voiceover (about 25 words for 10 seconds): hook, the work, the CTA. Open with: 'This is what we look at before we touch your ads.'
3. Voiceover: record in a quiet room on your phone (Voice Memos or CapCut &gt; Audio &gt; Record). One clean take; no AI voice.
4. Edit in CapCut (9:16): drop in recordings, lay voiceover, Auto captions on (white, bold, lower third), hook text on screen for the first 2 seconds. Zoom (keyframes) on each leak as you name it; red box highlights. Pin this post after publishing.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</si>
  <si>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agencies report ROAS. We report what you keep.
This is what a Marginwise audit looks like: your funnel, your three biggest leaks ranked by revenue impact, one fix to ship this week, and a written summary.
CRO, performance marketing, UX and app development for D2C and Shopify brands in India, the US and the UK.
Comment AUDIT and we will send you a 2-minute teardown of your store.
#d2c #shopify #ecommercegrowth</t>
  </si>
  <si>
    <t xml:space="preserve">AUDIT</t>
  </si>
  <si>
    <t xml:space="preserve">marginwise-store-leak-audit.pdf + free 2-min teardown</t>
  </si>
  <si>
    <t xml:space="preserve">No</t>
  </si>
  <si>
    <t xml:space="preserve">Yes</t>
  </si>
  <si>
    <t xml:space="preserve">Batch 1</t>
  </si>
  <si>
    <t xml:space="preserve">Planned</t>
  </si>
  <si>
    <t xml:space="preserve">Fri</t>
  </si>
  <si>
    <t xml:space="preserve">Reel (45s)</t>
  </si>
  <si>
    <t xml:space="preserve">Margin math</t>
  </si>
  <si>
    <t xml:space="preserve">Intl</t>
  </si>
  <si>
    <t xml:space="preserve">Your ROAS says 3x. Your bank account disagrees.</t>
  </si>
  <si>
    <t xml:space="preserve">Show 3x ROAS on screen. Remove over-attribution, returns, COGS, shipping, payment fees one by one. Land on contribution after ads. End: track contribution margin per order, not ROAS.</t>
  </si>
  <si>
    <t xml:space="preserve">1. Record: Screen-record the PROFIT calculator (ROAS to Profit tab) at 150% zoom, typing in a 3x ROAS store and watching contribution turn negative.
2. Script the voiceover (about 25 words for 10 seconds): hook, the work, the CTA. Say each cost as it is subtracted; end on the break-even ROAS cell.
3. Voiceover: record in a quiet room on your phone (Voice Memos or CapCut &gt; Audio &gt; Record). One clean take; no AI voice.
4. Edit in CapCut (9:16): drop in recordings, lay voiceover, Auto captions on (white, bold, lower third), hook text on screen for the first 2 seconds. Highlight the cell being changed each time; end frame on the verdict cell.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</si>
  <si>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ROAS is not profit. Here is what a 3x ROAS can actually leave you with once over-attribution, returns, product cost, shipping and fees come out.
Comment PROFIT and we will send you the calculator to run it on your own numbers.
#shopify #metaads #dtc</t>
  </si>
  <si>
    <t xml:space="preserve">PROFIT</t>
  </si>
  <si>
    <t xml:space="preserve">marginwise-profit-calculator-usd.xlsx + marginwise-roas-to-profit-checklist.pdf</t>
  </si>
  <si>
    <t xml:space="preserve">Sat</t>
  </si>
  <si>
    <t xml:space="preserve">Carousel (7 slides)</t>
  </si>
  <si>
    <t xml:space="preserve">Where D2C revenue leaks: 4 numbers every founder should know</t>
  </si>
  <si>
    <t xml:space="preserve">S1 hook. S2 70.22% of carts abandoned (Baymard). S3 35% conversion gain from better checkout design (Baymard). S4 8.4% more conversions from 0.1s faster mobile (Deloitte/Google). S5 26% RTO on COD vs under 2% prepaid (Shipway FY25). S6 what to fix first. S7 CTA.</t>
  </si>
  <si>
    <t xml:space="preserve">1. Canva &gt; Instagram Post (portrait) 1080x1350. Use one template for every carousel: navy background, white text, one idea per slide.
2. Slide copy: take it from the Outline column. Max 25 words per slide. Big number top half, one-line meaning and 'what to fix' bottom half.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</si>
  <si>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Four published numbers that explain where most D2C stores lose revenue, and what to fix first for each. Sources on every slide.
Save this for your next growth review. Comment AUDIT if you want us to check your store against them.
#ecommerce #cro #d2cbrands</t>
  </si>
  <si>
    <t xml:space="preserve">Design</t>
  </si>
  <si>
    <t xml:space="preserve">Sun</t>
  </si>
  <si>
    <t xml:space="preserve">Reel (10s)</t>
  </si>
  <si>
    <t xml:space="preserve">SEO/AEO/GEO</t>
  </si>
  <si>
    <t xml:space="preserve">We asked ChatGPT to recommend a brand in your category. Were you in the answer?</t>
  </si>
  <si>
    <t xml:space="preserve">Screen-record asking ChatGPT, Perplexity and Google (AI Overview) the same buying question for one category, for example 'best running socks in Australia'. Show which brands get named and which don't. Takeaway: AI search is a new shelf, and you can work on getting onto it.</t>
  </si>
  <si>
    <t xml:space="preserve">1. Record: Screen-record (desktop) ChatGPT, Perplexity and Google with the same buying question; scroll the answers slowly.
2. Script the voiceover (about 25 words for 10 seconds): hook, the work, the CTA. Open: 'We asked AI what to buy.' End on 'Comment GEO'.
3. Voiceover: record in a quiet room on your phone (Voice Memos or CapCut &gt; Audio &gt; Record). One clean take; no AI voice.
4. Edit in CapCut (9:16): drop in recordings, lay voiceover, Auto captions on (white, bold, lower third), hook text on screen for the first 2 seconds. Highlight each brand name the AI mentions; blur nothing needed, these are public answers.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</si>
  <si>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Shoppers now ask ChatGPT, Perplexity and Google's AI answers what to buy. Some brands get named. Most don't.
Getting into those answers is a mix of SEO, clear product pages and being mentioned in the right places.
Comment GEO and we will send you the AI search visibility checklist.
#aisearch #seo #shopify</t>
  </si>
  <si>
    <t xml:space="preserve">GEO</t>
  </si>
  <si>
    <t xml:space="preserve">marginwise-ai-search-visibility-checklist.pdf</t>
  </si>
  <si>
    <t xml:space="preserve">Tue</t>
  </si>
  <si>
    <t xml:space="preserve">13:30</t>
  </si>
  <si>
    <t xml:space="preserve">19:00</t>
  </si>
  <si>
    <t xml:space="preserve">09:00</t>
  </si>
  <si>
    <t xml:space="preserve">04:00</t>
  </si>
  <si>
    <t xml:space="preserve">CRO</t>
  </si>
  <si>
    <t xml:space="preserve">AU</t>
  </si>
  <si>
    <t xml:space="preserve">[Brand] does everything right on this page except one thing.</t>
  </si>
  <si>
    <t xml:space="preserve">Phone screen-record a well-known Australian brand's mobile product page. Two strengths, one leak (shipping cost hidden until checkout, Afterpay message buried, reviews too low, or a slow image). What that leak costs.</t>
  </si>
  <si>
    <t xml:space="preserve">1. Record: Phone screen-record the Australian brand's mobile product page: scroll, add to cart, open cart. Do Not Disturb on.
2. Script the voiceover (about 25 words for 10 seconds): hook, the work, the CTA. Two things it does well, then the one leak and what it costs.
3. Voiceover: record in a quiet room on your phone (Voice Memos or CapCut &gt; Audio &gt; Record). One clean take; no AI voice.
4. Edit in CapCut (9:16): drop in recordings, lay voiceover, Auto captions on (white, bold, lower third), hook text on screen for the first 2 seconds. Red circle on the leak; slow zoom.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</si>
  <si>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A product page teardown of an Australian brand: what converts, what leaks, and what the leak costs.
Want this for your store? Comment AUDIT.
#shopifyaustralia #ecommerceaustralia #cro</t>
  </si>
  <si>
    <t xml:space="preserve">Thu</t>
  </si>
  <si>
    <t xml:space="preserve">Performance marketing</t>
  </si>
  <si>
    <t xml:space="preserve">US/UK</t>
  </si>
  <si>
    <t xml:space="preserve">Before you raise your Meta budget, check these 3 numbers.</t>
  </si>
  <si>
    <t xml:space="preserve">Screen-record the PROFIT calculator. 1) Break-even ROAS, 2) contribution per order after ads, 3) new vs returning customer share in Shopify. If any is off, more budget scales the loss.</t>
  </si>
  <si>
    <t xml:space="preserve">1. Record: Screen-record the PROFIT calculator at 150% zoom, then Shopify's new vs returning customer report (demo store).
2. Script the voiceover (about 25 words for 10 seconds): hook, the work, the CTA. One sentence per number; end on 'more budget scales the loss'.
3. Voiceover: record in a quiet room on your phone (Voice Memos or CapCut &gt; Audio &gt; Record). One clean take; no AI voice.
4. Edit in CapCut (9:16): drop in recordings, lay voiceover, Auto captions on (white, bold, lower third), hook text on screen for the first 2 seconds. Highlight each number as you name 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</si>
  <si>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More budget does not fix a campaign that loses money on every order. It scales it.
Check break-even ROAS, contribution after ads and your new-customer share first.
Comment PROFIT for the calculator.
#metaads #performancemarketing #shopify</t>
  </si>
  <si>
    <t xml:space="preserve">How to show up when shoppers ask AI what to buy</t>
  </si>
  <si>
    <t xml:space="preserve">S1 hook. S2 AI answers pull from pages they can read: check your robots.txt and site speed. S3 product pages that answer real questions (sizing, materials, delivery, returns). S4 structured data: Product, Offer, Review and FAQ schema. S5 reviews and mentions on other sites, not only your own. S6 test it monthly: ask ChatGPT, Perplexity and Google the same 5 buying questions and log who appears. S7 CTA.</t>
  </si>
  <si>
    <t xml:space="preserve">1. Canva &gt; Instagram Post (portrait) 1080x1350. Use one template for every carousel: navy background, white text, one idea per slide.
2. Slide copy: take it from the Outline column. Max 25 words per slide. Same template as the first carousel. Check every claim against its source line.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</si>
  <si>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SEO still matters. AI search adds a second test: can an AI answer engine read your pages, trust them and quote them?
Five things you control, and a simple monthly test.
Comment GEO for the full checklist.
#aeo #geo #seo</t>
  </si>
  <si>
    <t xml:space="preserve">14:00</t>
  </si>
  <si>
    <t xml:space="preserve">Save these 5 checkout pages before you redesign yours.</t>
  </si>
  <si>
    <t xml:space="preserve">Phone screen-record five public checkouts from US, UK and Australian brands. One thing each does well: delivery date, express pay (Shop Pay, Apple Pay, Afterpay, Klarna), guest checkout, trust near the pay button, order summary.</t>
  </si>
  <si>
    <t xml:space="preserve">1. Record: Phone screen-record five public checkouts (US, UK, AU); stop before payment. 2 seconds each.
2. Script the voiceover (about 25 words for 10 seconds): hook, the work, the CTA. One line per checkout: what it does well.
3. Voiceover: record in a quiet room on your phone (Voice Memos or CapCut &gt; Audio &gt; Record). One clean take; no AI voice.
4. Edit in CapCut (9:16): drop in recordings, lay voiceover, Auto captions on (white, bold, lower third), hook text on screen for the first 2 seconds. Numbered labels 1-5; 'Save this' on the final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</si>
  <si>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Five checkouts worth studying before your next redesign, and the one thing each gets right.
Save this. Comment AUDIT if you want yours reviewed.
#checkout #shopify #cro</t>
  </si>
  <si>
    <t xml:space="preserve">7 out of 10 people who add to cart never buy.</t>
  </si>
  <si>
    <t xml:space="preserve">Baymard: 70.22% average cart abandonment across 50 studies. Three fixable reasons: surprise costs, forced account creation, too many steps. One fix for each on a Shopify checkout.</t>
  </si>
  <si>
    <t xml:space="preserve">1. Record: Phone screen-record a checkout with a surprise shipping cost, a forced account screen and a long form (public stores).
2. Script the voiceover (about 25 words for 10 seconds): hook, the work, the CTA. Lead with Baymard's 70.22%; one fix per problem.
3. Voiceover: record in a quiet room on your phone (Voice Memos or CapCut &gt; Audio &gt; Record). One clean take; no AI voice.
4. Edit in CapCut (9:16): drop in recordings, lay voiceover, Auto captions on (white, bold, lower third), hook text on screen for the first 2 seconds. Problem on top, fix as text below.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</si>
  <si>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Cart abandonment averages 70% (Baymard Institute). Three fixes that do not need a redesign.
Comment AUDIT for the 30-point store leak audit.
#checkout #shopifytips #ecommerce</t>
  </si>
  <si>
    <t xml:space="preserve">Batch 2</t>
  </si>
  <si>
    <t xml:space="preserve">AI solutions</t>
  </si>
  <si>
    <t xml:space="preserve">This is what an AI support assistant for a Shopify store looks like.</t>
  </si>
  <si>
    <t xml:space="preserve">Screen-record a demo on a Shopify development store: a shopper asks 'where is my order' and 'can I return this', the assistant answers from store policies and order status, and hands over to a person when it is unsure. Demo store only, no client data.</t>
  </si>
  <si>
    <t xml:space="preserve">1. Record: Screen-record a support assistant demo on a Shopify development store (Shopify Inbox, or the tool you use). Demo data only.
2. Script the voiceover (about 25 words for 10 seconds): hook, the work, the CTA. Two shopper questions, the answers, then the hand-over to a person.
3. Voiceover: record in a quiet room on your phone (Voice Memos or CapCut &gt; Audio &gt; Record). One clean take; no AI voice.
4. Edit in CapCut (9:16): drop in recordings, lay voiceover, Auto captions on (white, bold, lower third), hook text on screen for the first 2 seconds. Text callouts: 'answers from your policies', 'hands over when unsure'.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</si>
  <si>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Most support tickets are the same five questions. An AI assistant can answer them in seconds, from your own policies, and pass anything unusual to your team.
Comment AI for 10 AI builds worth starting with for ecommerce brands.
#aiforbusiness #shopify #ecommerce</t>
  </si>
  <si>
    <t xml:space="preserve">AI</t>
  </si>
  <si>
    <t xml:space="preserve">marginwise-ai-for-ecommerce-builds.pdf</t>
  </si>
  <si>
    <t xml:space="preserve">Carousel (6 slides)</t>
  </si>
  <si>
    <t xml:space="preserve">How US, UK and Australian brands work with a team in India</t>
  </si>
  <si>
    <t xml:space="preserve">S1 hook. S2 overlap hours: London afternoons and US mornings are India's evening; Sydney evenings are India's afternoon. S3 weekly written update, with a redacted example. S4 one senior contact. S5 billing in USD, GBP or AUD, NDA, 30-day notice. S6 CTA.</t>
  </si>
  <si>
    <t xml:space="preserve">The three things founders worry about with an offshore team, and exactly how we handle each one.
Comment CHECKLIST for the questions to ask any agency, us included.
#ecommerceagency #shopifyexperts #dtc</t>
  </si>
  <si>
    <t xml:space="preserve">CHECKLIST</t>
  </si>
  <si>
    <t xml:space="preserve">marginwise-agency-checklist.pdf</t>
  </si>
  <si>
    <t xml:space="preserve">How we use AI in a store audit, and what we never hand to it.</t>
  </si>
  <si>
    <t xml:space="preserve">Screen-record: AI summarises 500 product reviews into the top objections, drafts test ideas and writes the first pass of the report. Then show what a person does: checks the data, decides priorities, writes the recommendation.</t>
  </si>
  <si>
    <t xml:space="preserve">1. Record: Screen-record an AI tool summarising public reviews of a demo product, then your audit doc where you set priorities.
2. Script the voiceover (about 25 words for 10 seconds): hook, the work, the CTA. What AI does, then what a person does.
3. Voiceover: record in a quiet room on your phone (Voice Memos or CapCut &gt; Audio &gt; Record). One clean take; no AI voice.
4. Edit in CapCut (9:16): drop in recordings, lay voiceover, Auto captions on (white, bold, lower third), hook text on screen for the first 2 seconds. Split screen: 'AI' on top, 'Person' below.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</si>
  <si>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AI makes our audits faster: it reads every review, drafts test ideas and does the first pass of the report.
It does not decide what to fix first. A person who has built D2C products does that.
Comment AUDIT for a free 2-minute teardown of your store.
#ai #cro #ecommerce</t>
  </si>
  <si>
    <t xml:space="preserve">Retention</t>
  </si>
  <si>
    <t xml:space="preserve">Rating post-purchase emails. This one is a 2/10.</t>
  </si>
  <si>
    <t xml:space="preserve">Screenshot three order confirmation emails (your own inbox, details blurred). Score each with one reason; end on what a 9/10 contains.</t>
  </si>
  <si>
    <t xml:space="preserve">1. Record: Screenshot three order confirmation emails from your own inbox; blur names, order numbers and addresses.
2. Script the voiceover (about 25 words for 10 seconds): hook, the work, the CTA. Score each out of 10 with one reason.
3. Voiceover: record in a quiet room on your phone (Voice Memos or CapCut &gt; Audio &gt; Record). One clean take; no AI voice.
4. Edit in CapCut (9:16): drop in recordings, lay voiceover, Auto captions on (white, bold, lower third), hook text on screen for the first 2 seconds. Big score number on each email.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</si>
  <si>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Your order confirmation email is the most-opened email you send. Most brands waste it on a receipt.
Comment FLOWS for the post-purchase checklist and a 10-point scorecard.
#klaviyo #emailmarketing #dtc</t>
  </si>
  <si>
    <t xml:space="preserve">FLOWS</t>
  </si>
  <si>
    <t xml:space="preserve">marginwise-post-purchase-email-checklist.pdf</t>
  </si>
  <si>
    <t xml:space="preserve">Website development</t>
  </si>
  <si>
    <t xml:space="preserve">A tenth of a second changed conversions by 8.4%.</t>
  </si>
  <si>
    <t xml:space="preserve">Deloitte/Google study of 37 brands. Run a public store through PageSpeed and show the three usual culprits: app scripts, oversized images, third-party widgets. Fix speed before buying more traffic.</t>
  </si>
  <si>
    <t xml:space="preserve">1. Record: Screen-record pagespeed.web.dev on a public Shopify store, then the opportunities list.
2. Script the voiceover (about 25 words for 10 seconds): hook, the work, the CTA. Lead with 0.1s = 8.4%; name the three culprits.
3. Voiceover: record in a quiet room on your phone (Voice Memos or CapCut &gt; Audio &gt; Record). One clean take; no AI voice.
4. Edit in CapCut (9:16): drop in recordings, lay voiceover, Auto captions on (white, bold, lower third), hook text on screen for the first 2 seconds. Highlight the three culprits as you name them.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</si>
  <si>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Fix speed before you buy more traffic. The three culprits on most Shopify stores.
Comment SPEED and we will check your store.
#shopifyspeed #webdevelopment #cro</t>
  </si>
  <si>
    <t xml:space="preserve">SPEED</t>
  </si>
  <si>
    <t xml:space="preserve">marginwise-shopify-speed-checklist.pdf + speed check</t>
  </si>
  <si>
    <t xml:space="preserve">Carousel (8 slides)</t>
  </si>
  <si>
    <t xml:space="preserve">Black Friday checklist: 7 checkout fixes before 27 November</t>
  </si>
  <si>
    <t xml:space="preserve">One fix per slide: shipping cost shown early, guest checkout, express pay (Shop Pay, Apple Pay, Afterpay, Klarna), delivery date, honest offer messaging, mobile speed, post-purchase upsell that keeps margin. Final slide CTA.</t>
  </si>
  <si>
    <t xml:space="preserve">Seven checkout fixes you can still ship before Black Friday and Click Frenzy, none of which need a redesign.
Comment BFCM for the full checklist with a sale timeline.
#blackfriday #bfcm #clickfrenzy</t>
  </si>
  <si>
    <t xml:space="preserve">BFCM</t>
  </si>
  <si>
    <t xml:space="preserve">marginwise-black-friday-checklist.pdf</t>
  </si>
  <si>
    <t xml:space="preserve">Theme, custom build or headless? Most stores pick the wrong one.</t>
  </si>
  <si>
    <t xml:space="preserve">Screen-record three stores side by side. Theme: fastest and cheapest, fine for most stores under a certain size. Custom Shopify build: when the brand or the funnel needs it. Headless: when you have the team to maintain it. One question to decide: who will maintain it next year?</t>
  </si>
  <si>
    <t xml:space="preserve">1. Record: Screen-record three public stores: one on a standard theme, one custom, one headless.
2. Script the voiceover (about 25 words for 10 seconds): hook, the work, the CTA. One line per option and who it suits; end on the maintenance question.
3. Voiceover: record in a quiet room on your phone (Voice Memos or CapCut &gt; Audio &gt; Record). One clean take; no AI voice.
4. Edit in CapCut (9:16): drop in recordings, lay voiceover, Auto captions on (white, bold, lower third), hook text on screen for the first 2 seconds. Labels: Theme, Custom, Headless.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</si>
  <si>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 new website is a business decision, not a design one. Pick the build you can afford to maintain.
Comment AUDIT and we will tell you which one your store needs.
#shopify #webdevelopment #headless</t>
  </si>
  <si>
    <t xml:space="preserve">Batch 3</t>
  </si>
  <si>
    <t xml:space="preserve">Buy now, pay later is not free. Here's what it costs you.</t>
  </si>
  <si>
    <t xml:space="preserve">Afterpay, Klarna, Clearpay and Affirm all charge a merchant fee on every order. Enter your own BNPL fee in the PROFIT calculator's payment fee line and show contribution per order before and after. Three levers: show BNPL above a minimum order value, bundle to lift AOV, steer repeat buyers to cheaper payment.</t>
  </si>
  <si>
    <t xml:space="preserve">1. Record: Screen-record the PROFIT calculator: raise the payment fee to your BNPL fee, then raise AOV to recover margin.
2. Script the voiceover (about 25 words for 10 seconds): hook, the work, the CTA. Before vs after contribution per order; three levers.
3. Voiceover: record in a quiet room on your phone (Voice Memos or CapCut &gt; Audio &gt; Record). One clean take; no AI voice.
4. Edit in CapCut (9:16): drop in recordings, lay voiceover, Auto captions on (white, bold, lower third), hook text on screen for the first 2 seconds. Before/after numbers side by side.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</si>
  <si>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BNPL can lift conversion, but every order pays a merchant fee. Know what it does to your margin before you push it.
Comment PROFIT for the calculator and run it with your own fee.
#afterpay #klarna #ecommerce</t>
  </si>
  <si>
    <t xml:space="preserve">AI-written product descriptions: 3 rules so they sell, rank and get cited.</t>
  </si>
  <si>
    <t xml:space="preserve">Screen-record an AI tool drafting a product description from a spec sheet, then edit it live: 1) add the facts shoppers ask about (size, material, care, delivery), 2) write for the questions people search, 3) a person checks every claim before it goes live.</t>
  </si>
  <si>
    <t xml:space="preserve">1. Record: Screen-record an AI tool drafting a product description for a demo product, then your edits in the Shopify editor.
2. Script the voiceover (about 25 words for 10 seconds): hook, the work, the CTA. The three rules, one per edit.
3. Voiceover: record in a quiet room on your phone (Voice Memos or CapCut &gt; Audio &gt; Record). One clean take; no AI voice.
4. Edit in CapCut (9:16): drop in recordings, lay voiceover, Auto captions on (white, bold, lower third), hook text on screen for the first 2 seconds. Strike-through on generic lines, highlight on added facts.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</si>
  <si>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AI can write 500 product descriptions in an hour. Without rules, they all sound the same and answer nothing.
Three rules we use so they sell, rank in search and get quoted by AI answers.
Comment AI for 10 AI builds worth starting with.
#ai #seo #shopify</t>
  </si>
  <si>
    <t xml:space="preserve">After Black Friday: turn sale buyers into repeat buyers</t>
  </si>
  <si>
    <t xml:space="preserve">S1 hook. S2 why sale buyers churn. S3 the delivered and how-to-use email. S4 review request timing. S5 replenishment timed to your data. S6 win-back without a discount first. S7 CTA.</t>
  </si>
  <si>
    <t xml:space="preserve">Sale buyers are the easiest to lose. Five emails that bring them back without giving away margin.
Comment FLOWS for the full checklist.
#retention #emailmarketing #dtc</t>
  </si>
  <si>
    <t xml:space="preserve">We audited [N] stores this month. The same 3 leaks showed up in [X] of them.</t>
  </si>
  <si>
    <t xml:space="preserve">Only post if the audits are real; use the actual count. Three most common leaks, anonymised. If fewer than 5 audits are done, swap for a second Australian teardown.</t>
  </si>
  <si>
    <t xml:space="preserve">1. Record: Screen-record a tally of audits you actually ran (store names hidden) and anonymised screenshots of the three leaks.
2. Script the voiceover (about 25 words for 10 seconds): hook, the work, the CTA. Use the real count; if under 5, record a second Australian teardown instead.
3. Voiceover: record in a quiet room on your phone (Voice Memos or CapCut &gt; Audio &gt; Record). One clean take; no AI voice.
4. Edit in CapCut (9:16): drop in recordings, lay voiceover, Auto captions on (white, bold, lower third), hook text on screen for the first 2 seconds. Counter for each leak's tally.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</si>
  <si>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we keep finding when we audit ecommerce stores, with no names attached.
Comment AUDIT to get yours.
#ecommerce #cro #shopify</t>
  </si>
  <si>
    <t xml:space="preserve">Story type</t>
  </si>
  <si>
    <t xml:space="preserve">What to post</t>
  </si>
  <si>
    <t xml:space="preserve">Sticker</t>
  </si>
  <si>
    <t xml:space="preserve">Why</t>
  </si>
  <si>
    <t xml:space="preserve">Monday</t>
  </si>
  <si>
    <t xml:space="preserve">Poll</t>
  </si>
  <si>
    <t xml:space="preserve">One question for founders, alternating markets. Examples: 'What is your COD share? Under 30% / Over 30%'; 'Do you track contribution margin weekly? Yes / No'.</t>
  </si>
  <si>
    <t xml:space="preserve">Two-way interaction now ranks; poll answers tell you what to post next.</t>
  </si>
  <si>
    <t xml:space="preserve">Wednesday</t>
  </si>
  <si>
    <t xml:space="preserve">Behind the scenes</t>
  </si>
  <si>
    <t xml:space="preserve">15 seconds from a teardown in progress: the store on screen, one thing you spotted. No client names.</t>
  </si>
  <si>
    <t xml:space="preserve">Question box: 'Want yours next?'</t>
  </si>
  <si>
    <t xml:space="preserve">Shows the work, feeds AUDIT requests.</t>
  </si>
  <si>
    <t xml:space="preserve">Friday</t>
  </si>
  <si>
    <t xml:space="preserve">Reel share</t>
  </si>
  <si>
    <t xml:space="preserve">Share the week's best-performing reel with a one-line takeaway.</t>
  </si>
  <si>
    <t xml:space="preserve">Link: marginwise.in booking</t>
  </si>
  <si>
    <t xml:space="preserve">Stories with link stickers are the highest-intent surface.</t>
  </si>
  <si>
    <t xml:space="preserve">Sunday</t>
  </si>
  <si>
    <t xml:space="preserve">Answer</t>
  </si>
  <si>
    <t xml:space="preserve">Answer one question from DMs as 2-3 text frames over a screen recording or screenshot of the relevant page.</t>
  </si>
  <si>
    <t xml:space="preserve">None</t>
  </si>
  <si>
    <t xml:space="preserve">Turns DMs into content and shows you reply.</t>
  </si>
  <si>
    <t xml:space="preserve">Step</t>
  </si>
  <si>
    <t xml:space="preserve">How</t>
  </si>
  <si>
    <t xml:space="preserve">Kit</t>
  </si>
  <si>
    <t xml:space="preserve">Laptop with QuickTime (Mac) or OBS (Windows) for desktop recording; phone screen recorder; CapCut (free); Canva (free); wired earphones with mic or any USB mic. No camera needed.</t>
  </si>
  <si>
    <t xml:space="preserve">Before recording</t>
  </si>
  <si>
    <t xml:space="preserve">Do Not Disturb on, browser in a clean profile (no bookmarks, no logged-in personal accounts), zoom browser to 125-150% so text is readable on a phone.</t>
  </si>
  <si>
    <t xml:space="preserve">Recording</t>
  </si>
  <si>
    <t xml:space="preserve">Move the cursor slowly and pause 1 second on anything you will talk about. Record 20% more than you need.</t>
  </si>
  <si>
    <t xml:space="preserve">Voiceover</t>
  </si>
  <si>
    <t xml:space="preserve">Your own voice, phone held 15 cm away, in a room with soft furnishings. Read from the script, then do one natural take without reading; use whichever sounds less scripted. Instagram rewards real human content; skip AI voices.</t>
  </si>
  <si>
    <t xml:space="preserve">If you do not want to use your voice</t>
  </si>
  <si>
    <t xml:space="preserve">Text-only version: put each script line as a caption block (3-4 words per screen), add quiet background music from CapCut's commercial library. Expect lower watch time; test it as a Trial Reel first.</t>
  </si>
  <si>
    <t xml:space="preserve">Editing</t>
  </si>
  <si>
    <t xml:space="preserve">CapCut: 9:16, Auto captions, hook text in the first 2 seconds, cut every pause over half a second, zoom and red-box highlights on whatever you name. Length 10 seconds; Google Flow clips work as b-roll.</t>
  </si>
  <si>
    <t xml:space="preserve">Privacy</t>
  </si>
  <si>
    <t xml:space="preserve">Blur names, emails, order numbers and any client data. Teardowns use public pages only.</t>
  </si>
  <si>
    <t xml:space="preserve">Carousels</t>
  </si>
  <si>
    <t xml:space="preserve">Canva 1080x1350, one template for all, max 25 words per slide, source line on stat slides, CTA slide last.</t>
  </si>
  <si>
    <t xml:space="preserve">After posting</t>
  </si>
  <si>
    <t xml:space="preserve">Reply to every comment in the first hour; check the auto-DM fired; log numbers in the Calendar tab after 7 days.</t>
  </si>
  <si>
    <t xml:space="preserve">Batch</t>
  </si>
  <si>
    <t xml:space="preserve">Film on</t>
  </si>
  <si>
    <t xml:space="preserve">Posts covered</t>
  </si>
  <si>
    <t xml:space="preserve">What to prepare</t>
  </si>
  <si>
    <t xml:space="preserve">Time needed</t>
  </si>
  <si>
    <t xml:space="preserve">AI search test (GEO); Australian product page teardown; Meta budget numbers; 5 checkouts</t>
  </si>
  <si>
    <t xml:space="preserve">Pick the category question for the AI test, the Australian brand and five public checkouts. Record screens first, then all voiceovers in one sitting.</t>
  </si>
  <si>
    <t xml:space="preserve">2 hours</t>
  </si>
  <si>
    <t xml:space="preserve">Cart abandonment; AI support assistant demo; how we use AI in an audit; email ratings; site speed</t>
  </si>
  <si>
    <t xml:space="preserve">Set up the Shopify development store with demo products and policies for the AI demos.</t>
  </si>
  <si>
    <t xml:space="preserve">3 hours</t>
  </si>
  <si>
    <t xml:space="preserve">Theme vs custom vs headless; BNPL fees; AI product descriptions; audit roundup</t>
  </si>
  <si>
    <t xml:space="preserve">Count the real audits done so far. If fewer than 5, record a second Australian teardown instead of the roundup.</t>
  </si>
  <si>
    <t xml:space="preserve">Carousels: AI search visibility, offshore trust, Black Friday checklist, after-the-sale retention</t>
  </si>
  <si>
    <t xml:space="preserve">Same template as the first carousel: navy, white text, green numbers, one idea per slide.</t>
  </si>
  <si>
    <t xml:space="preserve">Week starting</t>
  </si>
  <si>
    <t xml:space="preserve">Posts planned</t>
  </si>
  <si>
    <t xml:space="preserve">Posts posted</t>
  </si>
  <si>
    <t xml:space="preserve">Shares per 1,000 reach</t>
  </si>
  <si>
    <t xml:space="preserve">What to change next week</t>
  </si>
  <si>
    <t xml:space="preserve">Total</t>
  </si>
  <si>
    <t xml:space="preserve">Judge the account on calls booked and DMs, not reach. Shares per 1,000 reach is the best early signal of what Instagram will push.</t>
  </si>
  <si>
    <t xml:space="preserve">Done?</t>
  </si>
  <si>
    <t xml:space="preserve">Task</t>
  </si>
  <si>
    <t xml:space="preserve">Switch to Business account, category Marketing Agency, contact email set</t>
  </si>
  <si>
    <t xml:space="preserve">Unlocks insights, contact button and approved DM tools</t>
  </si>
  <si>
    <t xml:space="preserve">Bio, name field and website link with UTM added</t>
  </si>
  <si>
    <t xml:space="preserve">Profile visits convert from here</t>
  </si>
  <si>
    <t xml:space="preserve">Two-factor authentication on, backup codes saved</t>
  </si>
  <si>
    <t xml:space="preserve">A hacked brand account is hard to recover</t>
  </si>
  <si>
    <t xml:space="preserve">All lead magnets (1 sheet, 8 PDFs) uploaded to Drive or the website with share links</t>
  </si>
  <si>
    <t xml:space="preserve">Every CTA keyword depends on these</t>
  </si>
  <si>
    <t xml:space="preserve">Auto-DM tool connected and the 8 keywords tested from a second account</t>
  </si>
  <si>
    <t xml:space="preserve">Broken DMs waste the first reels</t>
  </si>
  <si>
    <t xml:space="preserve">Highlight covers made: Teardowns, How we work, US/UK clients, COD/RTO, Book a call</t>
  </si>
  <si>
    <t xml:space="preserve">Profile looks complete from day one</t>
  </si>
  <si>
    <t xml:space="preserve">GA4 check that utm_source=instagram shows up</t>
  </si>
  <si>
    <t xml:space="preserve">So calls can be traced to reels</t>
  </si>
  <si>
    <t xml:space="preserve">Employment-contract check done</t>
  </si>
  <si>
    <t xml:space="preserve">Before posting anything publicly</t>
  </si>
  <si>
    <t xml:space="preserve">Website updated for Australia, US and UK (hours, currency, services)</t>
  </si>
  <si>
    <t xml:space="preserve">Bio and website must match</t>
  </si>
</sst>
</file>

<file path=xl/styles.xml><?xml version="1.0" encoding="utf-8"?>
<styleSheet xmlns="http://schemas.openxmlformats.org/spreadsheetml/2006/main">
  <numFmts count="4">
    <numFmt numFmtId="164" formatCode="General"/>
    <numFmt numFmtId="165" formatCode="dd\ mmm\ yyyy"/>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sz val="10"/>
      <color rgb="FF000000"/>
      <name val="Arial"/>
      <family val="0"/>
      <charset val="1"/>
    </font>
    <font>
      <b val="true"/>
      <sz val="11"/>
      <color rgb="FF1F2A44"/>
      <name val="Arial"/>
      <family val="0"/>
      <charset val="1"/>
    </font>
    <font>
      <sz val="10"/>
      <color rgb="FF0000FF"/>
      <name val="Arial"/>
      <family val="0"/>
      <charset val="1"/>
    </font>
    <font>
      <b val="true"/>
      <sz val="10"/>
      <color rgb="FFFFFFFF"/>
      <name val="Arial"/>
      <family val="0"/>
      <charset val="1"/>
    </font>
    <font>
      <b val="true"/>
      <sz val="10"/>
      <color rgb="FF000000"/>
      <name val="Arial"/>
      <family val="0"/>
      <charset val="1"/>
    </font>
    <font>
      <i val="true"/>
      <sz val="9"/>
      <color rgb="FF555555"/>
      <name val="Arial"/>
      <family val="0"/>
      <charset val="1"/>
    </font>
  </fonts>
  <fills count="5">
    <fill>
      <patternFill patternType="none"/>
    </fill>
    <fill>
      <patternFill patternType="gray125"/>
    </fill>
    <fill>
      <patternFill patternType="solid">
        <fgColor rgb="FFFFF6CC"/>
        <bgColor rgb="FFFFFFFF"/>
      </patternFill>
    </fill>
    <fill>
      <patternFill patternType="solid">
        <fgColor rgb="FF1F2A44"/>
        <bgColor rgb="FF003366"/>
      </patternFill>
    </fill>
    <fill>
      <patternFill patternType="solid">
        <fgColor rgb="FFE8ECF4"/>
        <bgColor rgb="FFFFFFFF"/>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A44"/>
          <bgColor rgb="FF000000"/>
        </patternFill>
      </fill>
    </dxf>
    <dxf>
      <fill>
        <patternFill patternType="solid">
          <fgColor rgb="FFE8ECF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6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E8ECF4"/>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3" t="s">
        <v>9</v>
      </c>
    </row>
    <row r="12" customFormat="false" ht="23.85" hidden="false" customHeight="false" outlineLevel="0" collapsed="false">
      <c r="A12" s="2" t="s">
        <v>10</v>
      </c>
    </row>
    <row r="13" customFormat="false" ht="15" hidden="false" customHeight="false" outlineLevel="0" collapsed="false">
      <c r="A13" s="2" t="s">
        <v>11</v>
      </c>
    </row>
    <row r="14" customFormat="false" ht="15" hidden="false" customHeight="false" outlineLevel="0" collapsed="false">
      <c r="A14" s="2" t="s">
        <v>12</v>
      </c>
    </row>
    <row r="15" customFormat="false" ht="15" hidden="false" customHeight="false" outlineLevel="0" collapsed="false">
      <c r="A15" s="2" t="s">
        <v>13</v>
      </c>
    </row>
    <row r="16" customFormat="false" ht="15" hidden="false" customHeight="false" outlineLevel="0" collapsed="false">
      <c r="A16" s="2" t="s">
        <v>14</v>
      </c>
    </row>
    <row r="17" customFormat="false" ht="15" hidden="false" customHeight="false" outlineLevel="0" collapsed="false">
      <c r="A17"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6"/>
    <col collapsed="false" customWidth="true" hidden="false" outlineLevel="0" max="4" min="4" style="0" width="7"/>
    <col collapsed="false" customWidth="true" hidden="false" outlineLevel="0" max="6" min="5" style="0" width="8"/>
    <col collapsed="false" customWidth="true" hidden="false" outlineLevel="0" max="7" min="7" style="0" width="9"/>
    <col collapsed="false" customWidth="true" hidden="false" outlineLevel="0" max="8" min="8" style="0" width="15"/>
    <col collapsed="false" customWidth="true" hidden="false" outlineLevel="0" max="9" min="9" style="0" width="14"/>
    <col collapsed="false" customWidth="true" hidden="false" outlineLevel="0" max="10" min="10" style="0" width="8"/>
    <col collapsed="false" customWidth="true" hidden="false" outlineLevel="0" max="11" min="11" style="0" width="34"/>
    <col collapsed="false" customWidth="true" hidden="false" outlineLevel="0" max="12" min="12" style="0" width="45"/>
    <col collapsed="false" customWidth="true" hidden="false" outlineLevel="0" max="13" min="13" style="0" width="70"/>
    <col collapsed="false" customWidth="true" hidden="false" outlineLevel="0" max="14" min="14" style="0" width="55"/>
    <col collapsed="false" customWidth="true" hidden="false" outlineLevel="0" max="15" min="15" style="0" width="12"/>
    <col collapsed="false" customWidth="true" hidden="false" outlineLevel="0" max="16" min="16" style="0" width="30"/>
    <col collapsed="false" customWidth="true" hidden="false" outlineLevel="0" max="17" min="17" style="0" width="10"/>
    <col collapsed="false" customWidth="true" hidden="false" outlineLevel="0" max="18" min="18" style="0" width="6"/>
    <col collapsed="false" customWidth="true" hidden="false" outlineLevel="0" max="20" min="19" style="0" width="11"/>
    <col collapsed="false" customWidth="true" hidden="false" outlineLevel="0" max="21" min="21" style="0" width="24"/>
    <col collapsed="false" customWidth="true" hidden="false" outlineLevel="0" max="22" min="22" style="0" width="9"/>
    <col collapsed="false" customWidth="true" hidden="false" outlineLevel="0" max="24" min="23" style="0" width="8"/>
    <col collapsed="false" customWidth="true" hidden="false" outlineLevel="0" max="25" min="25" style="0" width="10"/>
    <col collapsed="false" customWidth="true" hidden="false" outlineLevel="0" max="26" min="26" style="0" width="8"/>
    <col collapsed="false" customWidth="true" hidden="false" outlineLevel="0" max="27" min="27" style="0" width="9"/>
  </cols>
  <sheetData>
    <row r="1" customFormat="false" ht="31.5" hidden="false" customHeight="tru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c r="X1" s="5" t="s">
        <v>39</v>
      </c>
      <c r="Y1" s="5" t="s">
        <v>40</v>
      </c>
      <c r="Z1" s="5" t="s">
        <v>41</v>
      </c>
      <c r="AA1" s="5" t="s">
        <v>42</v>
      </c>
    </row>
    <row r="2" customFormat="false" ht="229.5" hidden="false" customHeight="true" outlineLevel="0" collapsed="false">
      <c r="A2" s="6" t="n">
        <v>1</v>
      </c>
      <c r="B2" s="7" t="n">
        <v>46309</v>
      </c>
      <c r="C2" s="6" t="s">
        <v>43</v>
      </c>
      <c r="D2" s="6" t="s">
        <v>44</v>
      </c>
      <c r="E2" s="6" t="s">
        <v>45</v>
      </c>
      <c r="F2" s="6" t="s">
        <v>46</v>
      </c>
      <c r="G2" s="6" t="s">
        <v>47</v>
      </c>
      <c r="H2" s="6" t="s">
        <v>48</v>
      </c>
      <c r="I2" s="6" t="s">
        <v>49</v>
      </c>
      <c r="J2" s="6" t="s">
        <v>50</v>
      </c>
      <c r="K2" s="8" t="s">
        <v>51</v>
      </c>
      <c r="L2" s="6" t="s">
        <v>52</v>
      </c>
      <c r="M2" s="6" t="s">
        <v>53</v>
      </c>
      <c r="N2" s="6" t="s">
        <v>54</v>
      </c>
      <c r="O2" s="6" t="s">
        <v>55</v>
      </c>
      <c r="P2" s="6" t="s">
        <v>56</v>
      </c>
      <c r="Q2" s="6" t="s">
        <v>57</v>
      </c>
      <c r="R2" s="6" t="s">
        <v>58</v>
      </c>
      <c r="S2" s="6" t="s">
        <v>59</v>
      </c>
      <c r="T2" s="6" t="s">
        <v>60</v>
      </c>
      <c r="U2" s="9"/>
      <c r="V2" s="10"/>
      <c r="W2" s="10"/>
      <c r="X2" s="10"/>
      <c r="Y2" s="10"/>
      <c r="Z2" s="10"/>
      <c r="AA2" s="10"/>
    </row>
    <row r="3" customFormat="false" ht="229.5" hidden="false" customHeight="true" outlineLevel="0" collapsed="false">
      <c r="A3" s="6" t="n">
        <v>1</v>
      </c>
      <c r="B3" s="7" t="n">
        <v>46311</v>
      </c>
      <c r="C3" s="6" t="s">
        <v>61</v>
      </c>
      <c r="D3" s="6" t="s">
        <v>44</v>
      </c>
      <c r="E3" s="6" t="s">
        <v>45</v>
      </c>
      <c r="F3" s="6" t="s">
        <v>46</v>
      </c>
      <c r="G3" s="6" t="s">
        <v>47</v>
      </c>
      <c r="H3" s="6" t="s">
        <v>62</v>
      </c>
      <c r="I3" s="6" t="s">
        <v>63</v>
      </c>
      <c r="J3" s="6" t="s">
        <v>64</v>
      </c>
      <c r="K3" s="8" t="s">
        <v>65</v>
      </c>
      <c r="L3" s="6" t="s">
        <v>66</v>
      </c>
      <c r="M3" s="6" t="s">
        <v>67</v>
      </c>
      <c r="N3" s="6" t="s">
        <v>68</v>
      </c>
      <c r="O3" s="6" t="s">
        <v>69</v>
      </c>
      <c r="P3" s="6" t="s">
        <v>70</v>
      </c>
      <c r="Q3" s="6" t="s">
        <v>58</v>
      </c>
      <c r="R3" s="6" t="s">
        <v>58</v>
      </c>
      <c r="S3" s="6" t="s">
        <v>59</v>
      </c>
      <c r="T3" s="6" t="s">
        <v>60</v>
      </c>
      <c r="U3" s="9"/>
      <c r="V3" s="10"/>
      <c r="W3" s="10"/>
      <c r="X3" s="10"/>
      <c r="Y3" s="10"/>
      <c r="Z3" s="10"/>
      <c r="AA3" s="10"/>
    </row>
    <row r="4" customFormat="false" ht="229.5" hidden="false" customHeight="true" outlineLevel="0" collapsed="false">
      <c r="A4" s="6" t="n">
        <v>1</v>
      </c>
      <c r="B4" s="7" t="n">
        <v>46312</v>
      </c>
      <c r="C4" s="6" t="s">
        <v>71</v>
      </c>
      <c r="D4" s="6" t="s">
        <v>44</v>
      </c>
      <c r="E4" s="6" t="s">
        <v>45</v>
      </c>
      <c r="F4" s="6" t="s">
        <v>46</v>
      </c>
      <c r="G4" s="6" t="s">
        <v>47</v>
      </c>
      <c r="H4" s="6" t="s">
        <v>72</v>
      </c>
      <c r="I4" s="6" t="s">
        <v>63</v>
      </c>
      <c r="J4" s="6" t="s">
        <v>50</v>
      </c>
      <c r="K4" s="8" t="s">
        <v>73</v>
      </c>
      <c r="L4" s="6" t="s">
        <v>74</v>
      </c>
      <c r="M4" s="6" t="s">
        <v>75</v>
      </c>
      <c r="N4" s="6" t="s">
        <v>76</v>
      </c>
      <c r="O4" s="6" t="s">
        <v>55</v>
      </c>
      <c r="P4" s="6" t="s">
        <v>56</v>
      </c>
      <c r="Q4" s="6" t="s">
        <v>57</v>
      </c>
      <c r="R4" s="6" t="s">
        <v>57</v>
      </c>
      <c r="S4" s="6" t="s">
        <v>77</v>
      </c>
      <c r="T4" s="6" t="s">
        <v>60</v>
      </c>
      <c r="U4" s="9"/>
      <c r="V4" s="10"/>
      <c r="W4" s="10"/>
      <c r="X4" s="10"/>
      <c r="Y4" s="10"/>
      <c r="Z4" s="10"/>
      <c r="AA4" s="10"/>
    </row>
    <row r="5" customFormat="false" ht="229.5" hidden="false" customHeight="true" outlineLevel="0" collapsed="false">
      <c r="A5" s="6" t="n">
        <v>1</v>
      </c>
      <c r="B5" s="7" t="n">
        <v>46313</v>
      </c>
      <c r="C5" s="6" t="s">
        <v>78</v>
      </c>
      <c r="D5" s="6" t="s">
        <v>44</v>
      </c>
      <c r="E5" s="6" t="s">
        <v>45</v>
      </c>
      <c r="F5" s="6" t="s">
        <v>46</v>
      </c>
      <c r="G5" s="6" t="s">
        <v>47</v>
      </c>
      <c r="H5" s="6" t="s">
        <v>79</v>
      </c>
      <c r="I5" s="6" t="s">
        <v>80</v>
      </c>
      <c r="J5" s="6" t="s">
        <v>50</v>
      </c>
      <c r="K5" s="8" t="s">
        <v>81</v>
      </c>
      <c r="L5" s="6" t="s">
        <v>82</v>
      </c>
      <c r="M5" s="6" t="s">
        <v>83</v>
      </c>
      <c r="N5" s="6" t="s">
        <v>84</v>
      </c>
      <c r="O5" s="6" t="s">
        <v>85</v>
      </c>
      <c r="P5" s="6" t="s">
        <v>86</v>
      </c>
      <c r="Q5" s="6" t="s">
        <v>58</v>
      </c>
      <c r="R5" s="6" t="s">
        <v>58</v>
      </c>
      <c r="S5" s="6" t="s">
        <v>59</v>
      </c>
      <c r="T5" s="6" t="s">
        <v>60</v>
      </c>
      <c r="U5" s="9"/>
      <c r="V5" s="10"/>
      <c r="W5" s="10"/>
      <c r="X5" s="10"/>
      <c r="Y5" s="10"/>
      <c r="Z5" s="10"/>
      <c r="AA5" s="10"/>
    </row>
    <row r="6" customFormat="false" ht="229.5" hidden="false" customHeight="true" outlineLevel="0" collapsed="false">
      <c r="A6" s="11" t="n">
        <v>2</v>
      </c>
      <c r="B6" s="12" t="n">
        <v>46315</v>
      </c>
      <c r="C6" s="11" t="s">
        <v>87</v>
      </c>
      <c r="D6" s="11" t="s">
        <v>88</v>
      </c>
      <c r="E6" s="11" t="s">
        <v>89</v>
      </c>
      <c r="F6" s="11" t="s">
        <v>90</v>
      </c>
      <c r="G6" s="11" t="s">
        <v>91</v>
      </c>
      <c r="H6" s="11" t="s">
        <v>79</v>
      </c>
      <c r="I6" s="11" t="s">
        <v>92</v>
      </c>
      <c r="J6" s="11" t="s">
        <v>93</v>
      </c>
      <c r="K6" s="13" t="s">
        <v>94</v>
      </c>
      <c r="L6" s="11" t="s">
        <v>95</v>
      </c>
      <c r="M6" s="11" t="s">
        <v>96</v>
      </c>
      <c r="N6" s="11" t="s">
        <v>97</v>
      </c>
      <c r="O6" s="11" t="s">
        <v>55</v>
      </c>
      <c r="P6" s="11" t="s">
        <v>56</v>
      </c>
      <c r="Q6" s="11" t="s">
        <v>58</v>
      </c>
      <c r="R6" s="11" t="s">
        <v>57</v>
      </c>
      <c r="S6" s="11" t="s">
        <v>59</v>
      </c>
      <c r="T6" s="11" t="s">
        <v>60</v>
      </c>
      <c r="U6" s="9"/>
      <c r="V6" s="10"/>
      <c r="W6" s="10"/>
      <c r="X6" s="10"/>
      <c r="Y6" s="10"/>
      <c r="Z6" s="10"/>
      <c r="AA6" s="10"/>
    </row>
    <row r="7" customFormat="false" ht="229.5" hidden="false" customHeight="true" outlineLevel="0" collapsed="false">
      <c r="A7" s="11" t="n">
        <v>2</v>
      </c>
      <c r="B7" s="12" t="n">
        <v>46317</v>
      </c>
      <c r="C7" s="11" t="s">
        <v>98</v>
      </c>
      <c r="D7" s="11" t="s">
        <v>44</v>
      </c>
      <c r="E7" s="11" t="s">
        <v>45</v>
      </c>
      <c r="F7" s="11" t="s">
        <v>46</v>
      </c>
      <c r="G7" s="11" t="s">
        <v>47</v>
      </c>
      <c r="H7" s="11" t="s">
        <v>79</v>
      </c>
      <c r="I7" s="11" t="s">
        <v>99</v>
      </c>
      <c r="J7" s="11" t="s">
        <v>100</v>
      </c>
      <c r="K7" s="13" t="s">
        <v>101</v>
      </c>
      <c r="L7" s="11" t="s">
        <v>102</v>
      </c>
      <c r="M7" s="11" t="s">
        <v>103</v>
      </c>
      <c r="N7" s="11" t="s">
        <v>104</v>
      </c>
      <c r="O7" s="11" t="s">
        <v>69</v>
      </c>
      <c r="P7" s="11" t="s">
        <v>70</v>
      </c>
      <c r="Q7" s="11" t="s">
        <v>57</v>
      </c>
      <c r="R7" s="11" t="s">
        <v>57</v>
      </c>
      <c r="S7" s="11" t="s">
        <v>59</v>
      </c>
      <c r="T7" s="11" t="s">
        <v>60</v>
      </c>
      <c r="U7" s="9"/>
      <c r="V7" s="10"/>
      <c r="W7" s="10"/>
      <c r="X7" s="10"/>
      <c r="Y7" s="10"/>
      <c r="Z7" s="10"/>
      <c r="AA7" s="10"/>
    </row>
    <row r="8" customFormat="false" ht="229.5" hidden="false" customHeight="true" outlineLevel="0" collapsed="false">
      <c r="A8" s="11" t="n">
        <v>2</v>
      </c>
      <c r="B8" s="12" t="n">
        <v>46319</v>
      </c>
      <c r="C8" s="11" t="s">
        <v>71</v>
      </c>
      <c r="D8" s="11" t="s">
        <v>44</v>
      </c>
      <c r="E8" s="11" t="s">
        <v>45</v>
      </c>
      <c r="F8" s="11" t="s">
        <v>46</v>
      </c>
      <c r="G8" s="11" t="s">
        <v>47</v>
      </c>
      <c r="H8" s="11" t="s">
        <v>72</v>
      </c>
      <c r="I8" s="11" t="s">
        <v>80</v>
      </c>
      <c r="J8" s="11" t="s">
        <v>50</v>
      </c>
      <c r="K8" s="13" t="s">
        <v>105</v>
      </c>
      <c r="L8" s="11" t="s">
        <v>106</v>
      </c>
      <c r="M8" s="11" t="s">
        <v>107</v>
      </c>
      <c r="N8" s="11" t="s">
        <v>108</v>
      </c>
      <c r="O8" s="11" t="s">
        <v>85</v>
      </c>
      <c r="P8" s="11" t="s">
        <v>86</v>
      </c>
      <c r="Q8" s="11" t="s">
        <v>57</v>
      </c>
      <c r="R8" s="11" t="s">
        <v>57</v>
      </c>
      <c r="S8" s="11" t="s">
        <v>77</v>
      </c>
      <c r="T8" s="11" t="s">
        <v>60</v>
      </c>
      <c r="U8" s="9"/>
      <c r="V8" s="10"/>
      <c r="W8" s="10"/>
      <c r="X8" s="10"/>
      <c r="Y8" s="10"/>
      <c r="Z8" s="10"/>
      <c r="AA8" s="10"/>
    </row>
    <row r="9" customFormat="false" ht="229.5" hidden="false" customHeight="true" outlineLevel="0" collapsed="false">
      <c r="A9" s="11" t="n">
        <v>2</v>
      </c>
      <c r="B9" s="12" t="n">
        <v>46320</v>
      </c>
      <c r="C9" s="11" t="s">
        <v>78</v>
      </c>
      <c r="D9" s="11" t="s">
        <v>44</v>
      </c>
      <c r="E9" s="11" t="s">
        <v>45</v>
      </c>
      <c r="F9" s="11" t="s">
        <v>109</v>
      </c>
      <c r="G9" s="11" t="s">
        <v>47</v>
      </c>
      <c r="H9" s="11" t="s">
        <v>79</v>
      </c>
      <c r="I9" s="11" t="s">
        <v>92</v>
      </c>
      <c r="J9" s="11" t="s">
        <v>50</v>
      </c>
      <c r="K9" s="13" t="s">
        <v>110</v>
      </c>
      <c r="L9" s="11" t="s">
        <v>111</v>
      </c>
      <c r="M9" s="11" t="s">
        <v>112</v>
      </c>
      <c r="N9" s="11" t="s">
        <v>113</v>
      </c>
      <c r="O9" s="11" t="s">
        <v>55</v>
      </c>
      <c r="P9" s="11" t="s">
        <v>56</v>
      </c>
      <c r="Q9" s="11" t="s">
        <v>58</v>
      </c>
      <c r="R9" s="11" t="s">
        <v>57</v>
      </c>
      <c r="S9" s="11" t="s">
        <v>59</v>
      </c>
      <c r="T9" s="11" t="s">
        <v>60</v>
      </c>
      <c r="U9" s="9"/>
      <c r="V9" s="10"/>
      <c r="W9" s="10"/>
      <c r="X9" s="10"/>
      <c r="Y9" s="10"/>
      <c r="Z9" s="10"/>
      <c r="AA9" s="10"/>
    </row>
    <row r="10" customFormat="false" ht="229.5" hidden="false" customHeight="true" outlineLevel="0" collapsed="false">
      <c r="A10" s="6" t="n">
        <v>3</v>
      </c>
      <c r="B10" s="7" t="n">
        <v>46322</v>
      </c>
      <c r="C10" s="6" t="s">
        <v>87</v>
      </c>
      <c r="D10" s="6" t="s">
        <v>44</v>
      </c>
      <c r="E10" s="6" t="s">
        <v>45</v>
      </c>
      <c r="F10" s="6" t="s">
        <v>109</v>
      </c>
      <c r="G10" s="6" t="s">
        <v>47</v>
      </c>
      <c r="H10" s="6" t="s">
        <v>79</v>
      </c>
      <c r="I10" s="6" t="s">
        <v>92</v>
      </c>
      <c r="J10" s="6" t="s">
        <v>100</v>
      </c>
      <c r="K10" s="8" t="s">
        <v>114</v>
      </c>
      <c r="L10" s="6" t="s">
        <v>115</v>
      </c>
      <c r="M10" s="6" t="s">
        <v>116</v>
      </c>
      <c r="N10" s="6" t="s">
        <v>117</v>
      </c>
      <c r="O10" s="6" t="s">
        <v>55</v>
      </c>
      <c r="P10" s="6" t="s">
        <v>56</v>
      </c>
      <c r="Q10" s="6" t="s">
        <v>58</v>
      </c>
      <c r="R10" s="6" t="s">
        <v>57</v>
      </c>
      <c r="S10" s="6" t="s">
        <v>118</v>
      </c>
      <c r="T10" s="6" t="s">
        <v>60</v>
      </c>
      <c r="U10" s="9"/>
      <c r="V10" s="10"/>
      <c r="W10" s="10"/>
      <c r="X10" s="10"/>
      <c r="Y10" s="10"/>
      <c r="Z10" s="10"/>
      <c r="AA10" s="10"/>
    </row>
    <row r="11" customFormat="false" ht="229.5" hidden="false" customHeight="true" outlineLevel="0" collapsed="false">
      <c r="A11" s="6" t="n">
        <v>3</v>
      </c>
      <c r="B11" s="7" t="n">
        <v>46324</v>
      </c>
      <c r="C11" s="6" t="s">
        <v>98</v>
      </c>
      <c r="D11" s="6" t="s">
        <v>44</v>
      </c>
      <c r="E11" s="6" t="s">
        <v>45</v>
      </c>
      <c r="F11" s="6" t="s">
        <v>109</v>
      </c>
      <c r="G11" s="6" t="s">
        <v>47</v>
      </c>
      <c r="H11" s="6" t="s">
        <v>79</v>
      </c>
      <c r="I11" s="6" t="s">
        <v>119</v>
      </c>
      <c r="J11" s="6" t="s">
        <v>50</v>
      </c>
      <c r="K11" s="8" t="s">
        <v>120</v>
      </c>
      <c r="L11" s="6" t="s">
        <v>121</v>
      </c>
      <c r="M11" s="6" t="s">
        <v>122</v>
      </c>
      <c r="N11" s="6" t="s">
        <v>123</v>
      </c>
      <c r="O11" s="6" t="s">
        <v>124</v>
      </c>
      <c r="P11" s="6" t="s">
        <v>125</v>
      </c>
      <c r="Q11" s="6" t="s">
        <v>58</v>
      </c>
      <c r="R11" s="6" t="s">
        <v>57</v>
      </c>
      <c r="S11" s="6" t="s">
        <v>118</v>
      </c>
      <c r="T11" s="6" t="s">
        <v>60</v>
      </c>
      <c r="U11" s="9"/>
      <c r="V11" s="10"/>
      <c r="W11" s="10"/>
      <c r="X11" s="10"/>
      <c r="Y11" s="10"/>
      <c r="Z11" s="10"/>
      <c r="AA11" s="10"/>
    </row>
    <row r="12" customFormat="false" ht="229.5" hidden="false" customHeight="true" outlineLevel="0" collapsed="false">
      <c r="A12" s="6" t="n">
        <v>3</v>
      </c>
      <c r="B12" s="7" t="n">
        <v>46326</v>
      </c>
      <c r="C12" s="6" t="s">
        <v>71</v>
      </c>
      <c r="D12" s="6" t="s">
        <v>44</v>
      </c>
      <c r="E12" s="6" t="s">
        <v>45</v>
      </c>
      <c r="F12" s="6" t="s">
        <v>109</v>
      </c>
      <c r="G12" s="6" t="s">
        <v>47</v>
      </c>
      <c r="H12" s="6" t="s">
        <v>126</v>
      </c>
      <c r="I12" s="6" t="s">
        <v>49</v>
      </c>
      <c r="J12" s="6" t="s">
        <v>50</v>
      </c>
      <c r="K12" s="8" t="s">
        <v>127</v>
      </c>
      <c r="L12" s="6" t="s">
        <v>128</v>
      </c>
      <c r="M12" s="6" t="s">
        <v>107</v>
      </c>
      <c r="N12" s="6" t="s">
        <v>129</v>
      </c>
      <c r="O12" s="6" t="s">
        <v>130</v>
      </c>
      <c r="P12" s="6" t="s">
        <v>131</v>
      </c>
      <c r="Q12" s="6" t="s">
        <v>57</v>
      </c>
      <c r="R12" s="6" t="s">
        <v>57</v>
      </c>
      <c r="S12" s="6" t="s">
        <v>77</v>
      </c>
      <c r="T12" s="6" t="s">
        <v>60</v>
      </c>
      <c r="U12" s="9"/>
      <c r="V12" s="10"/>
      <c r="W12" s="10"/>
      <c r="X12" s="10"/>
      <c r="Y12" s="10"/>
      <c r="Z12" s="10"/>
      <c r="AA12" s="10"/>
    </row>
    <row r="13" customFormat="false" ht="229.5" hidden="false" customHeight="true" outlineLevel="0" collapsed="false">
      <c r="A13" s="6" t="n">
        <v>3</v>
      </c>
      <c r="B13" s="7" t="n">
        <v>46327</v>
      </c>
      <c r="C13" s="6" t="s">
        <v>78</v>
      </c>
      <c r="D13" s="6" t="s">
        <v>44</v>
      </c>
      <c r="E13" s="6" t="s">
        <v>45</v>
      </c>
      <c r="F13" s="6" t="s">
        <v>109</v>
      </c>
      <c r="G13" s="6" t="s">
        <v>90</v>
      </c>
      <c r="H13" s="6" t="s">
        <v>79</v>
      </c>
      <c r="I13" s="6" t="s">
        <v>119</v>
      </c>
      <c r="J13" s="6" t="s">
        <v>50</v>
      </c>
      <c r="K13" s="8" t="s">
        <v>132</v>
      </c>
      <c r="L13" s="6" t="s">
        <v>133</v>
      </c>
      <c r="M13" s="6" t="s">
        <v>134</v>
      </c>
      <c r="N13" s="6" t="s">
        <v>135</v>
      </c>
      <c r="O13" s="6" t="s">
        <v>55</v>
      </c>
      <c r="P13" s="6" t="s">
        <v>56</v>
      </c>
      <c r="Q13" s="6" t="s">
        <v>57</v>
      </c>
      <c r="R13" s="6" t="s">
        <v>57</v>
      </c>
      <c r="S13" s="6" t="s">
        <v>118</v>
      </c>
      <c r="T13" s="6" t="s">
        <v>60</v>
      </c>
      <c r="U13" s="9"/>
      <c r="V13" s="10"/>
      <c r="W13" s="10"/>
      <c r="X13" s="10"/>
      <c r="Y13" s="10"/>
      <c r="Z13" s="10"/>
      <c r="AA13" s="10"/>
    </row>
    <row r="14" customFormat="false" ht="229.5" hidden="false" customHeight="true" outlineLevel="0" collapsed="false">
      <c r="A14" s="11" t="n">
        <v>4</v>
      </c>
      <c r="B14" s="12" t="n">
        <v>46329</v>
      </c>
      <c r="C14" s="11" t="s">
        <v>87</v>
      </c>
      <c r="D14" s="11" t="s">
        <v>44</v>
      </c>
      <c r="E14" s="11" t="s">
        <v>45</v>
      </c>
      <c r="F14" s="11" t="s">
        <v>109</v>
      </c>
      <c r="G14" s="11" t="s">
        <v>90</v>
      </c>
      <c r="H14" s="11" t="s">
        <v>79</v>
      </c>
      <c r="I14" s="11" t="s">
        <v>136</v>
      </c>
      <c r="J14" s="11" t="s">
        <v>50</v>
      </c>
      <c r="K14" s="13" t="s">
        <v>137</v>
      </c>
      <c r="L14" s="11" t="s">
        <v>138</v>
      </c>
      <c r="M14" s="11" t="s">
        <v>139</v>
      </c>
      <c r="N14" s="11" t="s">
        <v>140</v>
      </c>
      <c r="O14" s="11" t="s">
        <v>141</v>
      </c>
      <c r="P14" s="11" t="s">
        <v>142</v>
      </c>
      <c r="Q14" s="11" t="s">
        <v>58</v>
      </c>
      <c r="R14" s="11" t="s">
        <v>57</v>
      </c>
      <c r="S14" s="11" t="s">
        <v>118</v>
      </c>
      <c r="T14" s="11" t="s">
        <v>60</v>
      </c>
      <c r="U14" s="9"/>
      <c r="V14" s="10"/>
      <c r="W14" s="10"/>
      <c r="X14" s="10"/>
      <c r="Y14" s="10"/>
      <c r="Z14" s="10"/>
      <c r="AA14" s="10"/>
    </row>
    <row r="15" customFormat="false" ht="229.5" hidden="false" customHeight="true" outlineLevel="0" collapsed="false">
      <c r="A15" s="11" t="n">
        <v>4</v>
      </c>
      <c r="B15" s="12" t="n">
        <v>46331</v>
      </c>
      <c r="C15" s="11" t="s">
        <v>98</v>
      </c>
      <c r="D15" s="11" t="s">
        <v>44</v>
      </c>
      <c r="E15" s="11" t="s">
        <v>45</v>
      </c>
      <c r="F15" s="11" t="s">
        <v>109</v>
      </c>
      <c r="G15" s="11" t="s">
        <v>90</v>
      </c>
      <c r="H15" s="11" t="s">
        <v>79</v>
      </c>
      <c r="I15" s="11" t="s">
        <v>143</v>
      </c>
      <c r="J15" s="11" t="s">
        <v>50</v>
      </c>
      <c r="K15" s="13" t="s">
        <v>144</v>
      </c>
      <c r="L15" s="11" t="s">
        <v>145</v>
      </c>
      <c r="M15" s="11" t="s">
        <v>146</v>
      </c>
      <c r="N15" s="11" t="s">
        <v>147</v>
      </c>
      <c r="O15" s="11" t="s">
        <v>148</v>
      </c>
      <c r="P15" s="11" t="s">
        <v>149</v>
      </c>
      <c r="Q15" s="11" t="s">
        <v>57</v>
      </c>
      <c r="R15" s="11" t="s">
        <v>57</v>
      </c>
      <c r="S15" s="11" t="s">
        <v>118</v>
      </c>
      <c r="T15" s="11" t="s">
        <v>60</v>
      </c>
      <c r="U15" s="9"/>
      <c r="V15" s="10"/>
      <c r="W15" s="10"/>
      <c r="X15" s="10"/>
      <c r="Y15" s="10"/>
      <c r="Z15" s="10"/>
      <c r="AA15" s="10"/>
    </row>
    <row r="16" customFormat="false" ht="229.5" hidden="false" customHeight="true" outlineLevel="0" collapsed="false">
      <c r="A16" s="11" t="n">
        <v>4</v>
      </c>
      <c r="B16" s="12" t="n">
        <v>46333</v>
      </c>
      <c r="C16" s="11" t="s">
        <v>71</v>
      </c>
      <c r="D16" s="11" t="s">
        <v>44</v>
      </c>
      <c r="E16" s="11" t="s">
        <v>45</v>
      </c>
      <c r="F16" s="11" t="s">
        <v>109</v>
      </c>
      <c r="G16" s="11" t="s">
        <v>90</v>
      </c>
      <c r="H16" s="11" t="s">
        <v>150</v>
      </c>
      <c r="I16" s="11" t="s">
        <v>92</v>
      </c>
      <c r="J16" s="11" t="s">
        <v>50</v>
      </c>
      <c r="K16" s="13" t="s">
        <v>151</v>
      </c>
      <c r="L16" s="11" t="s">
        <v>152</v>
      </c>
      <c r="M16" s="11" t="s">
        <v>107</v>
      </c>
      <c r="N16" s="11" t="s">
        <v>153</v>
      </c>
      <c r="O16" s="11" t="s">
        <v>154</v>
      </c>
      <c r="P16" s="11" t="s">
        <v>155</v>
      </c>
      <c r="Q16" s="11" t="s">
        <v>57</v>
      </c>
      <c r="R16" s="11" t="s">
        <v>57</v>
      </c>
      <c r="S16" s="11" t="s">
        <v>77</v>
      </c>
      <c r="T16" s="11" t="s">
        <v>60</v>
      </c>
      <c r="U16" s="9"/>
      <c r="V16" s="10"/>
      <c r="W16" s="10"/>
      <c r="X16" s="10"/>
      <c r="Y16" s="10"/>
      <c r="Z16" s="10"/>
      <c r="AA16" s="10"/>
    </row>
    <row r="17" customFormat="false" ht="229.5" hidden="false" customHeight="true" outlineLevel="0" collapsed="false">
      <c r="A17" s="11" t="n">
        <v>4</v>
      </c>
      <c r="B17" s="12" t="n">
        <v>46334</v>
      </c>
      <c r="C17" s="11" t="s">
        <v>78</v>
      </c>
      <c r="D17" s="11" t="s">
        <v>44</v>
      </c>
      <c r="E17" s="11" t="s">
        <v>45</v>
      </c>
      <c r="F17" s="11" t="s">
        <v>109</v>
      </c>
      <c r="G17" s="11" t="s">
        <v>90</v>
      </c>
      <c r="H17" s="11" t="s">
        <v>79</v>
      </c>
      <c r="I17" s="11" t="s">
        <v>143</v>
      </c>
      <c r="J17" s="11" t="s">
        <v>100</v>
      </c>
      <c r="K17" s="13" t="s">
        <v>156</v>
      </c>
      <c r="L17" s="11" t="s">
        <v>157</v>
      </c>
      <c r="M17" s="11" t="s">
        <v>158</v>
      </c>
      <c r="N17" s="11" t="s">
        <v>159</v>
      </c>
      <c r="O17" s="11" t="s">
        <v>55</v>
      </c>
      <c r="P17" s="11" t="s">
        <v>56</v>
      </c>
      <c r="Q17" s="11" t="s">
        <v>57</v>
      </c>
      <c r="R17" s="11" t="s">
        <v>57</v>
      </c>
      <c r="S17" s="11" t="s">
        <v>160</v>
      </c>
      <c r="T17" s="11" t="s">
        <v>60</v>
      </c>
      <c r="U17" s="9"/>
      <c r="V17" s="10"/>
      <c r="W17" s="10"/>
      <c r="X17" s="10"/>
      <c r="Y17" s="10"/>
      <c r="Z17" s="10"/>
      <c r="AA17" s="10"/>
    </row>
    <row r="18" customFormat="false" ht="229.5" hidden="false" customHeight="true" outlineLevel="0" collapsed="false">
      <c r="A18" s="6" t="n">
        <v>5</v>
      </c>
      <c r="B18" s="7" t="n">
        <v>46336</v>
      </c>
      <c r="C18" s="6" t="s">
        <v>87</v>
      </c>
      <c r="D18" s="6" t="s">
        <v>44</v>
      </c>
      <c r="E18" s="6" t="s">
        <v>45</v>
      </c>
      <c r="F18" s="6" t="s">
        <v>109</v>
      </c>
      <c r="G18" s="6" t="s">
        <v>90</v>
      </c>
      <c r="H18" s="6" t="s">
        <v>79</v>
      </c>
      <c r="I18" s="6" t="s">
        <v>99</v>
      </c>
      <c r="J18" s="6" t="s">
        <v>50</v>
      </c>
      <c r="K18" s="8" t="s">
        <v>161</v>
      </c>
      <c r="L18" s="6" t="s">
        <v>162</v>
      </c>
      <c r="M18" s="6" t="s">
        <v>163</v>
      </c>
      <c r="N18" s="6" t="s">
        <v>164</v>
      </c>
      <c r="O18" s="6" t="s">
        <v>69</v>
      </c>
      <c r="P18" s="6" t="s">
        <v>70</v>
      </c>
      <c r="Q18" s="6" t="s">
        <v>58</v>
      </c>
      <c r="R18" s="6" t="s">
        <v>57</v>
      </c>
      <c r="S18" s="6" t="s">
        <v>160</v>
      </c>
      <c r="T18" s="6" t="s">
        <v>60</v>
      </c>
      <c r="U18" s="9"/>
      <c r="V18" s="10"/>
      <c r="W18" s="10"/>
      <c r="X18" s="10"/>
      <c r="Y18" s="10"/>
      <c r="Z18" s="10"/>
      <c r="AA18" s="10"/>
    </row>
    <row r="19" customFormat="false" ht="229.5" hidden="false" customHeight="true" outlineLevel="0" collapsed="false">
      <c r="A19" s="6" t="n">
        <v>5</v>
      </c>
      <c r="B19" s="7" t="n">
        <v>46338</v>
      </c>
      <c r="C19" s="6" t="s">
        <v>98</v>
      </c>
      <c r="D19" s="6" t="s">
        <v>44</v>
      </c>
      <c r="E19" s="6" t="s">
        <v>45</v>
      </c>
      <c r="F19" s="6" t="s">
        <v>109</v>
      </c>
      <c r="G19" s="6" t="s">
        <v>90</v>
      </c>
      <c r="H19" s="6" t="s">
        <v>79</v>
      </c>
      <c r="I19" s="6" t="s">
        <v>119</v>
      </c>
      <c r="J19" s="6" t="s">
        <v>100</v>
      </c>
      <c r="K19" s="8" t="s">
        <v>165</v>
      </c>
      <c r="L19" s="6" t="s">
        <v>166</v>
      </c>
      <c r="M19" s="6" t="s">
        <v>167</v>
      </c>
      <c r="N19" s="6" t="s">
        <v>168</v>
      </c>
      <c r="O19" s="6" t="s">
        <v>124</v>
      </c>
      <c r="P19" s="6" t="s">
        <v>125</v>
      </c>
      <c r="Q19" s="6" t="s">
        <v>57</v>
      </c>
      <c r="R19" s="6" t="s">
        <v>57</v>
      </c>
      <c r="S19" s="6" t="s">
        <v>160</v>
      </c>
      <c r="T19" s="6" t="s">
        <v>60</v>
      </c>
      <c r="U19" s="9"/>
      <c r="V19" s="10"/>
      <c r="W19" s="10"/>
      <c r="X19" s="10"/>
      <c r="Y19" s="10"/>
      <c r="Z19" s="10"/>
      <c r="AA19" s="10"/>
    </row>
    <row r="20" customFormat="false" ht="229.5" hidden="false" customHeight="true" outlineLevel="0" collapsed="false">
      <c r="A20" s="6" t="n">
        <v>5</v>
      </c>
      <c r="B20" s="7" t="n">
        <v>46340</v>
      </c>
      <c r="C20" s="6" t="s">
        <v>71</v>
      </c>
      <c r="D20" s="6" t="s">
        <v>44</v>
      </c>
      <c r="E20" s="6" t="s">
        <v>45</v>
      </c>
      <c r="F20" s="6" t="s">
        <v>109</v>
      </c>
      <c r="G20" s="6" t="s">
        <v>90</v>
      </c>
      <c r="H20" s="6" t="s">
        <v>72</v>
      </c>
      <c r="I20" s="6" t="s">
        <v>136</v>
      </c>
      <c r="J20" s="6" t="s">
        <v>50</v>
      </c>
      <c r="K20" s="8" t="s">
        <v>169</v>
      </c>
      <c r="L20" s="6" t="s">
        <v>170</v>
      </c>
      <c r="M20" s="6" t="s">
        <v>107</v>
      </c>
      <c r="N20" s="6" t="s">
        <v>171</v>
      </c>
      <c r="O20" s="6" t="s">
        <v>141</v>
      </c>
      <c r="P20" s="6" t="s">
        <v>142</v>
      </c>
      <c r="Q20" s="6" t="s">
        <v>57</v>
      </c>
      <c r="R20" s="6" t="s">
        <v>57</v>
      </c>
      <c r="S20" s="6" t="s">
        <v>77</v>
      </c>
      <c r="T20" s="6" t="s">
        <v>60</v>
      </c>
      <c r="U20" s="9"/>
      <c r="V20" s="10"/>
      <c r="W20" s="10"/>
      <c r="X20" s="10"/>
      <c r="Y20" s="10"/>
      <c r="Z20" s="10"/>
      <c r="AA20" s="10"/>
    </row>
    <row r="21" customFormat="false" ht="229.5" hidden="false" customHeight="true" outlineLevel="0" collapsed="false">
      <c r="A21" s="6" t="n">
        <v>5</v>
      </c>
      <c r="B21" s="7" t="n">
        <v>46341</v>
      </c>
      <c r="C21" s="6" t="s">
        <v>78</v>
      </c>
      <c r="D21" s="6" t="s">
        <v>44</v>
      </c>
      <c r="E21" s="6" t="s">
        <v>45</v>
      </c>
      <c r="F21" s="6" t="s">
        <v>109</v>
      </c>
      <c r="G21" s="6" t="s">
        <v>90</v>
      </c>
      <c r="H21" s="6" t="s">
        <v>79</v>
      </c>
      <c r="I21" s="6" t="s">
        <v>49</v>
      </c>
      <c r="J21" s="6" t="s">
        <v>50</v>
      </c>
      <c r="K21" s="8" t="s">
        <v>172</v>
      </c>
      <c r="L21" s="6" t="s">
        <v>173</v>
      </c>
      <c r="M21" s="6" t="s">
        <v>174</v>
      </c>
      <c r="N21" s="6" t="s">
        <v>175</v>
      </c>
      <c r="O21" s="6" t="s">
        <v>55</v>
      </c>
      <c r="P21" s="6" t="s">
        <v>56</v>
      </c>
      <c r="Q21" s="6" t="s">
        <v>57</v>
      </c>
      <c r="R21" s="6" t="s">
        <v>57</v>
      </c>
      <c r="S21" s="6" t="s">
        <v>160</v>
      </c>
      <c r="T21" s="6" t="s">
        <v>60</v>
      </c>
      <c r="U21" s="9"/>
      <c r="V21" s="10"/>
      <c r="W21" s="10"/>
      <c r="X21" s="10"/>
      <c r="Y21" s="10"/>
      <c r="Z21" s="10"/>
      <c r="AA21" s="10"/>
    </row>
  </sheetData>
  <autoFilter ref="A1:AA21"/>
  <dataValidations count="1">
    <dataValidation allowBlank="true" errorStyle="stop" operator="between" showDropDown="false" showErrorMessage="false" showInputMessage="false" sqref="T2:T21" type="list">
      <formula1>"Planned,Filmed,Edited,Scheduled,Posted,Skipped"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60"/>
    <col collapsed="false" customWidth="true" hidden="false" outlineLevel="0" max="4" min="4" style="0" width="18"/>
    <col collapsed="false" customWidth="true" hidden="false" outlineLevel="0" max="5" min="5" style="0" width="45"/>
  </cols>
  <sheetData>
    <row r="1" customFormat="false" ht="31.5" hidden="false" customHeight="true" outlineLevel="0" collapsed="false">
      <c r="A1" s="5" t="s">
        <v>18</v>
      </c>
      <c r="B1" s="5" t="s">
        <v>176</v>
      </c>
      <c r="C1" s="5" t="s">
        <v>177</v>
      </c>
      <c r="D1" s="5" t="s">
        <v>178</v>
      </c>
      <c r="E1" s="5" t="s">
        <v>179</v>
      </c>
    </row>
    <row r="2" customFormat="false" ht="60" hidden="false" customHeight="true" outlineLevel="0" collapsed="false">
      <c r="A2" s="8" t="s">
        <v>180</v>
      </c>
      <c r="B2" s="6" t="s">
        <v>181</v>
      </c>
      <c r="C2" s="6" t="s">
        <v>182</v>
      </c>
      <c r="D2" s="6" t="s">
        <v>181</v>
      </c>
      <c r="E2" s="6" t="s">
        <v>183</v>
      </c>
    </row>
    <row r="3" customFormat="false" ht="60" hidden="false" customHeight="true" outlineLevel="0" collapsed="false">
      <c r="A3" s="8" t="s">
        <v>184</v>
      </c>
      <c r="B3" s="6" t="s">
        <v>185</v>
      </c>
      <c r="C3" s="6" t="s">
        <v>186</v>
      </c>
      <c r="D3" s="6" t="s">
        <v>187</v>
      </c>
      <c r="E3" s="6" t="s">
        <v>188</v>
      </c>
    </row>
    <row r="4" customFormat="false" ht="60" hidden="false" customHeight="true" outlineLevel="0" collapsed="false">
      <c r="A4" s="8" t="s">
        <v>189</v>
      </c>
      <c r="B4" s="6" t="s">
        <v>190</v>
      </c>
      <c r="C4" s="6" t="s">
        <v>191</v>
      </c>
      <c r="D4" s="6" t="s">
        <v>192</v>
      </c>
      <c r="E4" s="6" t="s">
        <v>193</v>
      </c>
    </row>
    <row r="5" customFormat="false" ht="60" hidden="false" customHeight="true" outlineLevel="0" collapsed="false">
      <c r="A5" s="8" t="s">
        <v>194</v>
      </c>
      <c r="B5" s="6" t="s">
        <v>195</v>
      </c>
      <c r="C5" s="6" t="s">
        <v>196</v>
      </c>
      <c r="D5" s="6" t="s">
        <v>197</v>
      </c>
      <c r="E5" s="6" t="s">
        <v>198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31.5" hidden="false" customHeight="true" outlineLevel="0" collapsed="false">
      <c r="A1" s="5" t="s">
        <v>199</v>
      </c>
      <c r="B1" s="5" t="s">
        <v>200</v>
      </c>
    </row>
    <row r="2" customFormat="false" ht="45" hidden="false" customHeight="true" outlineLevel="0" collapsed="false">
      <c r="A2" s="8" t="s">
        <v>201</v>
      </c>
      <c r="B2" s="6" t="s">
        <v>202</v>
      </c>
    </row>
    <row r="3" customFormat="false" ht="45" hidden="false" customHeight="true" outlineLevel="0" collapsed="false">
      <c r="A3" s="8" t="s">
        <v>203</v>
      </c>
      <c r="B3" s="6" t="s">
        <v>204</v>
      </c>
    </row>
    <row r="4" customFormat="false" ht="45" hidden="false" customHeight="true" outlineLevel="0" collapsed="false">
      <c r="A4" s="8" t="s">
        <v>205</v>
      </c>
      <c r="B4" s="6" t="s">
        <v>206</v>
      </c>
    </row>
    <row r="5" customFormat="false" ht="45" hidden="false" customHeight="true" outlineLevel="0" collapsed="false">
      <c r="A5" s="8" t="s">
        <v>207</v>
      </c>
      <c r="B5" s="6" t="s">
        <v>208</v>
      </c>
    </row>
    <row r="6" customFormat="false" ht="45" hidden="false" customHeight="true" outlineLevel="0" collapsed="false">
      <c r="A6" s="8" t="s">
        <v>209</v>
      </c>
      <c r="B6" s="6" t="s">
        <v>210</v>
      </c>
    </row>
    <row r="7" customFormat="false" ht="45" hidden="false" customHeight="true" outlineLevel="0" collapsed="false">
      <c r="A7" s="8" t="s">
        <v>211</v>
      </c>
      <c r="B7" s="6" t="s">
        <v>212</v>
      </c>
    </row>
    <row r="8" customFormat="false" ht="45" hidden="false" customHeight="true" outlineLevel="0" collapsed="false">
      <c r="A8" s="8" t="s">
        <v>213</v>
      </c>
      <c r="B8" s="6" t="s">
        <v>214</v>
      </c>
    </row>
    <row r="9" customFormat="false" ht="45" hidden="false" customHeight="true" outlineLevel="0" collapsed="false">
      <c r="A9" s="8" t="s">
        <v>215</v>
      </c>
      <c r="B9" s="6" t="s">
        <v>216</v>
      </c>
    </row>
    <row r="10" customFormat="false" ht="45" hidden="false" customHeight="true" outlineLevel="0" collapsed="false">
      <c r="A10" s="8" t="s">
        <v>217</v>
      </c>
      <c r="B10" s="6"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31.5" hidden="false" customHeight="true" outlineLevel="0" collapsed="false">
      <c r="A1" s="5" t="s">
        <v>219</v>
      </c>
      <c r="B1" s="5" t="s">
        <v>220</v>
      </c>
      <c r="C1" s="5" t="s">
        <v>221</v>
      </c>
      <c r="D1" s="5" t="s">
        <v>222</v>
      </c>
      <c r="E1" s="5" t="s">
        <v>223</v>
      </c>
    </row>
    <row r="2" customFormat="false" ht="60" hidden="false" customHeight="true" outlineLevel="0" collapsed="false">
      <c r="A2" s="8" t="s">
        <v>59</v>
      </c>
      <c r="B2" s="7" t="n">
        <v>46313</v>
      </c>
      <c r="C2" s="6" t="s">
        <v>224</v>
      </c>
      <c r="D2" s="6" t="s">
        <v>225</v>
      </c>
      <c r="E2" s="6" t="s">
        <v>226</v>
      </c>
    </row>
    <row r="3" customFormat="false" ht="60" hidden="false" customHeight="true" outlineLevel="0" collapsed="false">
      <c r="A3" s="8" t="s">
        <v>118</v>
      </c>
      <c r="B3" s="7" t="n">
        <v>46319</v>
      </c>
      <c r="C3" s="6" t="s">
        <v>227</v>
      </c>
      <c r="D3" s="6" t="s">
        <v>228</v>
      </c>
      <c r="E3" s="6" t="s">
        <v>229</v>
      </c>
    </row>
    <row r="4" customFormat="false" ht="60" hidden="false" customHeight="true" outlineLevel="0" collapsed="false">
      <c r="A4" s="8" t="s">
        <v>160</v>
      </c>
      <c r="B4" s="7" t="n">
        <v>46332</v>
      </c>
      <c r="C4" s="6" t="s">
        <v>230</v>
      </c>
      <c r="D4" s="6" t="s">
        <v>231</v>
      </c>
      <c r="E4" s="6" t="s">
        <v>226</v>
      </c>
    </row>
    <row r="5" customFormat="false" ht="60" hidden="false" customHeight="true" outlineLevel="0" collapsed="false">
      <c r="A5" s="8" t="s">
        <v>77</v>
      </c>
      <c r="B5" s="7" t="n">
        <v>46314</v>
      </c>
      <c r="C5" s="6" t="s">
        <v>232</v>
      </c>
      <c r="D5" s="6" t="s">
        <v>233</v>
      </c>
      <c r="E5" s="6"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5" min="3" style="0" width="10"/>
    <col collapsed="false" customWidth="true" hidden="false" outlineLevel="0" max="7" min="6"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12"/>
    <col collapsed="false" customWidth="true" hidden="false" outlineLevel="0" max="12" min="12" style="0" width="50"/>
  </cols>
  <sheetData>
    <row r="1" customFormat="false" ht="31.5" hidden="false" customHeight="true" outlineLevel="0" collapsed="false">
      <c r="A1" s="5" t="s">
        <v>16</v>
      </c>
      <c r="B1" s="5" t="s">
        <v>234</v>
      </c>
      <c r="C1" s="5" t="s">
        <v>235</v>
      </c>
      <c r="D1" s="5" t="s">
        <v>236</v>
      </c>
      <c r="E1" s="5" t="s">
        <v>37</v>
      </c>
      <c r="F1" s="5" t="s">
        <v>38</v>
      </c>
      <c r="G1" s="5" t="s">
        <v>39</v>
      </c>
      <c r="H1" s="5" t="s">
        <v>40</v>
      </c>
      <c r="I1" s="5" t="s">
        <v>41</v>
      </c>
      <c r="J1" s="5" t="s">
        <v>42</v>
      </c>
      <c r="K1" s="5" t="s">
        <v>237</v>
      </c>
      <c r="L1" s="5" t="s">
        <v>238</v>
      </c>
    </row>
    <row r="2" customFormat="false" ht="15" hidden="false" customHeight="false" outlineLevel="0" collapsed="false">
      <c r="A2" s="14" t="n">
        <v>1</v>
      </c>
      <c r="B2" s="15" t="n">
        <v>46307</v>
      </c>
      <c r="C2" s="14" t="n">
        <f aca="false">COUNTIF(Calendar!$A$2:$A$21,A2)</f>
        <v>4</v>
      </c>
      <c r="D2" s="14" t="n">
        <f aca="false">COUNTIFS(Calendar!$A$2:$A$21,A2,Calendar!$T$2:$T$21,"Posted")</f>
        <v>0</v>
      </c>
      <c r="E2" s="16" t="n">
        <f aca="false">SUMIF(Calendar!$A$2:$A$21,A2,Calendar!$V$2:$V$21)</f>
        <v>0</v>
      </c>
      <c r="F2" s="16" t="n">
        <f aca="false">SUMIF(Calendar!$A$2:$A$21,A2,Calendar!$W$2:$W$21)</f>
        <v>0</v>
      </c>
      <c r="G2" s="16" t="n">
        <f aca="false">SUMIF(Calendar!$A$2:$A$21,A2,Calendar!$X$2:$X$21)</f>
        <v>0</v>
      </c>
      <c r="H2" s="16" t="n">
        <f aca="false">SUMIF(Calendar!$A$2:$A$21,A2,Calendar!$Y$2:$Y$21)</f>
        <v>0</v>
      </c>
      <c r="I2" s="16" t="n">
        <f aca="false">SUMIF(Calendar!$A$2:$A$21,A2,Calendar!$Z$2:$Z$21)</f>
        <v>0</v>
      </c>
      <c r="J2" s="16" t="n">
        <f aca="false">SUMIF(Calendar!$A$2:$A$21,A2,Calendar!$AA$2:$AA$21)</f>
        <v>0</v>
      </c>
      <c r="K2" s="17" t="n">
        <f aca="false">IFERROR(G2/E2*1000,0)</f>
        <v>0</v>
      </c>
      <c r="L2" s="9"/>
    </row>
    <row r="3" customFormat="false" ht="15" hidden="false" customHeight="false" outlineLevel="0" collapsed="false">
      <c r="A3" s="14" t="n">
        <v>2</v>
      </c>
      <c r="B3" s="15" t="n">
        <v>46314</v>
      </c>
      <c r="C3" s="14" t="n">
        <f aca="false">COUNTIF(Calendar!$A$2:$A$21,A3)</f>
        <v>4</v>
      </c>
      <c r="D3" s="14" t="n">
        <f aca="false">COUNTIFS(Calendar!$A$2:$A$21,A3,Calendar!$T$2:$T$21,"Posted")</f>
        <v>0</v>
      </c>
      <c r="E3" s="16" t="n">
        <f aca="false">SUMIF(Calendar!$A$2:$A$21,A3,Calendar!$V$2:$V$21)</f>
        <v>0</v>
      </c>
      <c r="F3" s="16" t="n">
        <f aca="false">SUMIF(Calendar!$A$2:$A$21,A3,Calendar!$W$2:$W$21)</f>
        <v>0</v>
      </c>
      <c r="G3" s="16" t="n">
        <f aca="false">SUMIF(Calendar!$A$2:$A$21,A3,Calendar!$X$2:$X$21)</f>
        <v>0</v>
      </c>
      <c r="H3" s="16" t="n">
        <f aca="false">SUMIF(Calendar!$A$2:$A$21,A3,Calendar!$Y$2:$Y$21)</f>
        <v>0</v>
      </c>
      <c r="I3" s="16" t="n">
        <f aca="false">SUMIF(Calendar!$A$2:$A$21,A3,Calendar!$Z$2:$Z$21)</f>
        <v>0</v>
      </c>
      <c r="J3" s="16" t="n">
        <f aca="false">SUMIF(Calendar!$A$2:$A$21,A3,Calendar!$AA$2:$AA$21)</f>
        <v>0</v>
      </c>
      <c r="K3" s="17" t="n">
        <f aca="false">IFERROR(G3/E3*1000,0)</f>
        <v>0</v>
      </c>
      <c r="L3" s="9"/>
    </row>
    <row r="4" customFormat="false" ht="15" hidden="false" customHeight="false" outlineLevel="0" collapsed="false">
      <c r="A4" s="14" t="n">
        <v>3</v>
      </c>
      <c r="B4" s="15" t="n">
        <v>46321</v>
      </c>
      <c r="C4" s="14" t="n">
        <f aca="false">COUNTIF(Calendar!$A$2:$A$21,A4)</f>
        <v>4</v>
      </c>
      <c r="D4" s="14" t="n">
        <f aca="false">COUNTIFS(Calendar!$A$2:$A$21,A4,Calendar!$T$2:$T$21,"Posted")</f>
        <v>0</v>
      </c>
      <c r="E4" s="16" t="n">
        <f aca="false">SUMIF(Calendar!$A$2:$A$21,A4,Calendar!$V$2:$V$21)</f>
        <v>0</v>
      </c>
      <c r="F4" s="16" t="n">
        <f aca="false">SUMIF(Calendar!$A$2:$A$21,A4,Calendar!$W$2:$W$21)</f>
        <v>0</v>
      </c>
      <c r="G4" s="16" t="n">
        <f aca="false">SUMIF(Calendar!$A$2:$A$21,A4,Calendar!$X$2:$X$21)</f>
        <v>0</v>
      </c>
      <c r="H4" s="16" t="n">
        <f aca="false">SUMIF(Calendar!$A$2:$A$21,A4,Calendar!$Y$2:$Y$21)</f>
        <v>0</v>
      </c>
      <c r="I4" s="16" t="n">
        <f aca="false">SUMIF(Calendar!$A$2:$A$21,A4,Calendar!$Z$2:$Z$21)</f>
        <v>0</v>
      </c>
      <c r="J4" s="16" t="n">
        <f aca="false">SUMIF(Calendar!$A$2:$A$21,A4,Calendar!$AA$2:$AA$21)</f>
        <v>0</v>
      </c>
      <c r="K4" s="17" t="n">
        <f aca="false">IFERROR(G4/E4*1000,0)</f>
        <v>0</v>
      </c>
      <c r="L4" s="9"/>
    </row>
    <row r="5" customFormat="false" ht="15" hidden="false" customHeight="false" outlineLevel="0" collapsed="false">
      <c r="A5" s="14" t="n">
        <v>4</v>
      </c>
      <c r="B5" s="15" t="n">
        <v>46328</v>
      </c>
      <c r="C5" s="14" t="n">
        <f aca="false">COUNTIF(Calendar!$A$2:$A$21,A5)</f>
        <v>4</v>
      </c>
      <c r="D5" s="14" t="n">
        <f aca="false">COUNTIFS(Calendar!$A$2:$A$21,A5,Calendar!$T$2:$T$21,"Posted")</f>
        <v>0</v>
      </c>
      <c r="E5" s="16" t="n">
        <f aca="false">SUMIF(Calendar!$A$2:$A$21,A5,Calendar!$V$2:$V$21)</f>
        <v>0</v>
      </c>
      <c r="F5" s="16" t="n">
        <f aca="false">SUMIF(Calendar!$A$2:$A$21,A5,Calendar!$W$2:$W$21)</f>
        <v>0</v>
      </c>
      <c r="G5" s="16" t="n">
        <f aca="false">SUMIF(Calendar!$A$2:$A$21,A5,Calendar!$X$2:$X$21)</f>
        <v>0</v>
      </c>
      <c r="H5" s="16" t="n">
        <f aca="false">SUMIF(Calendar!$A$2:$A$21,A5,Calendar!$Y$2:$Y$21)</f>
        <v>0</v>
      </c>
      <c r="I5" s="16" t="n">
        <f aca="false">SUMIF(Calendar!$A$2:$A$21,A5,Calendar!$Z$2:$Z$21)</f>
        <v>0</v>
      </c>
      <c r="J5" s="16" t="n">
        <f aca="false">SUMIF(Calendar!$A$2:$A$21,A5,Calendar!$AA$2:$AA$21)</f>
        <v>0</v>
      </c>
      <c r="K5" s="17" t="n">
        <f aca="false">IFERROR(G5/E5*1000,0)</f>
        <v>0</v>
      </c>
      <c r="L5" s="9"/>
    </row>
    <row r="6" customFormat="false" ht="15" hidden="false" customHeight="false" outlineLevel="0" collapsed="false">
      <c r="A6" s="14" t="n">
        <v>5</v>
      </c>
      <c r="B6" s="15" t="n">
        <v>46335</v>
      </c>
      <c r="C6" s="14" t="n">
        <f aca="false">COUNTIF(Calendar!$A$2:$A$21,A6)</f>
        <v>4</v>
      </c>
      <c r="D6" s="14" t="n">
        <f aca="false">COUNTIFS(Calendar!$A$2:$A$21,A6,Calendar!$T$2:$T$21,"Posted")</f>
        <v>0</v>
      </c>
      <c r="E6" s="16" t="n">
        <f aca="false">SUMIF(Calendar!$A$2:$A$21,A6,Calendar!$V$2:$V$21)</f>
        <v>0</v>
      </c>
      <c r="F6" s="16" t="n">
        <f aca="false">SUMIF(Calendar!$A$2:$A$21,A6,Calendar!$W$2:$W$21)</f>
        <v>0</v>
      </c>
      <c r="G6" s="16" t="n">
        <f aca="false">SUMIF(Calendar!$A$2:$A$21,A6,Calendar!$X$2:$X$21)</f>
        <v>0</v>
      </c>
      <c r="H6" s="16" t="n">
        <f aca="false">SUMIF(Calendar!$A$2:$A$21,A6,Calendar!$Y$2:$Y$21)</f>
        <v>0</v>
      </c>
      <c r="I6" s="16" t="n">
        <f aca="false">SUMIF(Calendar!$A$2:$A$21,A6,Calendar!$Z$2:$Z$21)</f>
        <v>0</v>
      </c>
      <c r="J6" s="16" t="n">
        <f aca="false">SUMIF(Calendar!$A$2:$A$21,A6,Calendar!$AA$2:$AA$21)</f>
        <v>0</v>
      </c>
      <c r="K6" s="17" t="n">
        <f aca="false">IFERROR(G6/E6*1000,0)</f>
        <v>0</v>
      </c>
      <c r="L6" s="9"/>
    </row>
    <row r="7" customFormat="false" ht="15" hidden="false" customHeight="false" outlineLevel="0" collapsed="false">
      <c r="A7" s="18" t="s">
        <v>239</v>
      </c>
      <c r="C7" s="19" t="n">
        <f aca="false">SUM(C2:C6)</f>
        <v>20</v>
      </c>
      <c r="D7" s="19" t="n">
        <f aca="false">SUM(D2:D6)</f>
        <v>0</v>
      </c>
      <c r="E7" s="19" t="n">
        <f aca="false">SUM(E2:E6)</f>
        <v>0</v>
      </c>
      <c r="F7" s="19" t="n">
        <f aca="false">SUM(F2:F6)</f>
        <v>0</v>
      </c>
      <c r="G7" s="19" t="n">
        <f aca="false">SUM(G2:G6)</f>
        <v>0</v>
      </c>
      <c r="H7" s="19" t="n">
        <f aca="false">SUM(H2:H6)</f>
        <v>0</v>
      </c>
      <c r="I7" s="19" t="n">
        <f aca="false">SUM(I2:I6)</f>
        <v>0</v>
      </c>
      <c r="J7" s="19" t="n">
        <f aca="false">SUM(J2:J6)</f>
        <v>0</v>
      </c>
      <c r="K7" s="20" t="n">
        <f aca="false">IFERROR(G7/E7*1000,0)</f>
        <v>0</v>
      </c>
    </row>
    <row r="9" customFormat="false" ht="15" hidden="false" customHeight="false" outlineLevel="0" collapsed="false">
      <c r="A9" s="21" t="s">
        <v>240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55"/>
  </cols>
  <sheetData>
    <row r="1" customFormat="false" ht="31.5" hidden="false" customHeight="true" outlineLevel="0" collapsed="false">
      <c r="A1" s="5" t="s">
        <v>241</v>
      </c>
      <c r="B1" s="5" t="s">
        <v>242</v>
      </c>
      <c r="C1" s="5" t="s">
        <v>179</v>
      </c>
    </row>
    <row r="2" customFormat="false" ht="15" hidden="false" customHeight="false" outlineLevel="0" collapsed="false">
      <c r="A2" s="22"/>
      <c r="B2" s="6" t="s">
        <v>243</v>
      </c>
      <c r="C2" s="6" t="s">
        <v>244</v>
      </c>
    </row>
    <row r="3" customFormat="false" ht="15" hidden="false" customHeight="false" outlineLevel="0" collapsed="false">
      <c r="A3" s="22"/>
      <c r="B3" s="6" t="s">
        <v>245</v>
      </c>
      <c r="C3" s="6" t="s">
        <v>246</v>
      </c>
    </row>
    <row r="4" customFormat="false" ht="15" hidden="false" customHeight="false" outlineLevel="0" collapsed="false">
      <c r="A4" s="22"/>
      <c r="B4" s="6" t="s">
        <v>247</v>
      </c>
      <c r="C4" s="6" t="s">
        <v>248</v>
      </c>
    </row>
    <row r="5" customFormat="false" ht="15" hidden="false" customHeight="false" outlineLevel="0" collapsed="false">
      <c r="A5" s="22"/>
      <c r="B5" s="6" t="s">
        <v>249</v>
      </c>
      <c r="C5" s="6" t="s">
        <v>250</v>
      </c>
    </row>
    <row r="6" customFormat="false" ht="15" hidden="false" customHeight="false" outlineLevel="0" collapsed="false">
      <c r="A6" s="22"/>
      <c r="B6" s="6" t="s">
        <v>251</v>
      </c>
      <c r="C6" s="6" t="s">
        <v>252</v>
      </c>
    </row>
    <row r="7" customFormat="false" ht="23.85" hidden="false" customHeight="false" outlineLevel="0" collapsed="false">
      <c r="A7" s="22"/>
      <c r="B7" s="6" t="s">
        <v>253</v>
      </c>
      <c r="C7" s="6" t="s">
        <v>254</v>
      </c>
    </row>
    <row r="8" customFormat="false" ht="15" hidden="false" customHeight="false" outlineLevel="0" collapsed="false">
      <c r="A8" s="22"/>
      <c r="B8" s="6" t="s">
        <v>255</v>
      </c>
      <c r="C8" s="6" t="s">
        <v>256</v>
      </c>
    </row>
    <row r="9" customFormat="false" ht="15" hidden="false" customHeight="false" outlineLevel="0" collapsed="false">
      <c r="A9" s="22"/>
      <c r="B9" s="6" t="s">
        <v>257</v>
      </c>
      <c r="C9" s="6" t="s">
        <v>258</v>
      </c>
    </row>
    <row r="10" customFormat="false" ht="15" hidden="false" customHeight="false" outlineLevel="0" collapsed="false">
      <c r="A10" s="22"/>
      <c r="B10" s="6" t="s">
        <v>259</v>
      </c>
      <c r="C10" s="6" t="s">
        <v>260</v>
      </c>
    </row>
  </sheetData>
  <dataValidations count="1">
    <dataValidation allowBlank="true" errorStyle="stop" operator="between" showDropDown="false" showErrorMessage="false" showInputMessage="false" sqref="A2:A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2026-10-17T01:31:52Z</dcterms:created>
  <dc:creator>openpyxl</dc:creator>
  <dc:description/>
  <dc:language>en-US</dc:language>
  <cp:lastModifiedBy/>
  <dcterms:modified xsi:type="dcterms:W3CDTF">2026-10-17T01:31:52Z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