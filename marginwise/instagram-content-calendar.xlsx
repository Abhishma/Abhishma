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lendar" sheetId="2" state="visible" r:id="rId4"/>
    <sheet name="Stories" sheetId="3" state="visible" r:id="rId5"/>
    <sheet name="How to make (no face)" sheetId="4" state="visible" r:id="rId6"/>
    <sheet name="Recording batches" sheetId="5" state="visible" r:id="rId7"/>
    <sheet name="Weekly review" sheetId="6" state="visible" r:id="rId8"/>
    <sheet name="Setup before 14 Oct" sheetId="7" state="visible" r:id="rId9"/>
  </sheets>
  <definedNames>
    <definedName function="false" hidden="true" localSheetId="1" name="_xlnm._FilterDatabase" vbProcedure="false">Calendar!$A$1:$AA$21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<sst xmlns="http://schemas.openxmlformats.org/spreadsheetml/2006/main" count="504" uniqueCount="266">
  <si>
    <t xml:space="preserve">Marginwise Instagram content calendar: 14 Oct to 15 Nov 2026</t>
  </si>
  <si>
    <t xml:space="preserve">Five weeks, 20 posts: 3 reels and 1 carousel a week, plus Stories on 4 days. Built from marginwise/instagram-playbook.md.</t>
  </si>
  <si>
    <t xml:space="preserve">Tabs</t>
  </si>
  <si>
    <t xml:space="preserve">Calendar: every post with hook, outline, step-by-step production (faceless), caption, CTA keyword and lead magnet. Fill the yellow columns after posting.</t>
  </si>
  <si>
    <t xml:space="preserve">Stories: the weekly Stories rhythm.</t>
  </si>
  <si>
    <t xml:space="preserve">How to make (no face): the kit and the step-by-step method used for every post. No camera needed.</t>
  </si>
  <si>
    <t xml:space="preserve">Recording batches: what to record in each session so you are never recording the night before.</t>
  </si>
  <si>
    <t xml:space="preserve">Weekly review: totals per week, calculated from the Calendar tab.</t>
  </si>
  <si>
    <t xml:space="preserve">Setup before 14 Oct: the checklist to finish before the first post.</t>
  </si>
  <si>
    <t xml:space="preserve">Rules</t>
  </si>
  <si>
    <t xml:space="preserve">From 18 Oct, posts for Australia, NZ or all markets go out at 13:30 IST (11:00 Riyadh, 19:00 Sydney, 21:00 Auckland). India and Saudi posts go out at 19:30 IST (17:00 Riyadh). The Calendar tab shows each date.</t>
  </si>
  <si>
    <t xml:space="preserve">No holiday greetings, memes or office posts. They underperformed for every competitor reviewed.</t>
  </si>
  <si>
    <t xml:space="preserve">Replace [Brand] placeholders with public pages only. Keep the tone constructive and keep logos out of thumbnails.</t>
  </si>
  <si>
    <t xml:space="preserve">Post Trial Reels first where marked; share to followers only if they hold viewers past 3 seconds.</t>
  </si>
  <si>
    <t xml:space="preserve">Do not publish a CTA keyword until its auto-DM and lead-magnet link work.</t>
  </si>
  <si>
    <t xml:space="preserve">Yellow cells are for you to fill in after posting (link, reach, saves, shares, DMs, calls).</t>
  </si>
  <si>
    <t xml:space="preserve">Week</t>
  </si>
  <si>
    <t xml:space="preserve">Date</t>
  </si>
  <si>
    <t xml:space="preserve">Day</t>
  </si>
  <si>
    <t xml:space="preserve">IST</t>
  </si>
  <si>
    <t xml:space="preserve">Riyadh</t>
  </si>
  <si>
    <t xml:space="preserve">Sydney</t>
  </si>
  <si>
    <t xml:space="preserve">Auckland</t>
  </si>
  <si>
    <t xml:space="preserve">Format</t>
  </si>
  <si>
    <t xml:space="preserve">Pillar</t>
  </si>
  <si>
    <t xml:space="preserve">Market</t>
  </si>
  <si>
    <t xml:space="preserve">Hook (on screen)</t>
  </si>
  <si>
    <t xml:space="preserve">Outline</t>
  </si>
  <si>
    <t xml:space="preserve">Step by step (no face)</t>
  </si>
  <si>
    <t xml:space="preserve">Caption</t>
  </si>
  <si>
    <t xml:space="preserve">CTA keyword</t>
  </si>
  <si>
    <t xml:space="preserve">Lead magnet</t>
  </si>
  <si>
    <t xml:space="preserve">Trial Reel first?</t>
  </si>
  <si>
    <t xml:space="preserve">Pin?</t>
  </si>
  <si>
    <t xml:space="preserve">Recording batch</t>
  </si>
  <si>
    <t xml:space="preserve">Status</t>
  </si>
  <si>
    <t xml:space="preserve">Post link</t>
  </si>
  <si>
    <t xml:space="preserve">Reach</t>
  </si>
  <si>
    <t xml:space="preserve">Saves</t>
  </si>
  <si>
    <t xml:space="preserve">Shares</t>
  </si>
  <si>
    <t xml:space="preserve">Comments</t>
  </si>
  <si>
    <t xml:space="preserve">DMs</t>
  </si>
  <si>
    <t xml:space="preserve">Calls booked</t>
  </si>
  <si>
    <t xml:space="preserve">Wed</t>
  </si>
  <si>
    <t xml:space="preserve">19:30</t>
  </si>
  <si>
    <t xml:space="preserve">17:00</t>
  </si>
  <si>
    <t xml:space="preserve">01:00</t>
  </si>
  <si>
    <t xml:space="preserve">03:00</t>
  </si>
  <si>
    <t xml:space="preserve">Reel (60s)</t>
  </si>
  <si>
    <t xml:space="preserve">Proof and trust</t>
  </si>
  <si>
    <t xml:space="preserve">All</t>
  </si>
  <si>
    <t xml:space="preserve">Every agency sells you ROAS. We sell you margin. This is what that looks like.</t>
  </si>
  <si>
    <t xml:space="preserve">Screen walkthrough of a Marginwise audit on a demo store (your own Shopify dev store or a public store, no client data): 1) funnel numbers, 2) three leaks ranked by revenue impact, 3) the one fix to ship this week, 4) the written summary the founder gets. Close on the four services and who it is not for.</t>
  </si>
  <si>
    <t xml:space="preserve">1. Record: Screen-record (desktop, QuickTime or OBS, 1080p) a walkthrough of an audit on a demo store: GA4 funnel, three leaks marked in a doc, the one-page written summary. Use a Shopify dev store or public pages only.
2. Script the voiceover (about 130 words for 60s): hook, the work, the takeaway, CTA. Open with: 'This is what we look at before we touch your ads.'
3. Voiceover: record in a quiet room on your phone (Voice Memos or CapCut &gt; Audio &gt; Record). One clean take; no AI voice.
4. Edit in CapCut (9:16): drop in recordings, lay voiceover, Auto captions on (white, bold, lower third), hook text on screen for the first 2 seconds. Zoom (keyframes) on each leak as you name it; red box highlights. Pin this post after publishing.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</si>
  <si>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agencies report ROAS. We report what you keep.
This is what a Marginwise audit looks like: your funnel, your three biggest leaks ranked by revenue impact, one fix to ship this week, and a written summary.
CRO, performance marketing, UX and app development for D2C and Shopify brands in India, the US and the UK.
Comment AUDIT and we will send you a 2-minute teardown of your store.
#d2c #shopify #ecommercegrowth</t>
  </si>
  <si>
    <t xml:space="preserve">AUDIT</t>
  </si>
  <si>
    <t xml:space="preserve">marginwise-store-leak-audit.pdf + free 2-min teardown</t>
  </si>
  <si>
    <t xml:space="preserve">No</t>
  </si>
  <si>
    <t xml:space="preserve">Yes</t>
  </si>
  <si>
    <t xml:space="preserve">Batch 1</t>
  </si>
  <si>
    <t xml:space="preserve">Planned</t>
  </si>
  <si>
    <t xml:space="preserve">Fri</t>
  </si>
  <si>
    <t xml:space="preserve">Reel (45s)</t>
  </si>
  <si>
    <t xml:space="preserve">Margin math</t>
  </si>
  <si>
    <t xml:space="preserve">Intl</t>
  </si>
  <si>
    <t xml:space="preserve">Your ROAS says 3x. Your bank account disagrees.</t>
  </si>
  <si>
    <t xml:space="preserve">Show 3x ROAS on screen. Remove over-attribution, returns, COGS, shipping, payment fees one by one. Land on contribution after ads. End: track contribution margin per order, not ROAS.</t>
  </si>
  <si>
    <t xml:space="preserve">1. Record: Screen-record the PROFIT calculator (ROAS to Profit tab) at 150% zoom, typing in a 3x ROAS store and watching contribution turn negative.
2. Script the voiceover (about 130 words for 60s): hook, the work, the takeaway, CTA. Say each cost as it is subtracted; end on the break-even ROAS cell.
3. Voiceover: record in a quiet room on your phone (Voice Memos or CapCut &gt; Audio &gt; Record). One clean take; no AI voice.
4. Edit in CapCut (9:16): drop in recordings, lay voiceover, Auto captions on (white, bold, lower third), hook text on screen for the first 2 seconds. Highlight the cell being changed each time; end frame on the verdict cell.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</si>
  <si>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ROAS is not profit. Here is what a 3x ROAS can actually leave you with once over-attribution, returns, product cost, shipping and fees come out.
Comment PROFIT and we will send you the calculator to run it on your own numbers.
#shopify #metaads #dtc</t>
  </si>
  <si>
    <t xml:space="preserve">PROFIT</t>
  </si>
  <si>
    <t xml:space="preserve">marginwise-profit-calculator-usd.xlsx + marginwise-roas-to-profit-checklist.pdf</t>
  </si>
  <si>
    <t xml:space="preserve">Sat</t>
  </si>
  <si>
    <t xml:space="preserve">Carousel (7 slides)</t>
  </si>
  <si>
    <t xml:space="preserve">Where D2C revenue leaks: 4 numbers every founder should know</t>
  </si>
  <si>
    <t xml:space="preserve">S1 hook. S2 70.22% of carts abandoned (Baymard). S3 35% conversion gain from better checkout design (Baymard). S4 8.4% more conversions from 0.1s faster mobile (Deloitte/Google). S5 26% RTO on COD vs under 2% prepaid (Shipway FY25). S6 what to fix first. S7 CTA.</t>
  </si>
  <si>
    <t xml:space="preserve">1. Canva &gt; Instagram Post (portrait) 1080x1350. Use one template for every carousel: navy background, white text, one idea per slide.
2. Slide copy: take it from the Outline column. Max 25 words per slide. Big number top half, one-line meaning and 'what to fix' bottom half.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</si>
  <si>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Four published numbers that explain where most D2C stores lose revenue, and what to fix first for each. Sources on every slide.
Save this for your next growth review. Comment AUDIT if you want us to check your store against them.
#ecommerce #cro #d2cbrands</t>
  </si>
  <si>
    <t xml:space="preserve">Design</t>
  </si>
  <si>
    <t xml:space="preserve">Sun</t>
  </si>
  <si>
    <t xml:space="preserve">Reel (50s)</t>
  </si>
  <si>
    <t xml:space="preserve">COD/RTO</t>
  </si>
  <si>
    <t xml:space="preserve">India + Saudi</t>
  </si>
  <si>
    <t xml:space="preserve">26% of your COD orders come back.</t>
  </si>
  <si>
    <t xml:space="preserve">Shipway FY25: 26% RTO on COD vs under 2% prepaid. What one RTO costs: forward and return shipping, packaging, wasted ad spend. Three fixes: prepaid incentive, WhatsApp confirmation for risky COD, switch off COD only in high-RTO pin codes.</t>
  </si>
  <si>
    <t xml:space="preserve">1. Record: Screen-record the RTO finder with sample orders loaded: the By State tab sorting by cost, one state flagged 'Restrict COD or verify'.
2. Script the voiceover (about 130 words for 60s): hook, the work, the takeaway, CTA. Use the Shipway 26% vs under 2% figure in the first line.
3. Voiceover: record in a quiet room on your phone (Voice Memos or CapCut &gt; Audio &gt; Record). One clean take; no AI voice.
4. Edit in CapCut (9:16): drop in recordings, lay voiceover, Auto captions on (white, bold, lower third), hook text on screen for the first 2 seconds. Text callout for each of the three fixes as you say it.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</si>
  <si>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Switching off COD everywhere is the wrong fix. Find the pin codes where it loses money and act only there.
Comment RTO and we will send you the sheet that ranks your states and pin codes by RTO cost.
#d2cindia #rto #shopifyindia</t>
  </si>
  <si>
    <t xml:space="preserve">RTO</t>
  </si>
  <si>
    <t xml:space="preserve">marginwise-rto-finder.xlsx + marginwise-cod-rto-playbook.pdf</t>
  </si>
  <si>
    <t xml:space="preserve">Tue</t>
  </si>
  <si>
    <t xml:space="preserve">13:30</t>
  </si>
  <si>
    <t xml:space="preserve">11:00</t>
  </si>
  <si>
    <t xml:space="preserve">19:00</t>
  </si>
  <si>
    <t xml:space="preserve">21:00</t>
  </si>
  <si>
    <t xml:space="preserve">Teardown</t>
  </si>
  <si>
    <t xml:space="preserve">ANZ</t>
  </si>
  <si>
    <t xml:space="preserve">[Brand] does everything right on this page except one thing.</t>
  </si>
  <si>
    <t xml:space="preserve">Screen-record a well-known Australian or New Zealand brand's mobile product page. Two strengths, one leak (shipping cost hidden until checkout, Afterpay messaging buried, review placement, or a slow image). What that leak costs in margin.</t>
  </si>
  <si>
    <t xml:space="preserve">1. Record: Phone screen-record (iOS Control Centre &gt; Screen Recording, or Android quick settings) the brand's mobile product page: scroll slowly, add to cart, open cart. 40 seconds, no notifications (Do Not Disturb on).
2. Script the voiceover (about 130 words for 60s): hook, the work, the takeaway, CTA. Two things it does well, then the one leak and what it costs.
3. Voiceover: record in a quiet room on your phone (Voice Memos or CapCut &gt; Audio &gt; Record). One clean take; no AI voice.
4. Edit in CapCut (9:16): drop in recordings, lay voiceover, Auto captions on (white, bold, lower third), hook text on screen for the first 2 seconds. Red circle on the leak; slow-zoom into it. Blur any personal data.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</si>
  <si>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A product page teardown with a margin lens: what converts, what leaks, and what the leak costs.
Want this for your store? Comment AUDIT.
#shopifyaustralia #ecommerceaustralia #nzbusiness</t>
  </si>
  <si>
    <t xml:space="preserve">Thu</t>
  </si>
  <si>
    <t xml:space="preserve">India</t>
  </si>
  <si>
    <t xml:space="preserve">Your revenue is growing. Your profit isn't. Here's why.</t>
  </si>
  <si>
    <t xml:space="preserve">Break down a ₹1,000 order: GST, COGS, ad cost per order, shipping, RTO, gateway fees, discounts. Land on contribution margin per order. Investors now ask for this, not GMV.</t>
  </si>
  <si>
    <t xml:space="preserve">1. Record: Screen-record the MARGIN calculator, Margin per Order tab, stepping through each cost line of a ₹1,000 order.
2. Script the voiceover (about 130 words for 60s): hook, the work, the takeaway, CTA. One sentence per cost line; end on contribution per order.
3. Voiceover: record in a quiet room on your phone (Voice Memos or CapCut &gt; Audio &gt; Record). One clean take; no AI voice.
4. Edit in CapCut (9:16): drop in recordings, lay voiceover, Auto captions on (white, bold, lower third), hook text on screen for the first 2 seconds. Running total as on-screen text in the top corner.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</si>
  <si>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Contribution margin per order, explained with a real ₹1,000 example.
Comment MARGIN and we will send you the calculator, including a what-if for pushing more buyers to prepaid.
#d2cindia #unitEconomics #founders</t>
  </si>
  <si>
    <t xml:space="preserve">MARGIN</t>
  </si>
  <si>
    <t xml:space="preserve">marginwise-margin-calculator-inr.xlsx + marginwise-contribution-margin-checklist.pdf</t>
  </si>
  <si>
    <t xml:space="preserve">Carousel (8 slides)</t>
  </si>
  <si>
    <t xml:space="preserve">What a ₹1,000 order actually earns you</t>
  </si>
  <si>
    <t xml:space="preserve">One cost per slide: GST, product cost, ad cost, shipping and packaging, RTO, COD fees, gateway fees. Final slide: contribution per order and the one lever that moves it most.</t>
  </si>
  <si>
    <t xml:space="preserve">1. Canva &gt; Instagram Post (portrait) 1080x1350. Use one template for every carousel: navy background, white text, one idea per slide.
2. Slide copy: take it from the Outline column. Max 25 words per slide. One cost per slide with the running total shown on every slide.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</si>
  <si>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Line by line, what is left of a ₹1,000 order once every cost is counted. Numbers are an example store; run your own with the calculator.
Comment MARGIN for the sheet.
#d2cindia #ecommerceindia #margin</t>
  </si>
  <si>
    <t xml:space="preserve">Save these 5 checkout pages before you redesign yours.</t>
  </si>
  <si>
    <t xml:space="preserve">Five public checkouts: two Australian or NZ, one Saudi, two Indian. One thing each does well: delivery date, express pay (Apple Pay, Afterpay, mada, UPI), COD/prepaid nudge, trust badges, order summary clarity.</t>
  </si>
  <si>
    <t xml:space="preserve">1. Record: Phone screen-record five public checkouts (stop before payment). 6-8 seconds each.
2. Script the voiceover (about 130 words for 60s): hook, the work, the takeaway, CTA. One line per checkout: what it does well.
3. Voiceover: record in a quiet room on your phone (Voice Memos or CapCut &gt; Audio &gt; Record). One clean take; no AI voice.
4. Edit in CapCut (9:16): drop in recordings, lay voiceover, Auto captions on (white, bold, lower third), hook text on screen for the first 2 seconds. Numbered label 1-5 on screen; 'Save this' text on the final frame.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</si>
  <si>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Five checkouts worth studying before your next redesign, and the one thing each gets right.
Save this. Comment AUDIT if you want yours reviewed.
#checkout #shopify #cro</t>
  </si>
  <si>
    <t xml:space="preserve">CRO</t>
  </si>
  <si>
    <t xml:space="preserve">7 out of 10 people who add to cart never buy.</t>
  </si>
  <si>
    <t xml:space="preserve">Baymard: 70.22% average cart abandonment across 50 studies. Three fixable reasons: surprise costs, forced account creation, too many steps. Show one fix for each on a Shopify checkout.</t>
  </si>
  <si>
    <t xml:space="preserve">1. Record: Phone screen-record a checkout showing a surprise shipping cost, a forced account screen and a long form (public stores).
2. Script the voiceover (about 130 words for 60s): hook, the work, the takeaway, CTA. Lead with Baymard's 70.22%; one fix per problem.
3. Voiceover: record in a quiet room on your phone (Voice Memos or CapCut &gt; Audio &gt; Record). One clean take; no AI voice.
4. Edit in CapCut (9:16): drop in recordings, lay voiceover, Auto captions on (white, bold, lower third), hook text on screen for the first 2 seconds. Split screen: problem on top, fix described as text below.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</si>
  <si>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Cart abandonment averages 70% (Baymard Institute). Three fixes that do not need a redesign.
Save this for your next checkout review.
#checkout #shopifytips #ecommerce</t>
  </si>
  <si>
    <t xml:space="preserve">Save</t>
  </si>
  <si>
    <t xml:space="preserve">None</t>
  </si>
  <si>
    <t xml:space="preserve">Batch 2</t>
  </si>
  <si>
    <t xml:space="preserve">[Indian Brand] is losing mobile buyers here.</t>
  </si>
  <si>
    <t xml:space="preserve">Screen-record an Indian D2C brand's mobile product page. Two strengths, one leak (COD/prepaid messaging, delivery date clarity, size guidance). The fix.</t>
  </si>
  <si>
    <t xml:space="preserve">1. Record: Phone screen-record the Indian brand's mobile product page: price, delivery date, COD/prepaid messaging, size guide.
2. Script the voiceover (about 130 words for 60s): hook, the work, the takeaway, CTA. Two strengths, one leak, the fix.
3. Voiceover: record in a quiet room on your phone (Voice Memos or CapCut &gt; Audio &gt; Record). One clean take; no AI voice.
4. Edit in CapCut (9:16): drop in recordings, lay voiceover, Auto captions on (white, bold, lower third), hook text on screen for the first 2 seconds. Red circle on the leak; ₹ figures as on-screen text.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</si>
  <si>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A mobile product page teardown of an Indian D2C brand, and one fix that lifts conversion without a redesign.
Comment AUDIT for a teardown of your store.
#d2cindia #cro #shopifyindia</t>
  </si>
  <si>
    <t xml:space="preserve">Carousel (6 slides)</t>
  </si>
  <si>
    <t xml:space="preserve">ANZ + Saudi</t>
  </si>
  <si>
    <t xml:space="preserve">How Australian, NZ and Saudi brands work with a team in India</t>
  </si>
  <si>
    <t xml:space="preserve">S1 hook. S2 overlap hours: Riyadh is 2.5 hours behind India, so the whole working day overlaps; Sydney and Auckland afternoons are India's morning. S3 weekly written update, with redacted example. S4 one senior contact. S5 billing in AUD, NZD or SAR, NDA, 30-day notice. S6 CTA.</t>
  </si>
  <si>
    <t xml:space="preserve">1. Canva &gt; Instagram Post (portrait) 1080x1350. Use one template for every carousel: navy background, white text, one idea per slide.
2. Slide copy: take it from the Outline column. Max 25 words per slide. Slide 3 shows a redacted sample weekly update; build it from a blank template, not client data.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</si>
  <si>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The three things founders worry about with an offshore team, and exactly how we handle each one.
Comment CHECKLIST for the questions to ask any agency, us included.
#ecommerceaustralia #saudibusiness #dtc</t>
  </si>
  <si>
    <t xml:space="preserve">CHECKLIST</t>
  </si>
  <si>
    <t xml:space="preserve">marginwise-agency-checklist.pdf</t>
  </si>
  <si>
    <t xml:space="preserve">Why founders worry about hiring an agency in India.</t>
  </si>
  <si>
    <t xml:space="preserve">Communication, time zones, quality. How each should be handled by any agency: overlap hours (Riyadh shares India's working day; Sydney and Auckland afternoons are India's morning), weekly written update, one senior point of contact. 'Ask any agency for these three.'</t>
  </si>
  <si>
    <t xml:space="preserve">1. Record: Screen-record the agency checklist PDF scrolling to the 'If the agency is in another country' section, plus a world clock showing Riyadh, India, Sydney and Auckland side by side.
2. Script the voiceover (about 130 words for 60s): hook, the work, the takeaway, CTA. Name the three worries, then the three answers.
3. Voiceover: record in a quiet room on your phone (Voice Memos or CapCut &gt; Audio &gt; Record). One clean take; no AI voice.
4. Edit in CapCut (9:16): drop in recordings, lay voiceover, Auto captions on (white, bold, lower third), hook text on screen for the first 2 seconds. Text list builds one line at a time.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</si>
  <si>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to ask any offshore agency before you sign, ourselves included.
Comment CHECKLIST for the full agency hiring checklist.
#ecommerceagency #shopifyaustralia #saudibusiness</t>
  </si>
  <si>
    <t xml:space="preserve">Retention</t>
  </si>
  <si>
    <t xml:space="preserve">Rating post-purchase emails. This one is a 2/10.</t>
  </si>
  <si>
    <t xml:space="preserve">Rate three order confirmation emails (public or redacted) with a score and one reason each. End on what a 9/10 email contains.</t>
  </si>
  <si>
    <t xml:space="preserve">1. Record: Screenshot three order confirmation emails (your own inbox; blur names, order numbers, addresses).
2. Script the voiceover (about 130 words for 60s): hook, the work, the takeaway, CTA. Score each out of 10 with one reason; end on what a 9/10 has.
3. Voiceover: record in a quiet room on your phone (Voice Memos or CapCut &gt; Audio &gt; Record). One clean take; no AI voice.
4. Edit in CapCut (9:16): drop in recordings, lay voiceover, Auto captions on (white, bold, lower third), hook text on screen for the first 2 seconds. Big score number appears on each email; slow scroll down each one.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</si>
  <si>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Your order confirmation email is the most-opened email you send. Most brands waste it on a receipt.
Comment FLOWS for the post-purchase checklist and a 10-point scorecard.
#klaviyo #emailmarketing #dtc</t>
  </si>
  <si>
    <t xml:space="preserve">FLOWS</t>
  </si>
  <si>
    <t xml:space="preserve">marginwise-post-purchase-email-checklist.pdf</t>
  </si>
  <si>
    <t xml:space="preserve">A tenth of a second changed conversions by 8.4%.</t>
  </si>
  <si>
    <t xml:space="preserve">Deloitte/Google study of 37 brands. Run a public store through PageSpeed. Show the three usual culprits: app scripts, oversized images, third-party widgets. Fix speed before buying more traffic.</t>
  </si>
  <si>
    <t xml:space="preserve">1. Record: Screen-record pagespeed.web.dev running on a public Shopify store, then the opportunities list.
2. Script the voiceover (about 130 words for 60s): hook, the work, the takeaway, CTA. Lead with Deloitte/Google 0.1s = 8.4%; name the three culprits.
3. Voiceover: record in a quiet room on your phone (Voice Memos or CapCut &gt; Audio &gt; Record). One clean take; no AI voice.
4. Edit in CapCut (9:16): drop in recordings, lay voiceover, Auto captions on (white, bold, lower third), hook text on screen for the first 2 seconds. Highlight the three culprits in the report as you name them.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</si>
  <si>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Fix speed before you buy more traffic. The three culprits on most Shopify stores.
Comment SPEED and we will check your store.
#shopifyspeed #cro #ecommerce</t>
  </si>
  <si>
    <t xml:space="preserve">SPEED</t>
  </si>
  <si>
    <t xml:space="preserve">marginwise-shopify-speed-checklist.pdf + speed check</t>
  </si>
  <si>
    <t xml:space="preserve">Sale-season checkout checklist: 7 fixes before Click Frenzy, White Friday and Black Friday</t>
  </si>
  <si>
    <t xml:space="preserve">One fix per slide: shipping cost shown early, guest checkout, express pay (Apple Pay, Afterpay, mada, Tabby or Tamara), delivery date, honest offer messaging, mobile speed, post-purchase upsell that keeps margin. Final slide CTA.</t>
  </si>
  <si>
    <t xml:space="preserve">1. Canva &gt; Instagram Post (portrait) 1080x1350. Use one template for every carousel: navy background, white text, one idea per slide.
2. Slide copy: take it from the Outline column. Max 25 words per slide. One fix per slide with a small mock of the checkout element it refers to.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</si>
  <si>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Seven checkout fixes you can still ship before the November sales, none of which need a redesign.
Comment BFCM for the full checklist with a sale timeline.
#blackfriday #clickfrenzy #whitefriday</t>
  </si>
  <si>
    <t xml:space="preserve">BFCM</t>
  </si>
  <si>
    <t xml:space="preserve">marginwise-black-friday-checklist.pdf</t>
  </si>
  <si>
    <t xml:space="preserve">Five questions to ask before you hire a D2C agency.</t>
  </si>
  <si>
    <t xml:space="preserve">Who works on my account? Whose name is the ad account in? Show a redacted report with CPA. Notice period? Which one metric in month one?</t>
  </si>
  <si>
    <t xml:space="preserve">1. Record: Screen-record the agency checklist PDF, top table (five questions, good answer, red flag).
2. Script the voiceover (about 130 words for 60s): hook, the work, the takeaway, CTA. Read each question and its red flag.
3. Voiceover: record in a quiet room on your phone (Voice Memos or CapCut &gt; Audio &gt; Record). One clean take; no AI voice.
4. Edit in CapCut (9:16): drop in recordings, lay voiceover, Auto captions on (white, bold, lower third), hook text on screen for the first 2 seconds. Highlight each row as you read it.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</si>
  <si>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founders pick an agency from the pitch deck. Ask these five questions instead, including to us.
Comment CHECKLIST for the full list.
#d2c #marketingagency #founders</t>
  </si>
  <si>
    <t xml:space="preserve">Buy now, pay later is not free. Here's what it costs you.</t>
  </si>
  <si>
    <t xml:space="preserve">Afterpay in Australia and NZ, Tabby and Tamara in Saudi: every BNPL order carries a merchant fee. Enter your own BNPL fee in the PROFIT calculator's payment fee line and show contribution per order before and after. Three levers: show BNPL only above a minimum order value, price bundles to lift AOV, steer repeat buyers to cheaper payment.</t>
  </si>
  <si>
    <t xml:space="preserve">1. Record: Screen-record the PROFIT calculator: raise the payment fee line to your BNPL fee, then raise AOV to show margin recovering.
2. Script the voiceover (about 130 words for 60s): hook, the work, the takeaway, CTA. Before vs after contribution per order; three levers.
3. Voiceover: record in a quiet room on your phone (Voice Memos or CapCut &gt; Audio &gt; Record). One clean take; no AI voice.
4. Edit in CapCut (9:16): drop in recordings, lay voiceover, Auto captions on (white, bold, lower third), hook text on screen for the first 2 seconds. Before/after numbers side by side as text.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</si>
  <si>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BNPL can lift conversion, but every order pays a merchant fee. Know what it does to your margin before you push it.
Comment PROFIT for the calculator and run it with your own fee.
#afterpay #tabby #ecommerceaustralia</t>
  </si>
  <si>
    <t xml:space="preserve">Batch 3</t>
  </si>
  <si>
    <t xml:space="preserve">Reel (40s)</t>
  </si>
  <si>
    <t xml:space="preserve">Your ₹1 lakh ad budget costs ₹1.18 lakh.</t>
  </si>
  <si>
    <t xml:space="preserve">Meta Ireland billing means 18% GST under reverse charge, paid in cash before credit. Show the cash timing. Add 18% to the ad budget in your cash-flow plan. Confirm with your CA.</t>
  </si>
  <si>
    <t xml:space="preserve">1. Record: Screen-record the MARGIN calculator, GST on Ads tab, typing ₹1,00,000.
2. Script the voiceover (about 130 words for 60s): hook, the work, the takeaway, CTA. Explain reverse charge in one sentence; say 'confirm with your CA'.
3. Voiceover: record in a quiet room on your phone (Voice Memos or CapCut &gt; Audio &gt; Record). One clean take; no AI voice.
4. Edit in CapCut (9:16): drop in recordings, lay voiceover, Auto captions on (white, bold, lower third), hook text on screen for the first 2 seconds. Show '₹1,18,000 leaves your account' as the final frame.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</si>
  <si>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The GST line that catches founders short on cash. Not tax advice; confirm with your CA.
Comment MARGIN for the calculator, which includes a GST-on-ads tab.
#d2cindia #metaads #gst</t>
  </si>
  <si>
    <t xml:space="preserve">After the sale: turn festive and Black Friday buyers into repeat buyers</t>
  </si>
  <si>
    <t xml:space="preserve">S1 hook. S2 why sale buyers churn. S3 the delivered + how-to-use email. S4 review request timing. S5 replenishment timed to your data. S6 win-back without a discount first. S7 CTA.</t>
  </si>
  <si>
    <t xml:space="preserve">1. Canva &gt; Instagram Post (portrait) 1080x1350. Use one template for every carousel: navy background, white text, one idea per slide.
2. Slide copy: take it from the Outline column. Max 25 words per slide. Each email slide shows when to send it and one line of example copy.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</si>
  <si>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Sale buyers are the easiest to lose. Five emails that bring them back without giving away margin.
Comment FLOWS for the full checklist.
#retention #emailmarketing #d2c</t>
  </si>
  <si>
    <t xml:space="preserve">We audited [N] D2C stores this month. The same 3 leaks showed up in [X] of them.</t>
  </si>
  <si>
    <t xml:space="preserve">Only post if the audits are real; use the actual count. Three most common leaks, anonymised. If fewer than 5 audits are done, swap for a second Indian teardown.</t>
  </si>
  <si>
    <t xml:space="preserve">1. Record: Screen-record a tally sheet of the audits you actually ran (store names hidden) and anonymised screenshots of the three leaks.
2. Script the voiceover (about 130 words for 60s): hook, the work, the takeaway, CTA. Use the real count. If under 5 audits, swap for a second Indian teardown and follow that recipe.
3. Voiceover: record in a quiet room on your phone (Voice Memos or CapCut &gt; Audio &gt; Record). One clean take; no AI voice.
4. Edit in CapCut (9:16): drop in recordings, lay voiceover, Auto captions on (white, bold, lower third), hook text on screen for the first 2 seconds. Counter animation for each leak's tally.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</si>
  <si>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we keep finding when we audit D2C stores, with no names attached.
Comment AUDIT to get yours.
#d2c #cro #ecommercegrowth</t>
  </si>
  <si>
    <t xml:space="preserve">Story type</t>
  </si>
  <si>
    <t xml:space="preserve">What to post</t>
  </si>
  <si>
    <t xml:space="preserve">Sticker</t>
  </si>
  <si>
    <t xml:space="preserve">Why</t>
  </si>
  <si>
    <t xml:space="preserve">Monday</t>
  </si>
  <si>
    <t xml:space="preserve">Poll</t>
  </si>
  <si>
    <t xml:space="preserve">One question for founders, alternating markets. Examples: 'What is your COD share? Under 30% / Over 30%'; 'Do you track contribution margin weekly? Yes / No'.</t>
  </si>
  <si>
    <t xml:space="preserve">Two-way interaction now ranks; poll answers tell you what to post next.</t>
  </si>
  <si>
    <t xml:space="preserve">Wednesday</t>
  </si>
  <si>
    <t xml:space="preserve">Behind the scenes</t>
  </si>
  <si>
    <t xml:space="preserve">15 seconds from a teardown in progress: the store on screen, one thing you spotted. No client names.</t>
  </si>
  <si>
    <t xml:space="preserve">Question box: 'Want yours next?'</t>
  </si>
  <si>
    <t xml:space="preserve">Shows the work, feeds AUDIT requests.</t>
  </si>
  <si>
    <t xml:space="preserve">Friday</t>
  </si>
  <si>
    <t xml:space="preserve">Reel share</t>
  </si>
  <si>
    <t xml:space="preserve">Share the week's best-performing reel with a one-line takeaway.</t>
  </si>
  <si>
    <t xml:space="preserve">Link: marginwise.in booking</t>
  </si>
  <si>
    <t xml:space="preserve">Stories with link stickers are the highest-intent surface.</t>
  </si>
  <si>
    <t xml:space="preserve">Sunday</t>
  </si>
  <si>
    <t xml:space="preserve">Answer</t>
  </si>
  <si>
    <t xml:space="preserve">Answer one question from DMs as 2-3 text frames over a screen recording or screenshot of the relevant page.</t>
  </si>
  <si>
    <t xml:space="preserve">Turns DMs into content and shows you reply.</t>
  </si>
  <si>
    <t xml:space="preserve">Step</t>
  </si>
  <si>
    <t xml:space="preserve">How</t>
  </si>
  <si>
    <t xml:space="preserve">Kit</t>
  </si>
  <si>
    <t xml:space="preserve">Laptop with QuickTime (Mac) or OBS (Windows) for desktop recording; phone screen recorder; CapCut (free); Canva (free); wired earphones with mic or any USB mic. No camera needed.</t>
  </si>
  <si>
    <t xml:space="preserve">Before recording</t>
  </si>
  <si>
    <t xml:space="preserve">Do Not Disturb on, browser in a clean profile (no bookmarks, no logged-in personal accounts), zoom browser to 125-150% so text is readable on a phone.</t>
  </si>
  <si>
    <t xml:space="preserve">Recording</t>
  </si>
  <si>
    <t xml:space="preserve">Move the cursor slowly and pause 1 second on anything you will talk about. Record 20% more than you need.</t>
  </si>
  <si>
    <t xml:space="preserve">Voiceover</t>
  </si>
  <si>
    <t xml:space="preserve">Your own voice, phone held 15 cm away, in a room with soft furnishings. Read from the script, then do one natural take without reading; use whichever sounds less scripted. Instagram rewards real human content; skip AI voices.</t>
  </si>
  <si>
    <t xml:space="preserve">If you do not want to use your voice</t>
  </si>
  <si>
    <t xml:space="preserve">Text-only version: put each script line as a caption block (3-4 words per screen), add quiet background music from CapCut's commercial library. Expect lower watch time; test it as a Trial Reel first.</t>
  </si>
  <si>
    <t xml:space="preserve">Editing</t>
  </si>
  <si>
    <t xml:space="preserve">CapCut: 9:16, Auto captions, hook text in the first 2 seconds, cut every pause over half a second, zoom and red-box highlights on whatever you name. Length 30-60 seconds.</t>
  </si>
  <si>
    <t xml:space="preserve">Privacy</t>
  </si>
  <si>
    <t xml:space="preserve">Blur names, emails, order numbers and any client data. Teardowns use public pages only.</t>
  </si>
  <si>
    <t xml:space="preserve">Carousels</t>
  </si>
  <si>
    <t xml:space="preserve">Canva 1080x1350, one template for all, max 25 words per slide, source line on stat slides, CTA slide last.</t>
  </si>
  <si>
    <t xml:space="preserve">After posting</t>
  </si>
  <si>
    <t xml:space="preserve">Reply to every comment in the first hour; check the auto-DM fired; log numbers in the Calendar tab after 7 days.</t>
  </si>
  <si>
    <t xml:space="preserve">Batch</t>
  </si>
  <si>
    <t xml:space="preserve">Film on</t>
  </si>
  <si>
    <t xml:space="preserve">Posts covered</t>
  </si>
  <si>
    <t xml:space="preserve">What to prepare</t>
  </si>
  <si>
    <t xml:space="preserve">Time needed</t>
  </si>
  <si>
    <t xml:space="preserve">Founder intro; ROAS 3x; COD RTO 26%; US/UK product page teardown; ₹1,000 order margin; 5 checkout pages</t>
  </si>
  <si>
    <t xml:space="preserve">Pick the US/UK brand and 5 checkouts (public pages). Record all screen captures first, then write and record every voiceover in one sitting.</t>
  </si>
  <si>
    <t xml:space="preserve">3 hours</t>
  </si>
  <si>
    <t xml:space="preserve">Cart abandonment; Indian teardown; offshore trust; email ratings; site speed; agency questions</t>
  </si>
  <si>
    <t xml:space="preserve">Pick the Indian brand and three order confirmation emails (your own inbox or public examples). Run PageSpeed on one public store.</t>
  </si>
  <si>
    <t xml:space="preserve">Tariffs; GST on ads; audit roundup</t>
  </si>
  <si>
    <t xml:space="preserve">Count real audits done so far. If fewer than 5, film a second Indian teardown instead of the roundup.</t>
  </si>
  <si>
    <t xml:space="preserve">2 hours</t>
  </si>
  <si>
    <t xml:space="preserve">All five carousels</t>
  </si>
  <si>
    <t xml:space="preserve">Use the same template: navy and white, one idea per slide, source line on every stat slide. Canva or Figma.</t>
  </si>
  <si>
    <t xml:space="preserve">4 hours</t>
  </si>
  <si>
    <t xml:space="preserve">Week starting</t>
  </si>
  <si>
    <t xml:space="preserve">Posts planned</t>
  </si>
  <si>
    <t xml:space="preserve">Posts posted</t>
  </si>
  <si>
    <t xml:space="preserve">Shares per 1,000 reach</t>
  </si>
  <si>
    <t xml:space="preserve">What to change next week</t>
  </si>
  <si>
    <t xml:space="preserve">Total</t>
  </si>
  <si>
    <t xml:space="preserve">Judge the account on calls booked and DMs, not reach. Shares per 1,000 reach is the best early signal of what Instagram will push.</t>
  </si>
  <si>
    <t xml:space="preserve">Done?</t>
  </si>
  <si>
    <t xml:space="preserve">Task</t>
  </si>
  <si>
    <t xml:space="preserve">Switch to Business account, category Marketing Agency, contact email set</t>
  </si>
  <si>
    <t xml:space="preserve">Unlocks insights, contact button and approved DM tools</t>
  </si>
  <si>
    <t xml:space="preserve">Bio, name field and website link with UTM added</t>
  </si>
  <si>
    <t xml:space="preserve">Profile visits convert from here</t>
  </si>
  <si>
    <t xml:space="preserve">Two-factor authentication on, backup codes saved</t>
  </si>
  <si>
    <t xml:space="preserve">A hacked brand account is hard to recover</t>
  </si>
  <si>
    <t xml:space="preserve">All lead magnets (3 sheets, 8 PDFs) uploaded to Drive or the website with share links</t>
  </si>
  <si>
    <t xml:space="preserve">Every CTA keyword depends on these</t>
  </si>
  <si>
    <t xml:space="preserve">Auto-DM tool connected and the 8 keywords tested from a second account</t>
  </si>
  <si>
    <t xml:space="preserve">Broken DMs waste the first reels</t>
  </si>
  <si>
    <t xml:space="preserve">Highlight covers made: Teardowns, How we work, US/UK clients, COD/RTO, Book a call</t>
  </si>
  <si>
    <t xml:space="preserve">Profile looks complete from day one</t>
  </si>
  <si>
    <t xml:space="preserve">GA4 check that utm_source=instagram shows up</t>
  </si>
  <si>
    <t xml:space="preserve">So calls can be traced to reels</t>
  </si>
  <si>
    <t xml:space="preserve">Employment-contract check done</t>
  </si>
  <si>
    <t xml:space="preserve">Before posting anything publicly</t>
  </si>
  <si>
    <t xml:space="preserve">UK decision made (keep in bio and site, or remove)</t>
  </si>
  <si>
    <t xml:space="preserve">Bio and website must match</t>
  </si>
</sst>
</file>

<file path=xl/styles.xml><?xml version="1.0" encoding="utf-8"?>
<styleSheet xmlns="http://schemas.openxmlformats.org/spreadsheetml/2006/main">
  <numFmts count="4">
    <numFmt numFmtId="164" formatCode="General"/>
    <numFmt numFmtId="165" formatCode="dd\ mmm\ yyyy"/>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sz val="10"/>
      <color rgb="FF000000"/>
      <name val="Arial"/>
      <family val="0"/>
      <charset val="1"/>
    </font>
    <font>
      <b val="true"/>
      <sz val="11"/>
      <color rgb="FF1F2A44"/>
      <name val="Arial"/>
      <family val="0"/>
      <charset val="1"/>
    </font>
    <font>
      <sz val="10"/>
      <color rgb="FF0000FF"/>
      <name val="Arial"/>
      <family val="0"/>
      <charset val="1"/>
    </font>
    <font>
      <b val="true"/>
      <sz val="10"/>
      <color rgb="FFFFFFFF"/>
      <name val="Arial"/>
      <family val="0"/>
      <charset val="1"/>
    </font>
    <font>
      <b val="true"/>
      <sz val="10"/>
      <color rgb="FF000000"/>
      <name val="Arial"/>
      <family val="0"/>
      <charset val="1"/>
    </font>
    <font>
      <i val="true"/>
      <sz val="9"/>
      <color rgb="FF555555"/>
      <name val="Arial"/>
      <family val="0"/>
      <charset val="1"/>
    </font>
  </fonts>
  <fills count="5">
    <fill>
      <patternFill patternType="none"/>
    </fill>
    <fill>
      <patternFill patternType="gray125"/>
    </fill>
    <fill>
      <patternFill patternType="solid">
        <fgColor rgb="FFFFF6CC"/>
        <bgColor rgb="FFFFFFFF"/>
      </patternFill>
    </fill>
    <fill>
      <patternFill patternType="solid">
        <fgColor rgb="FF1F2A44"/>
        <bgColor rgb="FF003366"/>
      </patternFill>
    </fill>
    <fill>
      <patternFill patternType="solid">
        <fgColor rgb="FFE8ECF4"/>
        <bgColor rgb="FFFFFFFF"/>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A44"/>
          <bgColor rgb="FF000000"/>
        </patternFill>
      </fill>
    </dxf>
    <dxf>
      <fill>
        <patternFill patternType="solid">
          <fgColor rgb="FFE8ECF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6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C"/>
      <rgbColor rgb="FFE8ECF4"/>
      <rgbColor rgb="FF660066"/>
      <rgbColor rgb="FFFF8080"/>
      <rgbColor rgb="FF0066CC"/>
      <rgbColor rgb="FFC9CE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3" t="s">
        <v>9</v>
      </c>
    </row>
    <row r="12" customFormat="false" ht="23.85" hidden="false" customHeight="false" outlineLevel="0" collapsed="false">
      <c r="A12" s="2" t="s">
        <v>10</v>
      </c>
    </row>
    <row r="13" customFormat="false" ht="15" hidden="false" customHeight="false" outlineLevel="0" collapsed="false">
      <c r="A13" s="2" t="s">
        <v>11</v>
      </c>
    </row>
    <row r="14" customFormat="false" ht="15" hidden="false" customHeight="false" outlineLevel="0" collapsed="false">
      <c r="A14" s="2" t="s">
        <v>12</v>
      </c>
    </row>
    <row r="15" customFormat="false" ht="15" hidden="false" customHeight="false" outlineLevel="0" collapsed="false">
      <c r="A15" s="2" t="s">
        <v>13</v>
      </c>
    </row>
    <row r="16" customFormat="false" ht="15" hidden="false" customHeight="false" outlineLevel="0" collapsed="false">
      <c r="A16" s="2" t="s">
        <v>14</v>
      </c>
    </row>
    <row r="17" customFormat="false" ht="15" hidden="false" customHeight="false" outlineLevel="0" collapsed="false">
      <c r="A17"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6"/>
    <col collapsed="false" customWidth="true" hidden="false" outlineLevel="0" max="4" min="4" style="0" width="7"/>
    <col collapsed="false" customWidth="true" hidden="false" outlineLevel="0" max="6" min="5" style="0" width="8"/>
    <col collapsed="false" customWidth="true" hidden="false" outlineLevel="0" max="7" min="7" style="0" width="9"/>
    <col collapsed="false" customWidth="true" hidden="false" outlineLevel="0" max="8" min="8" style="0" width="15"/>
    <col collapsed="false" customWidth="true" hidden="false" outlineLevel="0" max="9" min="9" style="0" width="14"/>
    <col collapsed="false" customWidth="true" hidden="false" outlineLevel="0" max="10" min="10" style="0" width="8"/>
    <col collapsed="false" customWidth="true" hidden="false" outlineLevel="0" max="11" min="11" style="0" width="34"/>
    <col collapsed="false" customWidth="true" hidden="false" outlineLevel="0" max="12" min="12" style="0" width="45"/>
    <col collapsed="false" customWidth="true" hidden="false" outlineLevel="0" max="13" min="13" style="0" width="70"/>
    <col collapsed="false" customWidth="true" hidden="false" outlineLevel="0" max="14" min="14" style="0" width="55"/>
    <col collapsed="false" customWidth="true" hidden="false" outlineLevel="0" max="15" min="15" style="0" width="12"/>
    <col collapsed="false" customWidth="true" hidden="false" outlineLevel="0" max="16" min="16" style="0" width="30"/>
    <col collapsed="false" customWidth="true" hidden="false" outlineLevel="0" max="17" min="17" style="0" width="10"/>
    <col collapsed="false" customWidth="true" hidden="false" outlineLevel="0" max="18" min="18" style="0" width="6"/>
    <col collapsed="false" customWidth="true" hidden="false" outlineLevel="0" max="20" min="19" style="0" width="11"/>
    <col collapsed="false" customWidth="true" hidden="false" outlineLevel="0" max="21" min="21" style="0" width="24"/>
    <col collapsed="false" customWidth="true" hidden="false" outlineLevel="0" max="22" min="22" style="0" width="9"/>
    <col collapsed="false" customWidth="true" hidden="false" outlineLevel="0" max="24" min="23" style="0" width="8"/>
    <col collapsed="false" customWidth="true" hidden="false" outlineLevel="0" max="25" min="25" style="0" width="10"/>
    <col collapsed="false" customWidth="true" hidden="false" outlineLevel="0" max="26" min="26" style="0" width="8"/>
    <col collapsed="false" customWidth="true" hidden="false" outlineLevel="0" max="27" min="27" style="0" width="9"/>
  </cols>
  <sheetData>
    <row r="1" customFormat="false" ht="31.5" hidden="false" customHeight="true" outlineLevel="0" collapsed="false">
      <c r="A1" s="5" t="s">
        <v>16</v>
      </c>
      <c r="B1" s="5" t="s">
        <v>17</v>
      </c>
      <c r="C1" s="5" t="s">
        <v>18</v>
      </c>
      <c r="D1" s="5" t="s">
        <v>19</v>
      </c>
      <c r="E1" s="5" t="s">
        <v>20</v>
      </c>
      <c r="F1" s="5" t="s">
        <v>21</v>
      </c>
      <c r="G1" s="5" t="s">
        <v>22</v>
      </c>
      <c r="H1" s="5" t="s">
        <v>23</v>
      </c>
      <c r="I1" s="5" t="s">
        <v>24</v>
      </c>
      <c r="J1" s="5" t="s">
        <v>25</v>
      </c>
      <c r="K1" s="5" t="s">
        <v>26</v>
      </c>
      <c r="L1" s="5" t="s">
        <v>27</v>
      </c>
      <c r="M1" s="5" t="s">
        <v>28</v>
      </c>
      <c r="N1" s="5" t="s">
        <v>29</v>
      </c>
      <c r="O1" s="5" t="s">
        <v>30</v>
      </c>
      <c r="P1" s="5" t="s">
        <v>31</v>
      </c>
      <c r="Q1" s="5" t="s">
        <v>32</v>
      </c>
      <c r="R1" s="5" t="s">
        <v>33</v>
      </c>
      <c r="S1" s="5" t="s">
        <v>34</v>
      </c>
      <c r="T1" s="5" t="s">
        <v>35</v>
      </c>
      <c r="U1" s="5" t="s">
        <v>36</v>
      </c>
      <c r="V1" s="5" t="s">
        <v>37</v>
      </c>
      <c r="W1" s="5" t="s">
        <v>38</v>
      </c>
      <c r="X1" s="5" t="s">
        <v>39</v>
      </c>
      <c r="Y1" s="5" t="s">
        <v>40</v>
      </c>
      <c r="Z1" s="5" t="s">
        <v>41</v>
      </c>
      <c r="AA1" s="5" t="s">
        <v>42</v>
      </c>
    </row>
    <row r="2" customFormat="false" ht="229.5" hidden="false" customHeight="true" outlineLevel="0" collapsed="false">
      <c r="A2" s="6" t="n">
        <v>1</v>
      </c>
      <c r="B2" s="7" t="n">
        <v>46309</v>
      </c>
      <c r="C2" s="6" t="s">
        <v>43</v>
      </c>
      <c r="D2" s="6" t="s">
        <v>44</v>
      </c>
      <c r="E2" s="6" t="s">
        <v>45</v>
      </c>
      <c r="F2" s="6" t="s">
        <v>46</v>
      </c>
      <c r="G2" s="6" t="s">
        <v>47</v>
      </c>
      <c r="H2" s="6" t="s">
        <v>48</v>
      </c>
      <c r="I2" s="6" t="s">
        <v>49</v>
      </c>
      <c r="J2" s="6" t="s">
        <v>50</v>
      </c>
      <c r="K2" s="8" t="s">
        <v>51</v>
      </c>
      <c r="L2" s="6" t="s">
        <v>52</v>
      </c>
      <c r="M2" s="6" t="s">
        <v>53</v>
      </c>
      <c r="N2" s="6" t="s">
        <v>54</v>
      </c>
      <c r="O2" s="6" t="s">
        <v>55</v>
      </c>
      <c r="P2" s="6" t="s">
        <v>56</v>
      </c>
      <c r="Q2" s="6" t="s">
        <v>57</v>
      </c>
      <c r="R2" s="6" t="s">
        <v>58</v>
      </c>
      <c r="S2" s="6" t="s">
        <v>59</v>
      </c>
      <c r="T2" s="6" t="s">
        <v>60</v>
      </c>
      <c r="U2" s="9"/>
      <c r="V2" s="10"/>
      <c r="W2" s="10"/>
      <c r="X2" s="10"/>
      <c r="Y2" s="10"/>
      <c r="Z2" s="10"/>
      <c r="AA2" s="10"/>
    </row>
    <row r="3" customFormat="false" ht="229.5" hidden="false" customHeight="true" outlineLevel="0" collapsed="false">
      <c r="A3" s="6" t="n">
        <v>1</v>
      </c>
      <c r="B3" s="7" t="n">
        <v>46311</v>
      </c>
      <c r="C3" s="6" t="s">
        <v>61</v>
      </c>
      <c r="D3" s="6" t="s">
        <v>44</v>
      </c>
      <c r="E3" s="6" t="s">
        <v>45</v>
      </c>
      <c r="F3" s="6" t="s">
        <v>46</v>
      </c>
      <c r="G3" s="6" t="s">
        <v>47</v>
      </c>
      <c r="H3" s="6" t="s">
        <v>62</v>
      </c>
      <c r="I3" s="6" t="s">
        <v>63</v>
      </c>
      <c r="J3" s="6" t="s">
        <v>64</v>
      </c>
      <c r="K3" s="8" t="s">
        <v>65</v>
      </c>
      <c r="L3" s="6" t="s">
        <v>66</v>
      </c>
      <c r="M3" s="6" t="s">
        <v>67</v>
      </c>
      <c r="N3" s="6" t="s">
        <v>68</v>
      </c>
      <c r="O3" s="6" t="s">
        <v>69</v>
      </c>
      <c r="P3" s="6" t="s">
        <v>70</v>
      </c>
      <c r="Q3" s="6" t="s">
        <v>58</v>
      </c>
      <c r="R3" s="6" t="s">
        <v>58</v>
      </c>
      <c r="S3" s="6" t="s">
        <v>59</v>
      </c>
      <c r="T3" s="6" t="s">
        <v>60</v>
      </c>
      <c r="U3" s="9"/>
      <c r="V3" s="10"/>
      <c r="W3" s="10"/>
      <c r="X3" s="10"/>
      <c r="Y3" s="10"/>
      <c r="Z3" s="10"/>
      <c r="AA3" s="10"/>
    </row>
    <row r="4" customFormat="false" ht="229.5" hidden="false" customHeight="true" outlineLevel="0" collapsed="false">
      <c r="A4" s="6" t="n">
        <v>1</v>
      </c>
      <c r="B4" s="7" t="n">
        <v>46312</v>
      </c>
      <c r="C4" s="6" t="s">
        <v>71</v>
      </c>
      <c r="D4" s="6" t="s">
        <v>44</v>
      </c>
      <c r="E4" s="6" t="s">
        <v>45</v>
      </c>
      <c r="F4" s="6" t="s">
        <v>46</v>
      </c>
      <c r="G4" s="6" t="s">
        <v>47</v>
      </c>
      <c r="H4" s="6" t="s">
        <v>72</v>
      </c>
      <c r="I4" s="6" t="s">
        <v>63</v>
      </c>
      <c r="J4" s="6" t="s">
        <v>50</v>
      </c>
      <c r="K4" s="8" t="s">
        <v>73</v>
      </c>
      <c r="L4" s="6" t="s">
        <v>74</v>
      </c>
      <c r="M4" s="6" t="s">
        <v>75</v>
      </c>
      <c r="N4" s="6" t="s">
        <v>76</v>
      </c>
      <c r="O4" s="6" t="s">
        <v>55</v>
      </c>
      <c r="P4" s="6" t="s">
        <v>56</v>
      </c>
      <c r="Q4" s="6" t="s">
        <v>57</v>
      </c>
      <c r="R4" s="6" t="s">
        <v>57</v>
      </c>
      <c r="S4" s="6" t="s">
        <v>77</v>
      </c>
      <c r="T4" s="6" t="s">
        <v>60</v>
      </c>
      <c r="U4" s="9"/>
      <c r="V4" s="10"/>
      <c r="W4" s="10"/>
      <c r="X4" s="10"/>
      <c r="Y4" s="10"/>
      <c r="Z4" s="10"/>
      <c r="AA4" s="10"/>
    </row>
    <row r="5" customFormat="false" ht="229.5" hidden="false" customHeight="true" outlineLevel="0" collapsed="false">
      <c r="A5" s="6" t="n">
        <v>1</v>
      </c>
      <c r="B5" s="7" t="n">
        <v>46313</v>
      </c>
      <c r="C5" s="6" t="s">
        <v>78</v>
      </c>
      <c r="D5" s="6" t="s">
        <v>44</v>
      </c>
      <c r="E5" s="6" t="s">
        <v>45</v>
      </c>
      <c r="F5" s="6" t="s">
        <v>46</v>
      </c>
      <c r="G5" s="6" t="s">
        <v>47</v>
      </c>
      <c r="H5" s="6" t="s">
        <v>79</v>
      </c>
      <c r="I5" s="6" t="s">
        <v>80</v>
      </c>
      <c r="J5" s="6" t="s">
        <v>81</v>
      </c>
      <c r="K5" s="8" t="s">
        <v>82</v>
      </c>
      <c r="L5" s="6" t="s">
        <v>83</v>
      </c>
      <c r="M5" s="6" t="s">
        <v>84</v>
      </c>
      <c r="N5" s="6" t="s">
        <v>85</v>
      </c>
      <c r="O5" s="6" t="s">
        <v>86</v>
      </c>
      <c r="P5" s="6" t="s">
        <v>87</v>
      </c>
      <c r="Q5" s="6" t="s">
        <v>58</v>
      </c>
      <c r="R5" s="6" t="s">
        <v>58</v>
      </c>
      <c r="S5" s="6" t="s">
        <v>59</v>
      </c>
      <c r="T5" s="6" t="s">
        <v>60</v>
      </c>
      <c r="U5" s="9"/>
      <c r="V5" s="10"/>
      <c r="W5" s="10"/>
      <c r="X5" s="10"/>
      <c r="Y5" s="10"/>
      <c r="Z5" s="10"/>
      <c r="AA5" s="10"/>
    </row>
    <row r="6" customFormat="false" ht="229.5" hidden="false" customHeight="true" outlineLevel="0" collapsed="false">
      <c r="A6" s="11" t="n">
        <v>2</v>
      </c>
      <c r="B6" s="12" t="n">
        <v>46315</v>
      </c>
      <c r="C6" s="11" t="s">
        <v>88</v>
      </c>
      <c r="D6" s="11" t="s">
        <v>89</v>
      </c>
      <c r="E6" s="11" t="s">
        <v>90</v>
      </c>
      <c r="F6" s="11" t="s">
        <v>91</v>
      </c>
      <c r="G6" s="11" t="s">
        <v>92</v>
      </c>
      <c r="H6" s="11" t="s">
        <v>48</v>
      </c>
      <c r="I6" s="11" t="s">
        <v>93</v>
      </c>
      <c r="J6" s="11" t="s">
        <v>94</v>
      </c>
      <c r="K6" s="13" t="s">
        <v>95</v>
      </c>
      <c r="L6" s="11" t="s">
        <v>96</v>
      </c>
      <c r="M6" s="11" t="s">
        <v>97</v>
      </c>
      <c r="N6" s="11" t="s">
        <v>98</v>
      </c>
      <c r="O6" s="11" t="s">
        <v>55</v>
      </c>
      <c r="P6" s="11" t="s">
        <v>56</v>
      </c>
      <c r="Q6" s="11" t="s">
        <v>58</v>
      </c>
      <c r="R6" s="11" t="s">
        <v>57</v>
      </c>
      <c r="S6" s="11" t="s">
        <v>59</v>
      </c>
      <c r="T6" s="11" t="s">
        <v>60</v>
      </c>
      <c r="U6" s="9"/>
      <c r="V6" s="10"/>
      <c r="W6" s="10"/>
      <c r="X6" s="10"/>
      <c r="Y6" s="10"/>
      <c r="Z6" s="10"/>
      <c r="AA6" s="10"/>
    </row>
    <row r="7" customFormat="false" ht="229.5" hidden="false" customHeight="true" outlineLevel="0" collapsed="false">
      <c r="A7" s="11" t="n">
        <v>2</v>
      </c>
      <c r="B7" s="12" t="n">
        <v>46317</v>
      </c>
      <c r="C7" s="11" t="s">
        <v>99</v>
      </c>
      <c r="D7" s="11" t="s">
        <v>44</v>
      </c>
      <c r="E7" s="11" t="s">
        <v>45</v>
      </c>
      <c r="F7" s="11" t="s">
        <v>46</v>
      </c>
      <c r="G7" s="11" t="s">
        <v>47</v>
      </c>
      <c r="H7" s="11" t="s">
        <v>48</v>
      </c>
      <c r="I7" s="11" t="s">
        <v>63</v>
      </c>
      <c r="J7" s="11" t="s">
        <v>100</v>
      </c>
      <c r="K7" s="13" t="s">
        <v>101</v>
      </c>
      <c r="L7" s="11" t="s">
        <v>102</v>
      </c>
      <c r="M7" s="11" t="s">
        <v>103</v>
      </c>
      <c r="N7" s="11" t="s">
        <v>104</v>
      </c>
      <c r="O7" s="11" t="s">
        <v>105</v>
      </c>
      <c r="P7" s="11" t="s">
        <v>106</v>
      </c>
      <c r="Q7" s="11" t="s">
        <v>57</v>
      </c>
      <c r="R7" s="11" t="s">
        <v>57</v>
      </c>
      <c r="S7" s="11" t="s">
        <v>59</v>
      </c>
      <c r="T7" s="11" t="s">
        <v>60</v>
      </c>
      <c r="U7" s="9"/>
      <c r="V7" s="10"/>
      <c r="W7" s="10"/>
      <c r="X7" s="10"/>
      <c r="Y7" s="10"/>
      <c r="Z7" s="10"/>
      <c r="AA7" s="10"/>
    </row>
    <row r="8" customFormat="false" ht="229.5" hidden="false" customHeight="true" outlineLevel="0" collapsed="false">
      <c r="A8" s="11" t="n">
        <v>2</v>
      </c>
      <c r="B8" s="12" t="n">
        <v>46319</v>
      </c>
      <c r="C8" s="11" t="s">
        <v>71</v>
      </c>
      <c r="D8" s="11" t="s">
        <v>44</v>
      </c>
      <c r="E8" s="11" t="s">
        <v>45</v>
      </c>
      <c r="F8" s="11" t="s">
        <v>46</v>
      </c>
      <c r="G8" s="11" t="s">
        <v>47</v>
      </c>
      <c r="H8" s="11" t="s">
        <v>107</v>
      </c>
      <c r="I8" s="11" t="s">
        <v>63</v>
      </c>
      <c r="J8" s="11" t="s">
        <v>100</v>
      </c>
      <c r="K8" s="13" t="s">
        <v>108</v>
      </c>
      <c r="L8" s="11" t="s">
        <v>109</v>
      </c>
      <c r="M8" s="11" t="s">
        <v>110</v>
      </c>
      <c r="N8" s="11" t="s">
        <v>111</v>
      </c>
      <c r="O8" s="11" t="s">
        <v>105</v>
      </c>
      <c r="P8" s="11" t="s">
        <v>106</v>
      </c>
      <c r="Q8" s="11" t="s">
        <v>57</v>
      </c>
      <c r="R8" s="11" t="s">
        <v>57</v>
      </c>
      <c r="S8" s="11" t="s">
        <v>77</v>
      </c>
      <c r="T8" s="11" t="s">
        <v>60</v>
      </c>
      <c r="U8" s="9"/>
      <c r="V8" s="10"/>
      <c r="W8" s="10"/>
      <c r="X8" s="10"/>
      <c r="Y8" s="10"/>
      <c r="Z8" s="10"/>
      <c r="AA8" s="10"/>
    </row>
    <row r="9" customFormat="false" ht="229.5" hidden="false" customHeight="true" outlineLevel="0" collapsed="false">
      <c r="A9" s="11" t="n">
        <v>2</v>
      </c>
      <c r="B9" s="12" t="n">
        <v>46320</v>
      </c>
      <c r="C9" s="11" t="s">
        <v>78</v>
      </c>
      <c r="D9" s="11" t="s">
        <v>89</v>
      </c>
      <c r="E9" s="11" t="s">
        <v>90</v>
      </c>
      <c r="F9" s="11" t="s">
        <v>91</v>
      </c>
      <c r="G9" s="11" t="s">
        <v>92</v>
      </c>
      <c r="H9" s="11" t="s">
        <v>62</v>
      </c>
      <c r="I9" s="11" t="s">
        <v>93</v>
      </c>
      <c r="J9" s="11" t="s">
        <v>50</v>
      </c>
      <c r="K9" s="13" t="s">
        <v>112</v>
      </c>
      <c r="L9" s="11" t="s">
        <v>113</v>
      </c>
      <c r="M9" s="11" t="s">
        <v>114</v>
      </c>
      <c r="N9" s="11" t="s">
        <v>115</v>
      </c>
      <c r="O9" s="11" t="s">
        <v>55</v>
      </c>
      <c r="P9" s="11" t="s">
        <v>56</v>
      </c>
      <c r="Q9" s="11" t="s">
        <v>58</v>
      </c>
      <c r="R9" s="11" t="s">
        <v>57</v>
      </c>
      <c r="S9" s="11" t="s">
        <v>59</v>
      </c>
      <c r="T9" s="11" t="s">
        <v>60</v>
      </c>
      <c r="U9" s="9"/>
      <c r="V9" s="10"/>
      <c r="W9" s="10"/>
      <c r="X9" s="10"/>
      <c r="Y9" s="10"/>
      <c r="Z9" s="10"/>
      <c r="AA9" s="10"/>
    </row>
    <row r="10" customFormat="false" ht="229.5" hidden="false" customHeight="true" outlineLevel="0" collapsed="false">
      <c r="A10" s="6" t="n">
        <v>3</v>
      </c>
      <c r="B10" s="7" t="n">
        <v>46322</v>
      </c>
      <c r="C10" s="6" t="s">
        <v>88</v>
      </c>
      <c r="D10" s="6" t="s">
        <v>89</v>
      </c>
      <c r="E10" s="6" t="s">
        <v>90</v>
      </c>
      <c r="F10" s="6" t="s">
        <v>91</v>
      </c>
      <c r="G10" s="6" t="s">
        <v>92</v>
      </c>
      <c r="H10" s="6" t="s">
        <v>62</v>
      </c>
      <c r="I10" s="6" t="s">
        <v>116</v>
      </c>
      <c r="J10" s="6" t="s">
        <v>94</v>
      </c>
      <c r="K10" s="8" t="s">
        <v>117</v>
      </c>
      <c r="L10" s="6" t="s">
        <v>118</v>
      </c>
      <c r="M10" s="6" t="s">
        <v>119</v>
      </c>
      <c r="N10" s="6" t="s">
        <v>120</v>
      </c>
      <c r="O10" s="6" t="s">
        <v>121</v>
      </c>
      <c r="P10" s="6" t="s">
        <v>122</v>
      </c>
      <c r="Q10" s="6" t="s">
        <v>58</v>
      </c>
      <c r="R10" s="6" t="s">
        <v>57</v>
      </c>
      <c r="S10" s="6" t="s">
        <v>123</v>
      </c>
      <c r="T10" s="6" t="s">
        <v>60</v>
      </c>
      <c r="U10" s="9"/>
      <c r="V10" s="10"/>
      <c r="W10" s="10"/>
      <c r="X10" s="10"/>
      <c r="Y10" s="10"/>
      <c r="Z10" s="10"/>
      <c r="AA10" s="10"/>
    </row>
    <row r="11" customFormat="false" ht="229.5" hidden="false" customHeight="true" outlineLevel="0" collapsed="false">
      <c r="A11" s="6" t="n">
        <v>3</v>
      </c>
      <c r="B11" s="7" t="n">
        <v>46324</v>
      </c>
      <c r="C11" s="6" t="s">
        <v>99</v>
      </c>
      <c r="D11" s="6" t="s">
        <v>44</v>
      </c>
      <c r="E11" s="6" t="s">
        <v>45</v>
      </c>
      <c r="F11" s="6" t="s">
        <v>46</v>
      </c>
      <c r="G11" s="6" t="s">
        <v>47</v>
      </c>
      <c r="H11" s="6" t="s">
        <v>48</v>
      </c>
      <c r="I11" s="6" t="s">
        <v>93</v>
      </c>
      <c r="J11" s="6" t="s">
        <v>100</v>
      </c>
      <c r="K11" s="8" t="s">
        <v>124</v>
      </c>
      <c r="L11" s="6" t="s">
        <v>125</v>
      </c>
      <c r="M11" s="6" t="s">
        <v>126</v>
      </c>
      <c r="N11" s="6" t="s">
        <v>127</v>
      </c>
      <c r="O11" s="6" t="s">
        <v>55</v>
      </c>
      <c r="P11" s="6" t="s">
        <v>56</v>
      </c>
      <c r="Q11" s="6" t="s">
        <v>58</v>
      </c>
      <c r="R11" s="6" t="s">
        <v>57</v>
      </c>
      <c r="S11" s="6" t="s">
        <v>123</v>
      </c>
      <c r="T11" s="6" t="s">
        <v>60</v>
      </c>
      <c r="U11" s="9"/>
      <c r="V11" s="10"/>
      <c r="W11" s="10"/>
      <c r="X11" s="10"/>
      <c r="Y11" s="10"/>
      <c r="Z11" s="10"/>
      <c r="AA11" s="10"/>
    </row>
    <row r="12" customFormat="false" ht="229.5" hidden="false" customHeight="true" outlineLevel="0" collapsed="false">
      <c r="A12" s="6" t="n">
        <v>3</v>
      </c>
      <c r="B12" s="7" t="n">
        <v>46326</v>
      </c>
      <c r="C12" s="6" t="s">
        <v>71</v>
      </c>
      <c r="D12" s="6" t="s">
        <v>89</v>
      </c>
      <c r="E12" s="6" t="s">
        <v>90</v>
      </c>
      <c r="F12" s="6" t="s">
        <v>91</v>
      </c>
      <c r="G12" s="6" t="s">
        <v>92</v>
      </c>
      <c r="H12" s="6" t="s">
        <v>128</v>
      </c>
      <c r="I12" s="6" t="s">
        <v>49</v>
      </c>
      <c r="J12" s="6" t="s">
        <v>129</v>
      </c>
      <c r="K12" s="8" t="s">
        <v>130</v>
      </c>
      <c r="L12" s="6" t="s">
        <v>131</v>
      </c>
      <c r="M12" s="6" t="s">
        <v>132</v>
      </c>
      <c r="N12" s="6" t="s">
        <v>133</v>
      </c>
      <c r="O12" s="6" t="s">
        <v>134</v>
      </c>
      <c r="P12" s="6" t="s">
        <v>135</v>
      </c>
      <c r="Q12" s="6" t="s">
        <v>57</v>
      </c>
      <c r="R12" s="6" t="s">
        <v>57</v>
      </c>
      <c r="S12" s="6" t="s">
        <v>77</v>
      </c>
      <c r="T12" s="6" t="s">
        <v>60</v>
      </c>
      <c r="U12" s="9"/>
      <c r="V12" s="10"/>
      <c r="W12" s="10"/>
      <c r="X12" s="10"/>
      <c r="Y12" s="10"/>
      <c r="Z12" s="10"/>
      <c r="AA12" s="10"/>
    </row>
    <row r="13" customFormat="false" ht="229.5" hidden="false" customHeight="true" outlineLevel="0" collapsed="false">
      <c r="A13" s="6" t="n">
        <v>3</v>
      </c>
      <c r="B13" s="7" t="n">
        <v>46327</v>
      </c>
      <c r="C13" s="6" t="s">
        <v>78</v>
      </c>
      <c r="D13" s="6" t="s">
        <v>89</v>
      </c>
      <c r="E13" s="6" t="s">
        <v>90</v>
      </c>
      <c r="F13" s="6" t="s">
        <v>91</v>
      </c>
      <c r="G13" s="6" t="s">
        <v>92</v>
      </c>
      <c r="H13" s="6" t="s">
        <v>79</v>
      </c>
      <c r="I13" s="6" t="s">
        <v>49</v>
      </c>
      <c r="J13" s="6" t="s">
        <v>129</v>
      </c>
      <c r="K13" s="8" t="s">
        <v>136</v>
      </c>
      <c r="L13" s="6" t="s">
        <v>137</v>
      </c>
      <c r="M13" s="6" t="s">
        <v>138</v>
      </c>
      <c r="N13" s="6" t="s">
        <v>139</v>
      </c>
      <c r="O13" s="6" t="s">
        <v>134</v>
      </c>
      <c r="P13" s="6" t="s">
        <v>135</v>
      </c>
      <c r="Q13" s="6" t="s">
        <v>57</v>
      </c>
      <c r="R13" s="6" t="s">
        <v>57</v>
      </c>
      <c r="S13" s="6" t="s">
        <v>123</v>
      </c>
      <c r="T13" s="6" t="s">
        <v>60</v>
      </c>
      <c r="U13" s="9"/>
      <c r="V13" s="10"/>
      <c r="W13" s="10"/>
      <c r="X13" s="10"/>
      <c r="Y13" s="10"/>
      <c r="Z13" s="10"/>
      <c r="AA13" s="10"/>
    </row>
    <row r="14" customFormat="false" ht="229.5" hidden="false" customHeight="true" outlineLevel="0" collapsed="false">
      <c r="A14" s="11" t="n">
        <v>4</v>
      </c>
      <c r="B14" s="12" t="n">
        <v>46329</v>
      </c>
      <c r="C14" s="11" t="s">
        <v>88</v>
      </c>
      <c r="D14" s="11" t="s">
        <v>89</v>
      </c>
      <c r="E14" s="11" t="s">
        <v>90</v>
      </c>
      <c r="F14" s="11" t="s">
        <v>91</v>
      </c>
      <c r="G14" s="11" t="s">
        <v>92</v>
      </c>
      <c r="H14" s="11" t="s">
        <v>62</v>
      </c>
      <c r="I14" s="11" t="s">
        <v>140</v>
      </c>
      <c r="J14" s="11" t="s">
        <v>50</v>
      </c>
      <c r="K14" s="13" t="s">
        <v>141</v>
      </c>
      <c r="L14" s="11" t="s">
        <v>142</v>
      </c>
      <c r="M14" s="11" t="s">
        <v>143</v>
      </c>
      <c r="N14" s="11" t="s">
        <v>144</v>
      </c>
      <c r="O14" s="11" t="s">
        <v>145</v>
      </c>
      <c r="P14" s="11" t="s">
        <v>146</v>
      </c>
      <c r="Q14" s="11" t="s">
        <v>58</v>
      </c>
      <c r="R14" s="11" t="s">
        <v>57</v>
      </c>
      <c r="S14" s="11" t="s">
        <v>123</v>
      </c>
      <c r="T14" s="11" t="s">
        <v>60</v>
      </c>
      <c r="U14" s="9"/>
      <c r="V14" s="10"/>
      <c r="W14" s="10"/>
      <c r="X14" s="10"/>
      <c r="Y14" s="10"/>
      <c r="Z14" s="10"/>
      <c r="AA14" s="10"/>
    </row>
    <row r="15" customFormat="false" ht="229.5" hidden="false" customHeight="true" outlineLevel="0" collapsed="false">
      <c r="A15" s="11" t="n">
        <v>4</v>
      </c>
      <c r="B15" s="12" t="n">
        <v>46331</v>
      </c>
      <c r="C15" s="11" t="s">
        <v>99</v>
      </c>
      <c r="D15" s="11" t="s">
        <v>89</v>
      </c>
      <c r="E15" s="11" t="s">
        <v>90</v>
      </c>
      <c r="F15" s="11" t="s">
        <v>91</v>
      </c>
      <c r="G15" s="11" t="s">
        <v>92</v>
      </c>
      <c r="H15" s="11" t="s">
        <v>62</v>
      </c>
      <c r="I15" s="11" t="s">
        <v>116</v>
      </c>
      <c r="J15" s="11" t="s">
        <v>50</v>
      </c>
      <c r="K15" s="13" t="s">
        <v>147</v>
      </c>
      <c r="L15" s="11" t="s">
        <v>148</v>
      </c>
      <c r="M15" s="11" t="s">
        <v>149</v>
      </c>
      <c r="N15" s="11" t="s">
        <v>150</v>
      </c>
      <c r="O15" s="11" t="s">
        <v>151</v>
      </c>
      <c r="P15" s="11" t="s">
        <v>152</v>
      </c>
      <c r="Q15" s="11" t="s">
        <v>57</v>
      </c>
      <c r="R15" s="11" t="s">
        <v>57</v>
      </c>
      <c r="S15" s="11" t="s">
        <v>123</v>
      </c>
      <c r="T15" s="11" t="s">
        <v>60</v>
      </c>
      <c r="U15" s="9"/>
      <c r="V15" s="10"/>
      <c r="W15" s="10"/>
      <c r="X15" s="10"/>
      <c r="Y15" s="10"/>
      <c r="Z15" s="10"/>
      <c r="AA15" s="10"/>
    </row>
    <row r="16" customFormat="false" ht="229.5" hidden="false" customHeight="true" outlineLevel="0" collapsed="false">
      <c r="A16" s="11" t="n">
        <v>4</v>
      </c>
      <c r="B16" s="12" t="n">
        <v>46333</v>
      </c>
      <c r="C16" s="11" t="s">
        <v>71</v>
      </c>
      <c r="D16" s="11" t="s">
        <v>89</v>
      </c>
      <c r="E16" s="11" t="s">
        <v>90</v>
      </c>
      <c r="F16" s="11" t="s">
        <v>91</v>
      </c>
      <c r="G16" s="11" t="s">
        <v>92</v>
      </c>
      <c r="H16" s="11" t="s">
        <v>107</v>
      </c>
      <c r="I16" s="11" t="s">
        <v>116</v>
      </c>
      <c r="J16" s="11" t="s">
        <v>129</v>
      </c>
      <c r="K16" s="13" t="s">
        <v>153</v>
      </c>
      <c r="L16" s="11" t="s">
        <v>154</v>
      </c>
      <c r="M16" s="11" t="s">
        <v>155</v>
      </c>
      <c r="N16" s="11" t="s">
        <v>156</v>
      </c>
      <c r="O16" s="11" t="s">
        <v>157</v>
      </c>
      <c r="P16" s="11" t="s">
        <v>158</v>
      </c>
      <c r="Q16" s="11" t="s">
        <v>57</v>
      </c>
      <c r="R16" s="11" t="s">
        <v>57</v>
      </c>
      <c r="S16" s="11" t="s">
        <v>77</v>
      </c>
      <c r="T16" s="11" t="s">
        <v>60</v>
      </c>
      <c r="U16" s="9"/>
      <c r="V16" s="10"/>
      <c r="W16" s="10"/>
      <c r="X16" s="10"/>
      <c r="Y16" s="10"/>
      <c r="Z16" s="10"/>
      <c r="AA16" s="10"/>
    </row>
    <row r="17" customFormat="false" ht="229.5" hidden="false" customHeight="true" outlineLevel="0" collapsed="false">
      <c r="A17" s="11" t="n">
        <v>4</v>
      </c>
      <c r="B17" s="12" t="n">
        <v>46334</v>
      </c>
      <c r="C17" s="11" t="s">
        <v>78</v>
      </c>
      <c r="D17" s="11" t="s">
        <v>44</v>
      </c>
      <c r="E17" s="11" t="s">
        <v>45</v>
      </c>
      <c r="F17" s="11" t="s">
        <v>46</v>
      </c>
      <c r="G17" s="11" t="s">
        <v>47</v>
      </c>
      <c r="H17" s="11" t="s">
        <v>79</v>
      </c>
      <c r="I17" s="11" t="s">
        <v>49</v>
      </c>
      <c r="J17" s="11" t="s">
        <v>100</v>
      </c>
      <c r="K17" s="13" t="s">
        <v>159</v>
      </c>
      <c r="L17" s="11" t="s">
        <v>160</v>
      </c>
      <c r="M17" s="11" t="s">
        <v>161</v>
      </c>
      <c r="N17" s="11" t="s">
        <v>162</v>
      </c>
      <c r="O17" s="11" t="s">
        <v>134</v>
      </c>
      <c r="P17" s="11" t="s">
        <v>135</v>
      </c>
      <c r="Q17" s="11" t="s">
        <v>57</v>
      </c>
      <c r="R17" s="11" t="s">
        <v>57</v>
      </c>
      <c r="S17" s="11" t="s">
        <v>123</v>
      </c>
      <c r="T17" s="11" t="s">
        <v>60</v>
      </c>
      <c r="U17" s="9"/>
      <c r="V17" s="10"/>
      <c r="W17" s="10"/>
      <c r="X17" s="10"/>
      <c r="Y17" s="10"/>
      <c r="Z17" s="10"/>
      <c r="AA17" s="10"/>
    </row>
    <row r="18" customFormat="false" ht="229.5" hidden="false" customHeight="true" outlineLevel="0" collapsed="false">
      <c r="A18" s="6" t="n">
        <v>5</v>
      </c>
      <c r="B18" s="7" t="n">
        <v>46336</v>
      </c>
      <c r="C18" s="6" t="s">
        <v>88</v>
      </c>
      <c r="D18" s="6" t="s">
        <v>89</v>
      </c>
      <c r="E18" s="6" t="s">
        <v>90</v>
      </c>
      <c r="F18" s="6" t="s">
        <v>91</v>
      </c>
      <c r="G18" s="6" t="s">
        <v>92</v>
      </c>
      <c r="H18" s="6" t="s">
        <v>79</v>
      </c>
      <c r="I18" s="6" t="s">
        <v>63</v>
      </c>
      <c r="J18" s="6" t="s">
        <v>129</v>
      </c>
      <c r="K18" s="8" t="s">
        <v>163</v>
      </c>
      <c r="L18" s="6" t="s">
        <v>164</v>
      </c>
      <c r="M18" s="6" t="s">
        <v>165</v>
      </c>
      <c r="N18" s="6" t="s">
        <v>166</v>
      </c>
      <c r="O18" s="6" t="s">
        <v>69</v>
      </c>
      <c r="P18" s="6" t="s">
        <v>70</v>
      </c>
      <c r="Q18" s="6" t="s">
        <v>58</v>
      </c>
      <c r="R18" s="6" t="s">
        <v>57</v>
      </c>
      <c r="S18" s="6" t="s">
        <v>167</v>
      </c>
      <c r="T18" s="6" t="s">
        <v>60</v>
      </c>
      <c r="U18" s="9"/>
      <c r="V18" s="10"/>
      <c r="W18" s="10"/>
      <c r="X18" s="10"/>
      <c r="Y18" s="10"/>
      <c r="Z18" s="10"/>
      <c r="AA18" s="10"/>
    </row>
    <row r="19" customFormat="false" ht="229.5" hidden="false" customHeight="true" outlineLevel="0" collapsed="false">
      <c r="A19" s="6" t="n">
        <v>5</v>
      </c>
      <c r="B19" s="7" t="n">
        <v>46338</v>
      </c>
      <c r="C19" s="6" t="s">
        <v>99</v>
      </c>
      <c r="D19" s="6" t="s">
        <v>44</v>
      </c>
      <c r="E19" s="6" t="s">
        <v>45</v>
      </c>
      <c r="F19" s="6" t="s">
        <v>46</v>
      </c>
      <c r="G19" s="6" t="s">
        <v>47</v>
      </c>
      <c r="H19" s="6" t="s">
        <v>168</v>
      </c>
      <c r="I19" s="6" t="s">
        <v>63</v>
      </c>
      <c r="J19" s="6" t="s">
        <v>100</v>
      </c>
      <c r="K19" s="8" t="s">
        <v>169</v>
      </c>
      <c r="L19" s="6" t="s">
        <v>170</v>
      </c>
      <c r="M19" s="6" t="s">
        <v>171</v>
      </c>
      <c r="N19" s="6" t="s">
        <v>172</v>
      </c>
      <c r="O19" s="6" t="s">
        <v>105</v>
      </c>
      <c r="P19" s="6" t="s">
        <v>106</v>
      </c>
      <c r="Q19" s="6" t="s">
        <v>57</v>
      </c>
      <c r="R19" s="6" t="s">
        <v>57</v>
      </c>
      <c r="S19" s="6" t="s">
        <v>167</v>
      </c>
      <c r="T19" s="6" t="s">
        <v>60</v>
      </c>
      <c r="U19" s="9"/>
      <c r="V19" s="10"/>
      <c r="W19" s="10"/>
      <c r="X19" s="10"/>
      <c r="Y19" s="10"/>
      <c r="Z19" s="10"/>
      <c r="AA19" s="10"/>
    </row>
    <row r="20" customFormat="false" ht="229.5" hidden="false" customHeight="true" outlineLevel="0" collapsed="false">
      <c r="A20" s="6" t="n">
        <v>5</v>
      </c>
      <c r="B20" s="7" t="n">
        <v>46340</v>
      </c>
      <c r="C20" s="6" t="s">
        <v>71</v>
      </c>
      <c r="D20" s="6" t="s">
        <v>89</v>
      </c>
      <c r="E20" s="6" t="s">
        <v>90</v>
      </c>
      <c r="F20" s="6" t="s">
        <v>91</v>
      </c>
      <c r="G20" s="6" t="s">
        <v>92</v>
      </c>
      <c r="H20" s="6" t="s">
        <v>72</v>
      </c>
      <c r="I20" s="6" t="s">
        <v>140</v>
      </c>
      <c r="J20" s="6" t="s">
        <v>50</v>
      </c>
      <c r="K20" s="8" t="s">
        <v>173</v>
      </c>
      <c r="L20" s="6" t="s">
        <v>174</v>
      </c>
      <c r="M20" s="6" t="s">
        <v>175</v>
      </c>
      <c r="N20" s="6" t="s">
        <v>176</v>
      </c>
      <c r="O20" s="6" t="s">
        <v>145</v>
      </c>
      <c r="P20" s="6" t="s">
        <v>146</v>
      </c>
      <c r="Q20" s="6" t="s">
        <v>57</v>
      </c>
      <c r="R20" s="6" t="s">
        <v>57</v>
      </c>
      <c r="S20" s="6" t="s">
        <v>77</v>
      </c>
      <c r="T20" s="6" t="s">
        <v>60</v>
      </c>
      <c r="U20" s="9"/>
      <c r="V20" s="10"/>
      <c r="W20" s="10"/>
      <c r="X20" s="10"/>
      <c r="Y20" s="10"/>
      <c r="Z20" s="10"/>
      <c r="AA20" s="10"/>
    </row>
    <row r="21" customFormat="false" ht="229.5" hidden="false" customHeight="true" outlineLevel="0" collapsed="false">
      <c r="A21" s="6" t="n">
        <v>5</v>
      </c>
      <c r="B21" s="7" t="n">
        <v>46341</v>
      </c>
      <c r="C21" s="6" t="s">
        <v>78</v>
      </c>
      <c r="D21" s="6" t="s">
        <v>89</v>
      </c>
      <c r="E21" s="6" t="s">
        <v>90</v>
      </c>
      <c r="F21" s="6" t="s">
        <v>91</v>
      </c>
      <c r="G21" s="6" t="s">
        <v>92</v>
      </c>
      <c r="H21" s="6" t="s">
        <v>48</v>
      </c>
      <c r="I21" s="6" t="s">
        <v>49</v>
      </c>
      <c r="J21" s="6" t="s">
        <v>50</v>
      </c>
      <c r="K21" s="8" t="s">
        <v>177</v>
      </c>
      <c r="L21" s="6" t="s">
        <v>178</v>
      </c>
      <c r="M21" s="6" t="s">
        <v>179</v>
      </c>
      <c r="N21" s="6" t="s">
        <v>180</v>
      </c>
      <c r="O21" s="6" t="s">
        <v>55</v>
      </c>
      <c r="P21" s="6" t="s">
        <v>56</v>
      </c>
      <c r="Q21" s="6" t="s">
        <v>57</v>
      </c>
      <c r="R21" s="6" t="s">
        <v>57</v>
      </c>
      <c r="S21" s="6" t="s">
        <v>167</v>
      </c>
      <c r="T21" s="6" t="s">
        <v>60</v>
      </c>
      <c r="U21" s="9"/>
      <c r="V21" s="10"/>
      <c r="W21" s="10"/>
      <c r="X21" s="10"/>
      <c r="Y21" s="10"/>
      <c r="Z21" s="10"/>
      <c r="AA21" s="10"/>
    </row>
  </sheetData>
  <autoFilter ref="A1:AA21"/>
  <dataValidations count="1">
    <dataValidation allowBlank="true" errorStyle="stop" operator="between" showDropDown="false" showErrorMessage="false" showInputMessage="false" sqref="T2:T21" type="list">
      <formula1>"Planned,Filmed,Edited,Scheduled,Posted,Skipped"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60"/>
    <col collapsed="false" customWidth="true" hidden="false" outlineLevel="0" max="4" min="4" style="0" width="18"/>
    <col collapsed="false" customWidth="true" hidden="false" outlineLevel="0" max="5" min="5" style="0" width="45"/>
  </cols>
  <sheetData>
    <row r="1" customFormat="false" ht="31.5" hidden="false" customHeight="true" outlineLevel="0" collapsed="false">
      <c r="A1" s="5" t="s">
        <v>18</v>
      </c>
      <c r="B1" s="5" t="s">
        <v>181</v>
      </c>
      <c r="C1" s="5" t="s">
        <v>182</v>
      </c>
      <c r="D1" s="5" t="s">
        <v>183</v>
      </c>
      <c r="E1" s="5" t="s">
        <v>184</v>
      </c>
    </row>
    <row r="2" customFormat="false" ht="60" hidden="false" customHeight="true" outlineLevel="0" collapsed="false">
      <c r="A2" s="8" t="s">
        <v>185</v>
      </c>
      <c r="B2" s="6" t="s">
        <v>186</v>
      </c>
      <c r="C2" s="6" t="s">
        <v>187</v>
      </c>
      <c r="D2" s="6" t="s">
        <v>186</v>
      </c>
      <c r="E2" s="6" t="s">
        <v>188</v>
      </c>
    </row>
    <row r="3" customFormat="false" ht="60" hidden="false" customHeight="true" outlineLevel="0" collapsed="false">
      <c r="A3" s="8" t="s">
        <v>189</v>
      </c>
      <c r="B3" s="6" t="s">
        <v>190</v>
      </c>
      <c r="C3" s="6" t="s">
        <v>191</v>
      </c>
      <c r="D3" s="6" t="s">
        <v>192</v>
      </c>
      <c r="E3" s="6" t="s">
        <v>193</v>
      </c>
    </row>
    <row r="4" customFormat="false" ht="60" hidden="false" customHeight="true" outlineLevel="0" collapsed="false">
      <c r="A4" s="8" t="s">
        <v>194</v>
      </c>
      <c r="B4" s="6" t="s">
        <v>195</v>
      </c>
      <c r="C4" s="6" t="s">
        <v>196</v>
      </c>
      <c r="D4" s="6" t="s">
        <v>197</v>
      </c>
      <c r="E4" s="6" t="s">
        <v>198</v>
      </c>
    </row>
    <row r="5" customFormat="false" ht="60" hidden="false" customHeight="true" outlineLevel="0" collapsed="false">
      <c r="A5" s="8" t="s">
        <v>199</v>
      </c>
      <c r="B5" s="6" t="s">
        <v>200</v>
      </c>
      <c r="C5" s="6" t="s">
        <v>201</v>
      </c>
      <c r="D5" s="6" t="s">
        <v>122</v>
      </c>
      <c r="E5" s="6" t="s">
        <v>202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31.5" hidden="false" customHeight="true" outlineLevel="0" collapsed="false">
      <c r="A1" s="5" t="s">
        <v>203</v>
      </c>
      <c r="B1" s="5" t="s">
        <v>204</v>
      </c>
    </row>
    <row r="2" customFormat="false" ht="45" hidden="false" customHeight="true" outlineLevel="0" collapsed="false">
      <c r="A2" s="8" t="s">
        <v>205</v>
      </c>
      <c r="B2" s="6" t="s">
        <v>206</v>
      </c>
    </row>
    <row r="3" customFormat="false" ht="45" hidden="false" customHeight="true" outlineLevel="0" collapsed="false">
      <c r="A3" s="8" t="s">
        <v>207</v>
      </c>
      <c r="B3" s="6" t="s">
        <v>208</v>
      </c>
    </row>
    <row r="4" customFormat="false" ht="45" hidden="false" customHeight="true" outlineLevel="0" collapsed="false">
      <c r="A4" s="8" t="s">
        <v>209</v>
      </c>
      <c r="B4" s="6" t="s">
        <v>210</v>
      </c>
    </row>
    <row r="5" customFormat="false" ht="45" hidden="false" customHeight="true" outlineLevel="0" collapsed="false">
      <c r="A5" s="8" t="s">
        <v>211</v>
      </c>
      <c r="B5" s="6" t="s">
        <v>212</v>
      </c>
    </row>
    <row r="6" customFormat="false" ht="45" hidden="false" customHeight="true" outlineLevel="0" collapsed="false">
      <c r="A6" s="8" t="s">
        <v>213</v>
      </c>
      <c r="B6" s="6" t="s">
        <v>214</v>
      </c>
    </row>
    <row r="7" customFormat="false" ht="45" hidden="false" customHeight="true" outlineLevel="0" collapsed="false">
      <c r="A7" s="8" t="s">
        <v>215</v>
      </c>
      <c r="B7" s="6" t="s">
        <v>216</v>
      </c>
    </row>
    <row r="8" customFormat="false" ht="45" hidden="false" customHeight="true" outlineLevel="0" collapsed="false">
      <c r="A8" s="8" t="s">
        <v>217</v>
      </c>
      <c r="B8" s="6" t="s">
        <v>218</v>
      </c>
    </row>
    <row r="9" customFormat="false" ht="45" hidden="false" customHeight="true" outlineLevel="0" collapsed="false">
      <c r="A9" s="8" t="s">
        <v>219</v>
      </c>
      <c r="B9" s="6" t="s">
        <v>220</v>
      </c>
    </row>
    <row r="10" customFormat="false" ht="45" hidden="false" customHeight="true" outlineLevel="0" collapsed="false">
      <c r="A10" s="8" t="s">
        <v>221</v>
      </c>
      <c r="B10" s="6" t="s">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31.5" hidden="false" customHeight="true" outlineLevel="0" collapsed="false">
      <c r="A1" s="5" t="s">
        <v>223</v>
      </c>
      <c r="B1" s="5" t="s">
        <v>224</v>
      </c>
      <c r="C1" s="5" t="s">
        <v>225</v>
      </c>
      <c r="D1" s="5" t="s">
        <v>226</v>
      </c>
      <c r="E1" s="5" t="s">
        <v>227</v>
      </c>
    </row>
    <row r="2" customFormat="false" ht="60" hidden="false" customHeight="true" outlineLevel="0" collapsed="false">
      <c r="A2" s="8" t="s">
        <v>59</v>
      </c>
      <c r="B2" s="7" t="n">
        <v>46308</v>
      </c>
      <c r="C2" s="6" t="s">
        <v>228</v>
      </c>
      <c r="D2" s="6" t="s">
        <v>229</v>
      </c>
      <c r="E2" s="6" t="s">
        <v>230</v>
      </c>
    </row>
    <row r="3" customFormat="false" ht="60" hidden="false" customHeight="true" outlineLevel="0" collapsed="false">
      <c r="A3" s="8" t="s">
        <v>123</v>
      </c>
      <c r="B3" s="7" t="n">
        <v>46319</v>
      </c>
      <c r="C3" s="6" t="s">
        <v>231</v>
      </c>
      <c r="D3" s="6" t="s">
        <v>232</v>
      </c>
      <c r="E3" s="6" t="s">
        <v>230</v>
      </c>
    </row>
    <row r="4" customFormat="false" ht="60" hidden="false" customHeight="true" outlineLevel="0" collapsed="false">
      <c r="A4" s="8" t="s">
        <v>167</v>
      </c>
      <c r="B4" s="7" t="n">
        <v>46333</v>
      </c>
      <c r="C4" s="6" t="s">
        <v>233</v>
      </c>
      <c r="D4" s="6" t="s">
        <v>234</v>
      </c>
      <c r="E4" s="6" t="s">
        <v>235</v>
      </c>
    </row>
    <row r="5" customFormat="false" ht="60" hidden="false" customHeight="true" outlineLevel="0" collapsed="false">
      <c r="A5" s="8" t="s">
        <v>77</v>
      </c>
      <c r="B5" s="7" t="n">
        <v>46310</v>
      </c>
      <c r="C5" s="6" t="s">
        <v>236</v>
      </c>
      <c r="D5" s="6" t="s">
        <v>237</v>
      </c>
      <c r="E5" s="6" t="s">
        <v>238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5" min="3" style="0" width="10"/>
    <col collapsed="false" customWidth="true" hidden="false" outlineLevel="0" max="7" min="6" style="0" width="9"/>
    <col collapsed="false" customWidth="true" hidden="false" outlineLevel="0" max="8" min="8" style="0" width="10"/>
    <col collapsed="false" customWidth="true" hidden="false" outlineLevel="0" max="9" min="9" style="0" width="8"/>
    <col collapsed="false" customWidth="true" hidden="false" outlineLevel="0" max="10" min="10" style="0" width="10"/>
    <col collapsed="false" customWidth="true" hidden="false" outlineLevel="0" max="11" min="11" style="0" width="12"/>
    <col collapsed="false" customWidth="true" hidden="false" outlineLevel="0" max="12" min="12" style="0" width="50"/>
  </cols>
  <sheetData>
    <row r="1" customFormat="false" ht="31.5" hidden="false" customHeight="true" outlineLevel="0" collapsed="false">
      <c r="A1" s="5" t="s">
        <v>16</v>
      </c>
      <c r="B1" s="5" t="s">
        <v>239</v>
      </c>
      <c r="C1" s="5" t="s">
        <v>240</v>
      </c>
      <c r="D1" s="5" t="s">
        <v>241</v>
      </c>
      <c r="E1" s="5" t="s">
        <v>37</v>
      </c>
      <c r="F1" s="5" t="s">
        <v>38</v>
      </c>
      <c r="G1" s="5" t="s">
        <v>39</v>
      </c>
      <c r="H1" s="5" t="s">
        <v>40</v>
      </c>
      <c r="I1" s="5" t="s">
        <v>41</v>
      </c>
      <c r="J1" s="5" t="s">
        <v>42</v>
      </c>
      <c r="K1" s="5" t="s">
        <v>242</v>
      </c>
      <c r="L1" s="5" t="s">
        <v>243</v>
      </c>
    </row>
    <row r="2" customFormat="false" ht="15" hidden="false" customHeight="false" outlineLevel="0" collapsed="false">
      <c r="A2" s="14" t="n">
        <v>1</v>
      </c>
      <c r="B2" s="15" t="n">
        <v>46307</v>
      </c>
      <c r="C2" s="14" t="n">
        <f aca="false">COUNTIF(Calendar!$A$2:$A$21,A2)</f>
        <v>4</v>
      </c>
      <c r="D2" s="14" t="n">
        <f aca="false">COUNTIFS(Calendar!$A$2:$A$21,A2,Calendar!$T$2:$T$21,"Posted")</f>
        <v>0</v>
      </c>
      <c r="E2" s="16" t="n">
        <f aca="false">SUMIF(Calendar!$A$2:$A$21,A2,Calendar!$V$2:$V$21)</f>
        <v>0</v>
      </c>
      <c r="F2" s="16" t="n">
        <f aca="false">SUMIF(Calendar!$A$2:$A$21,A2,Calendar!$W$2:$W$21)</f>
        <v>0</v>
      </c>
      <c r="G2" s="16" t="n">
        <f aca="false">SUMIF(Calendar!$A$2:$A$21,A2,Calendar!$X$2:$X$21)</f>
        <v>0</v>
      </c>
      <c r="H2" s="16" t="n">
        <f aca="false">SUMIF(Calendar!$A$2:$A$21,A2,Calendar!$Y$2:$Y$21)</f>
        <v>0</v>
      </c>
      <c r="I2" s="16" t="n">
        <f aca="false">SUMIF(Calendar!$A$2:$A$21,A2,Calendar!$Z$2:$Z$21)</f>
        <v>0</v>
      </c>
      <c r="J2" s="16" t="n">
        <f aca="false">SUMIF(Calendar!$A$2:$A$21,A2,Calendar!$AA$2:$AA$21)</f>
        <v>0</v>
      </c>
      <c r="K2" s="17" t="n">
        <f aca="false">IFERROR(G2/E2*1000,0)</f>
        <v>0</v>
      </c>
      <c r="L2" s="9"/>
    </row>
    <row r="3" customFormat="false" ht="15" hidden="false" customHeight="false" outlineLevel="0" collapsed="false">
      <c r="A3" s="14" t="n">
        <v>2</v>
      </c>
      <c r="B3" s="15" t="n">
        <v>46314</v>
      </c>
      <c r="C3" s="14" t="n">
        <f aca="false">COUNTIF(Calendar!$A$2:$A$21,A3)</f>
        <v>4</v>
      </c>
      <c r="D3" s="14" t="n">
        <f aca="false">COUNTIFS(Calendar!$A$2:$A$21,A3,Calendar!$T$2:$T$21,"Posted")</f>
        <v>0</v>
      </c>
      <c r="E3" s="16" t="n">
        <f aca="false">SUMIF(Calendar!$A$2:$A$21,A3,Calendar!$V$2:$V$21)</f>
        <v>0</v>
      </c>
      <c r="F3" s="16" t="n">
        <f aca="false">SUMIF(Calendar!$A$2:$A$21,A3,Calendar!$W$2:$W$21)</f>
        <v>0</v>
      </c>
      <c r="G3" s="16" t="n">
        <f aca="false">SUMIF(Calendar!$A$2:$A$21,A3,Calendar!$X$2:$X$21)</f>
        <v>0</v>
      </c>
      <c r="H3" s="16" t="n">
        <f aca="false">SUMIF(Calendar!$A$2:$A$21,A3,Calendar!$Y$2:$Y$21)</f>
        <v>0</v>
      </c>
      <c r="I3" s="16" t="n">
        <f aca="false">SUMIF(Calendar!$A$2:$A$21,A3,Calendar!$Z$2:$Z$21)</f>
        <v>0</v>
      </c>
      <c r="J3" s="16" t="n">
        <f aca="false">SUMIF(Calendar!$A$2:$A$21,A3,Calendar!$AA$2:$AA$21)</f>
        <v>0</v>
      </c>
      <c r="K3" s="17" t="n">
        <f aca="false">IFERROR(G3/E3*1000,0)</f>
        <v>0</v>
      </c>
      <c r="L3" s="9"/>
    </row>
    <row r="4" customFormat="false" ht="15" hidden="false" customHeight="false" outlineLevel="0" collapsed="false">
      <c r="A4" s="14" t="n">
        <v>3</v>
      </c>
      <c r="B4" s="15" t="n">
        <v>46321</v>
      </c>
      <c r="C4" s="14" t="n">
        <f aca="false">COUNTIF(Calendar!$A$2:$A$21,A4)</f>
        <v>4</v>
      </c>
      <c r="D4" s="14" t="n">
        <f aca="false">COUNTIFS(Calendar!$A$2:$A$21,A4,Calendar!$T$2:$T$21,"Posted")</f>
        <v>0</v>
      </c>
      <c r="E4" s="16" t="n">
        <f aca="false">SUMIF(Calendar!$A$2:$A$21,A4,Calendar!$V$2:$V$21)</f>
        <v>0</v>
      </c>
      <c r="F4" s="16" t="n">
        <f aca="false">SUMIF(Calendar!$A$2:$A$21,A4,Calendar!$W$2:$W$21)</f>
        <v>0</v>
      </c>
      <c r="G4" s="16" t="n">
        <f aca="false">SUMIF(Calendar!$A$2:$A$21,A4,Calendar!$X$2:$X$21)</f>
        <v>0</v>
      </c>
      <c r="H4" s="16" t="n">
        <f aca="false">SUMIF(Calendar!$A$2:$A$21,A4,Calendar!$Y$2:$Y$21)</f>
        <v>0</v>
      </c>
      <c r="I4" s="16" t="n">
        <f aca="false">SUMIF(Calendar!$A$2:$A$21,A4,Calendar!$Z$2:$Z$21)</f>
        <v>0</v>
      </c>
      <c r="J4" s="16" t="n">
        <f aca="false">SUMIF(Calendar!$A$2:$A$21,A4,Calendar!$AA$2:$AA$21)</f>
        <v>0</v>
      </c>
      <c r="K4" s="17" t="n">
        <f aca="false">IFERROR(G4/E4*1000,0)</f>
        <v>0</v>
      </c>
      <c r="L4" s="9"/>
    </row>
    <row r="5" customFormat="false" ht="15" hidden="false" customHeight="false" outlineLevel="0" collapsed="false">
      <c r="A5" s="14" t="n">
        <v>4</v>
      </c>
      <c r="B5" s="15" t="n">
        <v>46328</v>
      </c>
      <c r="C5" s="14" t="n">
        <f aca="false">COUNTIF(Calendar!$A$2:$A$21,A5)</f>
        <v>4</v>
      </c>
      <c r="D5" s="14" t="n">
        <f aca="false">COUNTIFS(Calendar!$A$2:$A$21,A5,Calendar!$T$2:$T$21,"Posted")</f>
        <v>0</v>
      </c>
      <c r="E5" s="16" t="n">
        <f aca="false">SUMIF(Calendar!$A$2:$A$21,A5,Calendar!$V$2:$V$21)</f>
        <v>0</v>
      </c>
      <c r="F5" s="16" t="n">
        <f aca="false">SUMIF(Calendar!$A$2:$A$21,A5,Calendar!$W$2:$W$21)</f>
        <v>0</v>
      </c>
      <c r="G5" s="16" t="n">
        <f aca="false">SUMIF(Calendar!$A$2:$A$21,A5,Calendar!$X$2:$X$21)</f>
        <v>0</v>
      </c>
      <c r="H5" s="16" t="n">
        <f aca="false">SUMIF(Calendar!$A$2:$A$21,A5,Calendar!$Y$2:$Y$21)</f>
        <v>0</v>
      </c>
      <c r="I5" s="16" t="n">
        <f aca="false">SUMIF(Calendar!$A$2:$A$21,A5,Calendar!$Z$2:$Z$21)</f>
        <v>0</v>
      </c>
      <c r="J5" s="16" t="n">
        <f aca="false">SUMIF(Calendar!$A$2:$A$21,A5,Calendar!$AA$2:$AA$21)</f>
        <v>0</v>
      </c>
      <c r="K5" s="17" t="n">
        <f aca="false">IFERROR(G5/E5*1000,0)</f>
        <v>0</v>
      </c>
      <c r="L5" s="9"/>
    </row>
    <row r="6" customFormat="false" ht="15" hidden="false" customHeight="false" outlineLevel="0" collapsed="false">
      <c r="A6" s="14" t="n">
        <v>5</v>
      </c>
      <c r="B6" s="15" t="n">
        <v>46335</v>
      </c>
      <c r="C6" s="14" t="n">
        <f aca="false">COUNTIF(Calendar!$A$2:$A$21,A6)</f>
        <v>4</v>
      </c>
      <c r="D6" s="14" t="n">
        <f aca="false">COUNTIFS(Calendar!$A$2:$A$21,A6,Calendar!$T$2:$T$21,"Posted")</f>
        <v>0</v>
      </c>
      <c r="E6" s="16" t="n">
        <f aca="false">SUMIF(Calendar!$A$2:$A$21,A6,Calendar!$V$2:$V$21)</f>
        <v>0</v>
      </c>
      <c r="F6" s="16" t="n">
        <f aca="false">SUMIF(Calendar!$A$2:$A$21,A6,Calendar!$W$2:$W$21)</f>
        <v>0</v>
      </c>
      <c r="G6" s="16" t="n">
        <f aca="false">SUMIF(Calendar!$A$2:$A$21,A6,Calendar!$X$2:$X$21)</f>
        <v>0</v>
      </c>
      <c r="H6" s="16" t="n">
        <f aca="false">SUMIF(Calendar!$A$2:$A$21,A6,Calendar!$Y$2:$Y$21)</f>
        <v>0</v>
      </c>
      <c r="I6" s="16" t="n">
        <f aca="false">SUMIF(Calendar!$A$2:$A$21,A6,Calendar!$Z$2:$Z$21)</f>
        <v>0</v>
      </c>
      <c r="J6" s="16" t="n">
        <f aca="false">SUMIF(Calendar!$A$2:$A$21,A6,Calendar!$AA$2:$AA$21)</f>
        <v>0</v>
      </c>
      <c r="K6" s="17" t="n">
        <f aca="false">IFERROR(G6/E6*1000,0)</f>
        <v>0</v>
      </c>
      <c r="L6" s="9"/>
    </row>
    <row r="7" customFormat="false" ht="15" hidden="false" customHeight="false" outlineLevel="0" collapsed="false">
      <c r="A7" s="18" t="s">
        <v>244</v>
      </c>
      <c r="C7" s="19" t="n">
        <f aca="false">SUM(C2:C6)</f>
        <v>20</v>
      </c>
      <c r="D7" s="19" t="n">
        <f aca="false">SUM(D2:D6)</f>
        <v>0</v>
      </c>
      <c r="E7" s="19" t="n">
        <f aca="false">SUM(E2:E6)</f>
        <v>0</v>
      </c>
      <c r="F7" s="19" t="n">
        <f aca="false">SUM(F2:F6)</f>
        <v>0</v>
      </c>
      <c r="G7" s="19" t="n">
        <f aca="false">SUM(G2:G6)</f>
        <v>0</v>
      </c>
      <c r="H7" s="19" t="n">
        <f aca="false">SUM(H2:H6)</f>
        <v>0</v>
      </c>
      <c r="I7" s="19" t="n">
        <f aca="false">SUM(I2:I6)</f>
        <v>0</v>
      </c>
      <c r="J7" s="19" t="n">
        <f aca="false">SUM(J2:J6)</f>
        <v>0</v>
      </c>
      <c r="K7" s="20" t="n">
        <f aca="false">IFERROR(G7/E7*1000,0)</f>
        <v>0</v>
      </c>
    </row>
    <row r="9" customFormat="false" ht="15" hidden="false" customHeight="false" outlineLevel="0" collapsed="false">
      <c r="A9" s="21" t="s">
        <v>245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0"/>
    <col collapsed="false" customWidth="true" hidden="false" outlineLevel="0" max="3" min="3" style="0" width="55"/>
  </cols>
  <sheetData>
    <row r="1" customFormat="false" ht="31.5" hidden="false" customHeight="true" outlineLevel="0" collapsed="false">
      <c r="A1" s="5" t="s">
        <v>246</v>
      </c>
      <c r="B1" s="5" t="s">
        <v>247</v>
      </c>
      <c r="C1" s="5" t="s">
        <v>184</v>
      </c>
    </row>
    <row r="2" customFormat="false" ht="15" hidden="false" customHeight="false" outlineLevel="0" collapsed="false">
      <c r="A2" s="22"/>
      <c r="B2" s="6" t="s">
        <v>248</v>
      </c>
      <c r="C2" s="6" t="s">
        <v>249</v>
      </c>
    </row>
    <row r="3" customFormat="false" ht="15" hidden="false" customHeight="false" outlineLevel="0" collapsed="false">
      <c r="A3" s="22"/>
      <c r="B3" s="6" t="s">
        <v>250</v>
      </c>
      <c r="C3" s="6" t="s">
        <v>251</v>
      </c>
    </row>
    <row r="4" customFormat="false" ht="15" hidden="false" customHeight="false" outlineLevel="0" collapsed="false">
      <c r="A4" s="22"/>
      <c r="B4" s="6" t="s">
        <v>252</v>
      </c>
      <c r="C4" s="6" t="s">
        <v>253</v>
      </c>
    </row>
    <row r="5" customFormat="false" ht="15" hidden="false" customHeight="false" outlineLevel="0" collapsed="false">
      <c r="A5" s="22"/>
      <c r="B5" s="6" t="s">
        <v>254</v>
      </c>
      <c r="C5" s="6" t="s">
        <v>255</v>
      </c>
    </row>
    <row r="6" customFormat="false" ht="15" hidden="false" customHeight="false" outlineLevel="0" collapsed="false">
      <c r="A6" s="22"/>
      <c r="B6" s="6" t="s">
        <v>256</v>
      </c>
      <c r="C6" s="6" t="s">
        <v>257</v>
      </c>
    </row>
    <row r="7" customFormat="false" ht="23.85" hidden="false" customHeight="false" outlineLevel="0" collapsed="false">
      <c r="A7" s="22"/>
      <c r="B7" s="6" t="s">
        <v>258</v>
      </c>
      <c r="C7" s="6" t="s">
        <v>259</v>
      </c>
    </row>
    <row r="8" customFormat="false" ht="15" hidden="false" customHeight="false" outlineLevel="0" collapsed="false">
      <c r="A8" s="22"/>
      <c r="B8" s="6" t="s">
        <v>260</v>
      </c>
      <c r="C8" s="6" t="s">
        <v>261</v>
      </c>
    </row>
    <row r="9" customFormat="false" ht="15" hidden="false" customHeight="false" outlineLevel="0" collapsed="false">
      <c r="A9" s="22"/>
      <c r="B9" s="6" t="s">
        <v>262</v>
      </c>
      <c r="C9" s="6" t="s">
        <v>263</v>
      </c>
    </row>
    <row r="10" customFormat="false" ht="15" hidden="false" customHeight="false" outlineLevel="0" collapsed="false">
      <c r="A10" s="22"/>
      <c r="B10" s="6" t="s">
        <v>264</v>
      </c>
      <c r="C10" s="6" t="s">
        <v>265</v>
      </c>
    </row>
  </sheetData>
  <dataValidations count="1">
    <dataValidation allowBlank="true" errorStyle="stop" operator="between" showDropDown="false" showErrorMessage="false" showInputMessage="false" sqref="A2:A1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2026-10-17T01:27:06Z</dcterms:created>
  <dc:creator>openpyxl</dc:creator>
  <dc:description/>
  <dc:language>en-US</dc:language>
  <cp:lastModifiedBy/>
  <dcterms:modified xsi:type="dcterms:W3CDTF">2026-10-17T01:27:06Z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